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b10\Downloads\PIB_potencial\"/>
    </mc:Choice>
  </mc:AlternateContent>
  <xr:revisionPtr revIDLastSave="0" documentId="13_ncr:1_{2C26C411-E307-43C1-9CD6-2A7E9DF4D285}" xr6:coauthVersionLast="47" xr6:coauthVersionMax="47" xr10:uidLastSave="{00000000-0000-0000-0000-000000000000}"/>
  <bookViews>
    <workbookView xWindow="-120" yWindow="-120" windowWidth="20730" windowHeight="11160" xr2:uid="{2E61E449-C974-4433-ADF6-10770350C34A}"/>
  </bookViews>
  <sheets>
    <sheet name="GDP" sheetId="1" r:id="rId1"/>
    <sheet name="FRED Graph" sheetId="2" r:id="rId2"/>
    <sheet name="FRED Graph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" i="1"/>
</calcChain>
</file>

<file path=xl/sharedStrings.xml><?xml version="1.0" encoding="utf-8"?>
<sst xmlns="http://schemas.openxmlformats.org/spreadsheetml/2006/main" count="28" uniqueCount="18">
  <si>
    <t>Year</t>
  </si>
  <si>
    <t>Quarter</t>
  </si>
  <si>
    <t>Variation</t>
  </si>
  <si>
    <t>Value(Billions)</t>
  </si>
  <si>
    <t>Potential Value(Billions)</t>
  </si>
  <si>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</si>
  <si>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</si>
  <si>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</si>
  <si>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</si>
  <si>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</si>
  <si>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</si>
  <si>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GDPC1</t>
  </si>
  <si>
    <t>Real Gross Domestic Product, Billions of Chained 2012 Dollars, Quarterly, Seasonally Adjusted Annual Rate</t>
  </si>
  <si>
    <t>Frequency: Quarterly</t>
  </si>
  <si>
    <t>observation_date</t>
  </si>
  <si>
    <t>GDPPOT</t>
  </si>
  <si>
    <t>Real Potential Gross Domestic Product, Billions of Chained 2012 Dollars, Quarterly, Not Seasonally Adjusted</t>
  </si>
  <si>
    <t>Potential_Variation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</si>
</sst>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yyyy\-mm\-dd"/>
    <numFmt numFmtId="166" formatCode="0.000"/>
    <numFmt numFmtId="167" formatCode="0.00000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0" fontId="2" fillId="0" borderId="0" xfId="3"/>
    <xf numFmtId="165" fontId="2" fillId="0" borderId="0" xfId="3" applyNumberFormat="1"/>
    <xf numFmtId="166" fontId="2" fillId="0" borderId="0" xfId="3" applyNumberFormat="1"/>
    <xf numFmtId="167" fontId="2" fillId="0" borderId="0" xfId="3" applyNumberFormat="1"/>
    <xf numFmtId="164" fontId="0" fillId="0" borderId="0" xfId="1" applyFont="1"/>
    <xf numFmtId="10" fontId="0" fillId="0" borderId="0" xfId="2" applyNumberFormat="1" applyFont="1"/>
  </cellXfs>
  <cellStyles count="4">
    <cellStyle name="Millares" xfId="1" builtinId="3"/>
    <cellStyle name="Normal" xfId="0" builtinId="0"/>
    <cellStyle name="Normal 2" xfId="3" xr:uid="{2141A887-5D28-4DC5-88C7-C9C2F6FC7869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1EB2-15CD-49E9-8E2B-254FB870A4B6}">
  <dimension ref="A1:F295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3" max="3" width="12.5703125" bestFit="1" customWidth="1"/>
    <col min="5" max="5" width="20.5703125" bestFit="1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17</v>
      </c>
    </row>
    <row r="2" spans="1:6" x14ac:dyDescent="0.25">
      <c r="A2">
        <v>1949</v>
      </c>
      <c r="B2">
        <v>1</v>
      </c>
      <c r="C2" s="5">
        <v>2107.0010000000002</v>
      </c>
      <c r="E2" s="5">
        <f>+'FRED Graph (2)'!B12</f>
        <v>2104.0506049138817</v>
      </c>
    </row>
    <row r="3" spans="1:6" x14ac:dyDescent="0.25">
      <c r="A3">
        <v>1949</v>
      </c>
      <c r="B3">
        <v>2</v>
      </c>
      <c r="C3" s="5">
        <v>2099.8139999999999</v>
      </c>
      <c r="D3" s="6">
        <f>+C3/C2-1</f>
        <v>-3.4110092971006978E-3</v>
      </c>
      <c r="E3" s="5">
        <f>+'FRED Graph (2)'!B13</f>
        <v>2131.6486926425077</v>
      </c>
      <c r="F3" s="6">
        <f>+E3/E2-1</f>
        <v>1.3116646369708329E-2</v>
      </c>
    </row>
    <row r="4" spans="1:6" x14ac:dyDescent="0.25">
      <c r="A4">
        <v>1949</v>
      </c>
      <c r="B4">
        <v>3</v>
      </c>
      <c r="C4" s="5">
        <v>2121.4929999999999</v>
      </c>
      <c r="D4" s="6">
        <f t="shared" ref="D4:D67" si="0">+C4/C3-1</f>
        <v>1.0324247766706929E-2</v>
      </c>
      <c r="E4" s="5">
        <f>+'FRED Graph (2)'!B14</f>
        <v>2160.4795429259088</v>
      </c>
      <c r="F4" s="6">
        <f t="shared" ref="F4:F67" si="1">+E4/E3-1</f>
        <v>1.3525141540870367E-2</v>
      </c>
    </row>
    <row r="5" spans="1:6" x14ac:dyDescent="0.25">
      <c r="A5">
        <v>1949</v>
      </c>
      <c r="B5">
        <v>4</v>
      </c>
      <c r="C5" s="5">
        <v>2103.6880000000001</v>
      </c>
      <c r="D5" s="6">
        <f t="shared" si="0"/>
        <v>-8.3926744042991386E-3</v>
      </c>
      <c r="E5" s="5">
        <f>+'FRED Graph (2)'!B15</f>
        <v>2188.0289855125479</v>
      </c>
      <c r="F5" s="6">
        <f t="shared" si="1"/>
        <v>1.2751540590534516E-2</v>
      </c>
    </row>
    <row r="6" spans="1:6" x14ac:dyDescent="0.25">
      <c r="A6">
        <v>1950</v>
      </c>
      <c r="B6">
        <v>1</v>
      </c>
      <c r="C6" s="5">
        <v>2186.3649999999998</v>
      </c>
      <c r="D6" s="6">
        <f t="shared" si="0"/>
        <v>3.9300979993230678E-2</v>
      </c>
      <c r="E6" s="5">
        <f>+'FRED Graph (2)'!B16</f>
        <v>2217.2600770325698</v>
      </c>
      <c r="F6" s="6">
        <f t="shared" si="1"/>
        <v>1.3359554061471712E-2</v>
      </c>
    </row>
    <row r="7" spans="1:6" x14ac:dyDescent="0.25">
      <c r="A7">
        <v>1950</v>
      </c>
      <c r="B7">
        <v>2</v>
      </c>
      <c r="C7" s="5">
        <v>2253.0450000000001</v>
      </c>
      <c r="D7" s="6">
        <f t="shared" si="0"/>
        <v>3.0498109876438972E-2</v>
      </c>
      <c r="E7" s="5">
        <f>+'FRED Graph (2)'!B17</f>
        <v>2246.7291843536882</v>
      </c>
      <c r="F7" s="6">
        <f t="shared" si="1"/>
        <v>1.3290776136896776E-2</v>
      </c>
    </row>
    <row r="8" spans="1:6" x14ac:dyDescent="0.25">
      <c r="A8">
        <v>1950</v>
      </c>
      <c r="B8">
        <v>3</v>
      </c>
      <c r="C8" s="5">
        <v>2340.1120000000001</v>
      </c>
      <c r="D8" s="6">
        <f t="shared" si="0"/>
        <v>3.864414603347921E-2</v>
      </c>
      <c r="E8" s="5">
        <f>+'FRED Graph (2)'!B18</f>
        <v>2276.3688801677249</v>
      </c>
      <c r="F8" s="6">
        <f t="shared" si="1"/>
        <v>1.3192375841489357E-2</v>
      </c>
    </row>
    <row r="9" spans="1:6" x14ac:dyDescent="0.25">
      <c r="A9">
        <v>1950</v>
      </c>
      <c r="B9">
        <v>4</v>
      </c>
      <c r="C9" s="5">
        <v>2384.92</v>
      </c>
      <c r="D9" s="6">
        <f t="shared" si="0"/>
        <v>1.914780147274997E-2</v>
      </c>
      <c r="E9" s="5">
        <f>+'FRED Graph (2)'!B19</f>
        <v>2307.3660523481108</v>
      </c>
      <c r="F9" s="6">
        <f t="shared" si="1"/>
        <v>1.361693724178048E-2</v>
      </c>
    </row>
    <row r="10" spans="1:6" x14ac:dyDescent="0.25">
      <c r="A10">
        <v>1951</v>
      </c>
      <c r="B10">
        <v>1</v>
      </c>
      <c r="C10" s="5">
        <v>2417.3110000000001</v>
      </c>
      <c r="D10" s="6">
        <f t="shared" si="0"/>
        <v>1.3581587642352844E-2</v>
      </c>
      <c r="E10" s="5">
        <f>+'FRED Graph (2)'!B20</f>
        <v>2338.824974317999</v>
      </c>
      <c r="F10" s="6">
        <f t="shared" si="1"/>
        <v>1.363412707657452E-2</v>
      </c>
    </row>
    <row r="11" spans="1:6" x14ac:dyDescent="0.25">
      <c r="A11">
        <v>1951</v>
      </c>
      <c r="B11">
        <v>2</v>
      </c>
      <c r="C11" s="5">
        <v>2459.1959999999999</v>
      </c>
      <c r="D11" s="6">
        <f t="shared" si="0"/>
        <v>1.7327104373413116E-2</v>
      </c>
      <c r="E11" s="5">
        <f>+'FRED Graph (2)'!B21</f>
        <v>2370.3227742937529</v>
      </c>
      <c r="F11" s="6">
        <f t="shared" si="1"/>
        <v>1.3467360884898527E-2</v>
      </c>
    </row>
    <row r="12" spans="1:6" x14ac:dyDescent="0.25">
      <c r="A12">
        <v>1951</v>
      </c>
      <c r="B12">
        <v>3</v>
      </c>
      <c r="C12" s="5">
        <v>2509.88</v>
      </c>
      <c r="D12" s="6">
        <f t="shared" si="0"/>
        <v>2.0609987979811395E-2</v>
      </c>
      <c r="E12" s="5">
        <f>+'FRED Graph (2)'!B22</f>
        <v>2403.1071314889027</v>
      </c>
      <c r="F12" s="6">
        <f t="shared" si="1"/>
        <v>1.3831178416162437E-2</v>
      </c>
    </row>
    <row r="13" spans="1:6" x14ac:dyDescent="0.25">
      <c r="A13">
        <v>1951</v>
      </c>
      <c r="B13">
        <v>4</v>
      </c>
      <c r="C13" s="5">
        <v>2515.4079999999999</v>
      </c>
      <c r="D13" s="6">
        <f t="shared" si="0"/>
        <v>2.2024957368478315E-3</v>
      </c>
      <c r="E13" s="5">
        <f>+'FRED Graph (2)'!B23</f>
        <v>2437.1607039870814</v>
      </c>
      <c r="F13" s="6">
        <f t="shared" si="1"/>
        <v>1.4170642686695434E-2</v>
      </c>
    </row>
    <row r="14" spans="1:6" x14ac:dyDescent="0.25">
      <c r="A14">
        <v>1952</v>
      </c>
      <c r="B14">
        <v>1</v>
      </c>
      <c r="C14" s="5">
        <v>2542.2860000000001</v>
      </c>
      <c r="D14" s="6">
        <f t="shared" si="0"/>
        <v>1.0685344087321136E-2</v>
      </c>
      <c r="E14" s="5">
        <f>+'FRED Graph (2)'!B24</f>
        <v>2471.4203313048511</v>
      </c>
      <c r="F14" s="6">
        <f t="shared" si="1"/>
        <v>1.405718845775028E-2</v>
      </c>
    </row>
    <row r="15" spans="1:6" x14ac:dyDescent="0.25">
      <c r="A15">
        <v>1952</v>
      </c>
      <c r="B15">
        <v>2</v>
      </c>
      <c r="C15" s="5">
        <v>2547.7620000000002</v>
      </c>
      <c r="D15" s="6">
        <f t="shared" si="0"/>
        <v>2.1539669415635565E-3</v>
      </c>
      <c r="E15" s="5">
        <f>+'FRED Graph (2)'!B25</f>
        <v>2506.8817045991159</v>
      </c>
      <c r="F15" s="6">
        <f t="shared" si="1"/>
        <v>1.4348580387190557E-2</v>
      </c>
    </row>
    <row r="16" spans="1:6" x14ac:dyDescent="0.25">
      <c r="A16">
        <v>1952</v>
      </c>
      <c r="B16">
        <v>3</v>
      </c>
      <c r="C16" s="5">
        <v>2566.1529999999998</v>
      </c>
      <c r="D16" s="6">
        <f t="shared" si="0"/>
        <v>7.2184921511504463E-3</v>
      </c>
      <c r="E16" s="5">
        <f>+'FRED Graph (2)'!B26</f>
        <v>2539.801524959028</v>
      </c>
      <c r="F16" s="6">
        <f t="shared" si="1"/>
        <v>1.3131780530177162E-2</v>
      </c>
    </row>
    <row r="17" spans="1:6" x14ac:dyDescent="0.25">
      <c r="A17">
        <v>1952</v>
      </c>
      <c r="B17">
        <v>4</v>
      </c>
      <c r="C17" s="5">
        <v>2650.431</v>
      </c>
      <c r="D17" s="6">
        <f t="shared" si="0"/>
        <v>3.2842157112222159E-2</v>
      </c>
      <c r="E17" s="5">
        <f>+'FRED Graph (2)'!B27</f>
        <v>2570.749833620866</v>
      </c>
      <c r="F17" s="6">
        <f t="shared" si="1"/>
        <v>1.2185325647576795E-2</v>
      </c>
    </row>
    <row r="18" spans="1:6" x14ac:dyDescent="0.25">
      <c r="A18">
        <v>1953</v>
      </c>
      <c r="B18">
        <v>1</v>
      </c>
      <c r="C18" s="5">
        <v>2699.6990000000001</v>
      </c>
      <c r="D18" s="6">
        <f t="shared" si="0"/>
        <v>1.8588674823075912E-2</v>
      </c>
      <c r="E18" s="5">
        <f>+'FRED Graph (2)'!B28</f>
        <v>2598.6733697809577</v>
      </c>
      <c r="F18" s="6">
        <f t="shared" si="1"/>
        <v>1.0862020020346197E-2</v>
      </c>
    </row>
    <row r="19" spans="1:6" x14ac:dyDescent="0.25">
      <c r="A19">
        <v>1953</v>
      </c>
      <c r="B19">
        <v>2</v>
      </c>
      <c r="C19" s="5">
        <v>2720.5659999999998</v>
      </c>
      <c r="D19" s="6">
        <f t="shared" si="0"/>
        <v>7.7293802012741164E-3</v>
      </c>
      <c r="E19" s="5">
        <f>+'FRED Graph (2)'!B29</f>
        <v>2624.780519240981</v>
      </c>
      <c r="F19" s="6">
        <f t="shared" si="1"/>
        <v>1.0046337398002425E-2</v>
      </c>
    </row>
    <row r="20" spans="1:6" x14ac:dyDescent="0.25">
      <c r="A20">
        <v>1953</v>
      </c>
      <c r="B20">
        <v>3</v>
      </c>
      <c r="C20" s="5">
        <v>2705.2579999999998</v>
      </c>
      <c r="D20" s="6">
        <f t="shared" si="0"/>
        <v>-5.6267703117660606E-3</v>
      </c>
      <c r="E20" s="5">
        <f>+'FRED Graph (2)'!B30</f>
        <v>2648.1778758336882</v>
      </c>
      <c r="F20" s="6">
        <f t="shared" si="1"/>
        <v>8.9140240188436692E-3</v>
      </c>
    </row>
    <row r="21" spans="1:6" x14ac:dyDescent="0.25">
      <c r="A21">
        <v>1953</v>
      </c>
      <c r="B21">
        <v>4</v>
      </c>
      <c r="C21" s="5">
        <v>2664.3020000000001</v>
      </c>
      <c r="D21" s="6">
        <f t="shared" si="0"/>
        <v>-1.5139406296922342E-2</v>
      </c>
      <c r="E21" s="5">
        <f>+'FRED Graph (2)'!B31</f>
        <v>2669.1479324544839</v>
      </c>
      <c r="F21" s="6">
        <f t="shared" si="1"/>
        <v>7.9186737462617618E-3</v>
      </c>
    </row>
    <row r="22" spans="1:6" x14ac:dyDescent="0.25">
      <c r="A22">
        <v>1954</v>
      </c>
      <c r="B22">
        <v>1</v>
      </c>
      <c r="C22" s="5">
        <v>2651.5659999999998</v>
      </c>
      <c r="D22" s="6">
        <f t="shared" si="0"/>
        <v>-4.7802388768241055E-3</v>
      </c>
      <c r="E22" s="5">
        <f>+'FRED Graph (2)'!B32</f>
        <v>2688.8794568418148</v>
      </c>
      <c r="F22" s="6">
        <f t="shared" si="1"/>
        <v>7.3924431641323451E-3</v>
      </c>
    </row>
    <row r="23" spans="1:6" x14ac:dyDescent="0.25">
      <c r="A23">
        <v>1954</v>
      </c>
      <c r="B23">
        <v>2</v>
      </c>
      <c r="C23" s="5">
        <v>2654.4560000000001</v>
      </c>
      <c r="D23" s="6">
        <f t="shared" si="0"/>
        <v>1.0899219555540185E-3</v>
      </c>
      <c r="E23" s="5">
        <f>+'FRED Graph (2)'!B33</f>
        <v>2706.70024003047</v>
      </c>
      <c r="F23" s="6">
        <f t="shared" si="1"/>
        <v>6.6275872439391925E-3</v>
      </c>
    </row>
    <row r="24" spans="1:6" x14ac:dyDescent="0.25">
      <c r="A24">
        <v>1954</v>
      </c>
      <c r="B24">
        <v>3</v>
      </c>
      <c r="C24" s="5">
        <v>2684.4340000000002</v>
      </c>
      <c r="D24" s="6">
        <f t="shared" si="0"/>
        <v>1.1293462766005513E-2</v>
      </c>
      <c r="E24" s="5">
        <f>+'FRED Graph (2)'!B34</f>
        <v>2723.5654665820334</v>
      </c>
      <c r="F24" s="6">
        <f t="shared" si="1"/>
        <v>6.2309177433603757E-3</v>
      </c>
    </row>
    <row r="25" spans="1:6" x14ac:dyDescent="0.25">
      <c r="A25">
        <v>1954</v>
      </c>
      <c r="B25">
        <v>4</v>
      </c>
      <c r="C25" s="5">
        <v>2736.96</v>
      </c>
      <c r="D25" s="6">
        <f t="shared" si="0"/>
        <v>1.9566880765181649E-2</v>
      </c>
      <c r="E25" s="5">
        <f>+'FRED Graph (2)'!B35</f>
        <v>2740.8014634802043</v>
      </c>
      <c r="F25" s="6">
        <f t="shared" si="1"/>
        <v>6.3284679988990789E-3</v>
      </c>
    </row>
    <row r="26" spans="1:6" x14ac:dyDescent="0.25">
      <c r="A26">
        <v>1955</v>
      </c>
      <c r="B26">
        <v>1</v>
      </c>
      <c r="C26" s="5">
        <v>2815.134</v>
      </c>
      <c r="D26" s="6">
        <f t="shared" si="0"/>
        <v>2.8562346545071948E-2</v>
      </c>
      <c r="E26" s="5">
        <f>+'FRED Graph (2)'!B36</f>
        <v>2757.5375440431012</v>
      </c>
      <c r="F26" s="6">
        <f t="shared" si="1"/>
        <v>6.1062724848539585E-3</v>
      </c>
    </row>
    <row r="27" spans="1:6" x14ac:dyDescent="0.25">
      <c r="A27">
        <v>1955</v>
      </c>
      <c r="B27">
        <v>2</v>
      </c>
      <c r="C27" s="5">
        <v>2860.942</v>
      </c>
      <c r="D27" s="6">
        <f t="shared" si="0"/>
        <v>1.6272049572062963E-2</v>
      </c>
      <c r="E27" s="5">
        <f>+'FRED Graph (2)'!B37</f>
        <v>2775.4869475741907</v>
      </c>
      <c r="F27" s="6">
        <f t="shared" si="1"/>
        <v>6.5092145598757423E-3</v>
      </c>
    </row>
    <row r="28" spans="1:6" x14ac:dyDescent="0.25">
      <c r="A28">
        <v>1955</v>
      </c>
      <c r="B28">
        <v>3</v>
      </c>
      <c r="C28" s="5">
        <v>2899.578</v>
      </c>
      <c r="D28" s="6">
        <f t="shared" si="0"/>
        <v>1.3504642876367212E-2</v>
      </c>
      <c r="E28" s="5">
        <f>+'FRED Graph (2)'!B38</f>
        <v>2793.0733686535968</v>
      </c>
      <c r="F28" s="6">
        <f t="shared" si="1"/>
        <v>6.3363371587017436E-3</v>
      </c>
    </row>
    <row r="29" spans="1:6" x14ac:dyDescent="0.25">
      <c r="A29">
        <v>1955</v>
      </c>
      <c r="B29">
        <v>4</v>
      </c>
      <c r="C29" s="5">
        <v>2916.9850000000001</v>
      </c>
      <c r="D29" s="6">
        <f t="shared" si="0"/>
        <v>6.0032873749216176E-3</v>
      </c>
      <c r="E29" s="5">
        <f>+'FRED Graph (2)'!B39</f>
        <v>2811.3068024724244</v>
      </c>
      <c r="F29" s="6">
        <f t="shared" si="1"/>
        <v>6.5280898179975733E-3</v>
      </c>
    </row>
    <row r="30" spans="1:6" x14ac:dyDescent="0.25">
      <c r="A30">
        <v>1956</v>
      </c>
      <c r="B30">
        <v>1</v>
      </c>
      <c r="C30" s="5">
        <v>2905.6559999999999</v>
      </c>
      <c r="D30" s="6">
        <f t="shared" si="0"/>
        <v>-3.8838046818890914E-3</v>
      </c>
      <c r="E30" s="5">
        <f>+'FRED Graph (2)'!B40</f>
        <v>2829.9083660330025</v>
      </c>
      <c r="F30" s="6">
        <f t="shared" si="1"/>
        <v>6.6166963862566153E-3</v>
      </c>
    </row>
    <row r="31" spans="1:6" x14ac:dyDescent="0.25">
      <c r="A31">
        <v>1956</v>
      </c>
      <c r="B31">
        <v>2</v>
      </c>
      <c r="C31" s="5">
        <v>2929.6660000000002</v>
      </c>
      <c r="D31" s="6">
        <f t="shared" si="0"/>
        <v>8.2631942666304692E-3</v>
      </c>
      <c r="E31" s="5">
        <f>+'FRED Graph (2)'!B41</f>
        <v>2848.3138986517201</v>
      </c>
      <c r="F31" s="6">
        <f t="shared" si="1"/>
        <v>6.5039323674351834E-3</v>
      </c>
    </row>
    <row r="32" spans="1:6" x14ac:dyDescent="0.25">
      <c r="A32">
        <v>1956</v>
      </c>
      <c r="B32">
        <v>3</v>
      </c>
      <c r="C32" s="5">
        <v>2927.0340000000001</v>
      </c>
      <c r="D32" s="6">
        <f t="shared" si="0"/>
        <v>-8.9839592636153931E-4</v>
      </c>
      <c r="E32" s="5">
        <f>+'FRED Graph (2)'!B42</f>
        <v>2867.5765173471364</v>
      </c>
      <c r="F32" s="6">
        <f t="shared" si="1"/>
        <v>6.7628145565468145E-3</v>
      </c>
    </row>
    <row r="33" spans="1:6" x14ac:dyDescent="0.25">
      <c r="A33">
        <v>1956</v>
      </c>
      <c r="B33">
        <v>4</v>
      </c>
      <c r="C33" s="5">
        <v>2975.2089999999998</v>
      </c>
      <c r="D33" s="6">
        <f t="shared" si="0"/>
        <v>1.6458640384771739E-2</v>
      </c>
      <c r="E33" s="5">
        <f>+'FRED Graph (2)'!B43</f>
        <v>2887.9829484712182</v>
      </c>
      <c r="F33" s="6">
        <f t="shared" si="1"/>
        <v>7.116263855780236E-3</v>
      </c>
    </row>
    <row r="34" spans="1:6" x14ac:dyDescent="0.25">
      <c r="A34">
        <v>1957</v>
      </c>
      <c r="B34">
        <v>1</v>
      </c>
      <c r="C34" s="5">
        <v>2994.259</v>
      </c>
      <c r="D34" s="6">
        <f t="shared" si="0"/>
        <v>6.4029115265515912E-3</v>
      </c>
      <c r="E34" s="5">
        <f>+'FRED Graph (2)'!B44</f>
        <v>2909.9969305513891</v>
      </c>
      <c r="F34" s="6">
        <f t="shared" si="1"/>
        <v>7.6226149783273911E-3</v>
      </c>
    </row>
    <row r="35" spans="1:6" x14ac:dyDescent="0.25">
      <c r="A35">
        <v>1957</v>
      </c>
      <c r="B35">
        <v>2</v>
      </c>
      <c r="C35" s="5">
        <v>2987.6990000000001</v>
      </c>
      <c r="D35" s="6">
        <f t="shared" si="0"/>
        <v>-2.1908592409674021E-3</v>
      </c>
      <c r="E35" s="5">
        <f>+'FRED Graph (2)'!B45</f>
        <v>2933.4487429378582</v>
      </c>
      <c r="F35" s="6">
        <f t="shared" si="1"/>
        <v>8.0590505578386207E-3</v>
      </c>
    </row>
    <row r="36" spans="1:6" x14ac:dyDescent="0.25">
      <c r="A36">
        <v>1957</v>
      </c>
      <c r="B36">
        <v>3</v>
      </c>
      <c r="C36" s="5">
        <v>3016.9789999999998</v>
      </c>
      <c r="D36" s="6">
        <f t="shared" si="0"/>
        <v>9.8001840212149638E-3</v>
      </c>
      <c r="E36" s="5">
        <f>+'FRED Graph (2)'!B46</f>
        <v>2957.9832377711718</v>
      </c>
      <c r="F36" s="6">
        <f t="shared" si="1"/>
        <v>8.3637032664638511E-3</v>
      </c>
    </row>
    <row r="37" spans="1:6" x14ac:dyDescent="0.25">
      <c r="A37">
        <v>1957</v>
      </c>
      <c r="B37">
        <v>4</v>
      </c>
      <c r="C37" s="5">
        <v>2985.7750000000001</v>
      </c>
      <c r="D37" s="6">
        <f t="shared" si="0"/>
        <v>-1.0342796552445299E-2</v>
      </c>
      <c r="E37" s="5">
        <f>+'FRED Graph (2)'!B47</f>
        <v>2983.7254894424395</v>
      </c>
      <c r="F37" s="6">
        <f t="shared" si="1"/>
        <v>8.7026360875068764E-3</v>
      </c>
    </row>
    <row r="38" spans="1:6" x14ac:dyDescent="0.25">
      <c r="A38">
        <v>1958</v>
      </c>
      <c r="B38">
        <v>1</v>
      </c>
      <c r="C38" s="5">
        <v>2908.2809999999999</v>
      </c>
      <c r="D38" s="6">
        <f t="shared" si="0"/>
        <v>-2.5954400448794712E-2</v>
      </c>
      <c r="E38" s="5">
        <f>+'FRED Graph (2)'!B48</f>
        <v>3009.6600859079999</v>
      </c>
      <c r="F38" s="6">
        <f t="shared" si="1"/>
        <v>8.6920182695515713E-3</v>
      </c>
    </row>
    <row r="39" spans="1:6" x14ac:dyDescent="0.25">
      <c r="A39">
        <v>1958</v>
      </c>
      <c r="B39">
        <v>2</v>
      </c>
      <c r="C39" s="5">
        <v>2927.395</v>
      </c>
      <c r="D39" s="6">
        <f t="shared" si="0"/>
        <v>6.5722672602819276E-3</v>
      </c>
      <c r="E39" s="5">
        <f>+'FRED Graph (2)'!B49</f>
        <v>3036.5506143045632</v>
      </c>
      <c r="F39" s="6">
        <f t="shared" si="1"/>
        <v>8.9347393489622728E-3</v>
      </c>
    </row>
    <row r="40" spans="1:6" x14ac:dyDescent="0.25">
      <c r="A40">
        <v>1958</v>
      </c>
      <c r="B40">
        <v>3</v>
      </c>
      <c r="C40" s="5">
        <v>2995.1120000000001</v>
      </c>
      <c r="D40" s="6">
        <f t="shared" si="0"/>
        <v>2.3132170410894437E-2</v>
      </c>
      <c r="E40" s="5">
        <f>+'FRED Graph (2)'!B50</f>
        <v>3063.9644464918269</v>
      </c>
      <c r="F40" s="6">
        <f t="shared" si="1"/>
        <v>9.0279516692799433E-3</v>
      </c>
    </row>
    <row r="41" spans="1:6" x14ac:dyDescent="0.25">
      <c r="A41">
        <v>1958</v>
      </c>
      <c r="B41">
        <v>4</v>
      </c>
      <c r="C41" s="5">
        <v>3065.1410000000001</v>
      </c>
      <c r="D41" s="6">
        <f t="shared" si="0"/>
        <v>2.3381095598428381E-2</v>
      </c>
      <c r="E41" s="5">
        <f>+'FRED Graph (2)'!B51</f>
        <v>3092.7923567087109</v>
      </c>
      <c r="F41" s="6">
        <f t="shared" si="1"/>
        <v>9.4086960603905201E-3</v>
      </c>
    </row>
    <row r="42" spans="1:6" x14ac:dyDescent="0.25">
      <c r="A42">
        <v>1959</v>
      </c>
      <c r="B42">
        <v>1</v>
      </c>
      <c r="C42" s="5">
        <v>3123.9780000000001</v>
      </c>
      <c r="D42" s="6">
        <f t="shared" si="0"/>
        <v>1.9195528036067611E-2</v>
      </c>
      <c r="E42" s="5">
        <f>+'FRED Graph (2)'!B52</f>
        <v>3122.0075482487209</v>
      </c>
      <c r="F42" s="6">
        <f t="shared" si="1"/>
        <v>9.4462182295032004E-3</v>
      </c>
    </row>
    <row r="43" spans="1:6" x14ac:dyDescent="0.25">
      <c r="A43">
        <v>1959</v>
      </c>
      <c r="B43">
        <v>2</v>
      </c>
      <c r="C43" s="5">
        <v>3194.4290000000001</v>
      </c>
      <c r="D43" s="6">
        <f t="shared" si="0"/>
        <v>2.2551695306433084E-2</v>
      </c>
      <c r="E43" s="5">
        <f>+'FRED Graph (2)'!B53</f>
        <v>3152.2324222597695</v>
      </c>
      <c r="F43" s="6">
        <f t="shared" si="1"/>
        <v>9.681230280177644E-3</v>
      </c>
    </row>
    <row r="44" spans="1:6" x14ac:dyDescent="0.25">
      <c r="A44">
        <v>1959</v>
      </c>
      <c r="B44">
        <v>3</v>
      </c>
      <c r="C44" s="5">
        <v>3196.683</v>
      </c>
      <c r="D44" s="6">
        <f t="shared" si="0"/>
        <v>7.0560341143899308E-4</v>
      </c>
      <c r="E44" s="5">
        <f>+'FRED Graph (2)'!B54</f>
        <v>3184.1615883718819</v>
      </c>
      <c r="F44" s="6">
        <f t="shared" si="1"/>
        <v>1.0129064686551059E-2</v>
      </c>
    </row>
    <row r="45" spans="1:6" x14ac:dyDescent="0.25">
      <c r="A45">
        <v>1959</v>
      </c>
      <c r="B45">
        <v>4</v>
      </c>
      <c r="C45" s="5">
        <v>3205.79</v>
      </c>
      <c r="D45" s="6">
        <f t="shared" si="0"/>
        <v>2.8488905531138808E-3</v>
      </c>
      <c r="E45" s="5">
        <f>+'FRED Graph (2)'!B55</f>
        <v>3216.3037328204482</v>
      </c>
      <c r="F45" s="6">
        <f t="shared" si="1"/>
        <v>1.009438232216131E-2</v>
      </c>
    </row>
    <row r="46" spans="1:6" x14ac:dyDescent="0.25">
      <c r="A46">
        <v>1960</v>
      </c>
      <c r="B46">
        <v>1</v>
      </c>
      <c r="C46" s="5">
        <v>3277.8470000000002</v>
      </c>
      <c r="D46" s="6">
        <f t="shared" si="0"/>
        <v>2.2477142919530069E-2</v>
      </c>
      <c r="E46" s="5">
        <f>+'FRED Graph (2)'!B56</f>
        <v>3249.2974710698613</v>
      </c>
      <c r="F46" s="6">
        <f t="shared" si="1"/>
        <v>1.0258278132357912E-2</v>
      </c>
    </row>
    <row r="47" spans="1:6" x14ac:dyDescent="0.25">
      <c r="A47">
        <v>1960</v>
      </c>
      <c r="B47">
        <v>2</v>
      </c>
      <c r="C47" s="5">
        <v>3260.1770000000001</v>
      </c>
      <c r="D47" s="6">
        <f t="shared" si="0"/>
        <v>-5.3907336126427507E-3</v>
      </c>
      <c r="E47" s="5">
        <f>+'FRED Graph (2)'!B57</f>
        <v>3282.0234379535505</v>
      </c>
      <c r="F47" s="6">
        <f t="shared" si="1"/>
        <v>1.007170539941793E-2</v>
      </c>
    </row>
    <row r="48" spans="1:6" x14ac:dyDescent="0.25">
      <c r="A48">
        <v>1960</v>
      </c>
      <c r="B48">
        <v>3</v>
      </c>
      <c r="C48" s="5">
        <v>3276.1329999999998</v>
      </c>
      <c r="D48" s="6">
        <f t="shared" si="0"/>
        <v>4.8942127988755857E-3</v>
      </c>
      <c r="E48" s="5">
        <f>+'FRED Graph (2)'!B58</f>
        <v>3314.9506298741976</v>
      </c>
      <c r="F48" s="6">
        <f t="shared" si="1"/>
        <v>1.0032588902283424E-2</v>
      </c>
    </row>
    <row r="49" spans="1:6" x14ac:dyDescent="0.25">
      <c r="A49">
        <v>1960</v>
      </c>
      <c r="B49">
        <v>4</v>
      </c>
      <c r="C49" s="5">
        <v>3234.087</v>
      </c>
      <c r="D49" s="6">
        <f t="shared" si="0"/>
        <v>-1.2834033294741087E-2</v>
      </c>
      <c r="E49" s="5">
        <f>+'FRED Graph (2)'!B59</f>
        <v>3347.584030399802</v>
      </c>
      <c r="F49" s="6">
        <f t="shared" si="1"/>
        <v>9.8443096652822693E-3</v>
      </c>
    </row>
    <row r="50" spans="1:6" x14ac:dyDescent="0.25">
      <c r="A50">
        <v>1961</v>
      </c>
      <c r="B50">
        <v>1</v>
      </c>
      <c r="C50" s="5">
        <v>3255.9140000000002</v>
      </c>
      <c r="D50" s="6">
        <f t="shared" si="0"/>
        <v>6.7490454029222047E-3</v>
      </c>
      <c r="E50" s="5">
        <f>+'FRED Graph (2)'!B60</f>
        <v>3380.7232610634601</v>
      </c>
      <c r="F50" s="6">
        <f t="shared" si="1"/>
        <v>9.8994469930304696E-3</v>
      </c>
    </row>
    <row r="51" spans="1:6" x14ac:dyDescent="0.25">
      <c r="A51">
        <v>1961</v>
      </c>
      <c r="B51">
        <v>2</v>
      </c>
      <c r="C51" s="5">
        <v>3311.181</v>
      </c>
      <c r="D51" s="6">
        <f t="shared" si="0"/>
        <v>1.697434268841258E-2</v>
      </c>
      <c r="E51" s="5">
        <f>+'FRED Graph (2)'!B61</f>
        <v>3413.0684845070759</v>
      </c>
      <c r="F51" s="6">
        <f t="shared" si="1"/>
        <v>9.5675454468997501E-3</v>
      </c>
    </row>
    <row r="52" spans="1:6" x14ac:dyDescent="0.25">
      <c r="A52">
        <v>1961</v>
      </c>
      <c r="B52">
        <v>3</v>
      </c>
      <c r="C52" s="5">
        <v>3374.7420000000002</v>
      </c>
      <c r="D52" s="6">
        <f t="shared" si="0"/>
        <v>1.9195869993213988E-2</v>
      </c>
      <c r="E52" s="5">
        <f>+'FRED Graph (2)'!B62</f>
        <v>3446.7717100392279</v>
      </c>
      <c r="F52" s="6">
        <f t="shared" si="1"/>
        <v>9.8747580615921038E-3</v>
      </c>
    </row>
    <row r="53" spans="1:6" x14ac:dyDescent="0.25">
      <c r="A53">
        <v>1961</v>
      </c>
      <c r="B53">
        <v>4</v>
      </c>
      <c r="C53" s="5">
        <v>3440.924</v>
      </c>
      <c r="D53" s="6">
        <f t="shared" si="0"/>
        <v>1.9610980632000841E-2</v>
      </c>
      <c r="E53" s="5">
        <f>+'FRED Graph (2)'!B63</f>
        <v>3480.82745673521</v>
      </c>
      <c r="F53" s="6">
        <f t="shared" si="1"/>
        <v>9.8804764460580508E-3</v>
      </c>
    </row>
    <row r="54" spans="1:6" x14ac:dyDescent="0.25">
      <c r="A54">
        <v>1962</v>
      </c>
      <c r="B54">
        <v>1</v>
      </c>
      <c r="C54" s="5">
        <v>3502.2979999999998</v>
      </c>
      <c r="D54" s="6">
        <f t="shared" si="0"/>
        <v>1.7836488106101722E-2</v>
      </c>
      <c r="E54" s="5">
        <f>+'FRED Graph (2)'!B64</f>
        <v>3515.9770354301386</v>
      </c>
      <c r="F54" s="6">
        <f t="shared" si="1"/>
        <v>1.009805258428309E-2</v>
      </c>
    </row>
    <row r="55" spans="1:6" x14ac:dyDescent="0.25">
      <c r="A55">
        <v>1962</v>
      </c>
      <c r="B55">
        <v>2</v>
      </c>
      <c r="C55" s="5">
        <v>3533.9470000000001</v>
      </c>
      <c r="D55" s="6">
        <f t="shared" si="0"/>
        <v>9.0366382300992587E-3</v>
      </c>
      <c r="E55" s="5">
        <f>+'FRED Graph (2)'!B65</f>
        <v>3552.038330636884</v>
      </c>
      <c r="F55" s="6">
        <f t="shared" si="1"/>
        <v>1.0256408060507649E-2</v>
      </c>
    </row>
    <row r="56" spans="1:6" x14ac:dyDescent="0.25">
      <c r="A56">
        <v>1962</v>
      </c>
      <c r="B56">
        <v>3</v>
      </c>
      <c r="C56" s="5">
        <v>3577.3620000000001</v>
      </c>
      <c r="D56" s="6">
        <f t="shared" si="0"/>
        <v>1.2285130478753681E-2</v>
      </c>
      <c r="E56" s="5">
        <f>+'FRED Graph (2)'!B66</f>
        <v>3589.0123274612092</v>
      </c>
      <c r="F56" s="6">
        <f t="shared" si="1"/>
        <v>1.04092336238093E-2</v>
      </c>
    </row>
    <row r="57" spans="1:6" x14ac:dyDescent="0.25">
      <c r="A57">
        <v>1962</v>
      </c>
      <c r="B57">
        <v>4</v>
      </c>
      <c r="C57" s="5">
        <v>3589.1280000000002</v>
      </c>
      <c r="D57" s="6">
        <f t="shared" si="0"/>
        <v>3.2890157607756709E-3</v>
      </c>
      <c r="E57" s="5">
        <f>+'FRED Graph (2)'!B67</f>
        <v>3626.7058077160223</v>
      </c>
      <c r="F57" s="6">
        <f t="shared" si="1"/>
        <v>1.0502466086951712E-2</v>
      </c>
    </row>
    <row r="58" spans="1:6" x14ac:dyDescent="0.25">
      <c r="A58">
        <v>1963</v>
      </c>
      <c r="B58">
        <v>1</v>
      </c>
      <c r="C58" s="5">
        <v>3628.306</v>
      </c>
      <c r="D58" s="6">
        <f t="shared" si="0"/>
        <v>1.0915743322612137E-2</v>
      </c>
      <c r="E58" s="5">
        <f>+'FRED Graph (2)'!B68</f>
        <v>3664.8476922812879</v>
      </c>
      <c r="F58" s="6">
        <f t="shared" si="1"/>
        <v>1.0516950253896207E-2</v>
      </c>
    </row>
    <row r="59" spans="1:6" x14ac:dyDescent="0.25">
      <c r="A59">
        <v>1963</v>
      </c>
      <c r="B59">
        <v>2</v>
      </c>
      <c r="C59" s="5">
        <v>3669.02</v>
      </c>
      <c r="D59" s="6">
        <f t="shared" si="0"/>
        <v>1.1221214528212231E-2</v>
      </c>
      <c r="E59" s="5">
        <f>+'FRED Graph (2)'!B69</f>
        <v>3703.8464662439696</v>
      </c>
      <c r="F59" s="6">
        <f t="shared" si="1"/>
        <v>1.0641308244492276E-2</v>
      </c>
    </row>
    <row r="60" spans="1:6" x14ac:dyDescent="0.25">
      <c r="A60">
        <v>1963</v>
      </c>
      <c r="B60">
        <v>3</v>
      </c>
      <c r="C60" s="5">
        <v>3749.681</v>
      </c>
      <c r="D60" s="6">
        <f t="shared" si="0"/>
        <v>2.1984344593379168E-2</v>
      </c>
      <c r="E60" s="5">
        <f>+'FRED Graph (2)'!B70</f>
        <v>3743.5306956821473</v>
      </c>
      <c r="F60" s="6">
        <f t="shared" si="1"/>
        <v>1.0714328955006902E-2</v>
      </c>
    </row>
    <row r="61" spans="1:6" x14ac:dyDescent="0.25">
      <c r="A61">
        <v>1963</v>
      </c>
      <c r="B61">
        <v>4</v>
      </c>
      <c r="C61" s="5">
        <v>3774.2640000000001</v>
      </c>
      <c r="D61" s="6">
        <f t="shared" si="0"/>
        <v>6.5560243658060458E-3</v>
      </c>
      <c r="E61" s="5">
        <f>+'FRED Graph (2)'!B71</f>
        <v>3784.0490300359229</v>
      </c>
      <c r="F61" s="6">
        <f t="shared" si="1"/>
        <v>1.0823561404347481E-2</v>
      </c>
    </row>
    <row r="62" spans="1:6" x14ac:dyDescent="0.25">
      <c r="A62">
        <v>1964</v>
      </c>
      <c r="B62">
        <v>1</v>
      </c>
      <c r="C62" s="5">
        <v>3853.835</v>
      </c>
      <c r="D62" s="6">
        <f t="shared" si="0"/>
        <v>2.1082520989522679E-2</v>
      </c>
      <c r="E62" s="5">
        <f>+'FRED Graph (2)'!B72</f>
        <v>3824.6709306809444</v>
      </c>
      <c r="F62" s="6">
        <f t="shared" si="1"/>
        <v>1.0735035493088185E-2</v>
      </c>
    </row>
    <row r="63" spans="1:6" x14ac:dyDescent="0.25">
      <c r="A63">
        <v>1964</v>
      </c>
      <c r="B63">
        <v>2</v>
      </c>
      <c r="C63" s="5">
        <v>3895.7930000000001</v>
      </c>
      <c r="D63" s="6">
        <f t="shared" si="0"/>
        <v>1.0887336899478184E-2</v>
      </c>
      <c r="E63" s="5">
        <f>+'FRED Graph (2)'!B73</f>
        <v>3866.1988451744733</v>
      </c>
      <c r="F63" s="6">
        <f t="shared" si="1"/>
        <v>1.0857905227976028E-2</v>
      </c>
    </row>
    <row r="64" spans="1:6" x14ac:dyDescent="0.25">
      <c r="A64">
        <v>1964</v>
      </c>
      <c r="B64">
        <v>3</v>
      </c>
      <c r="C64" s="5">
        <v>3956.6570000000002</v>
      </c>
      <c r="D64" s="6">
        <f t="shared" si="0"/>
        <v>1.5623006663855188E-2</v>
      </c>
      <c r="E64" s="5">
        <f>+'FRED Graph (2)'!B74</f>
        <v>3908.2547031718718</v>
      </c>
      <c r="F64" s="6">
        <f t="shared" si="1"/>
        <v>1.0877831089802781E-2</v>
      </c>
    </row>
    <row r="65" spans="1:6" x14ac:dyDescent="0.25">
      <c r="A65">
        <v>1964</v>
      </c>
      <c r="B65">
        <v>4</v>
      </c>
      <c r="C65" s="5">
        <v>3968.8780000000002</v>
      </c>
      <c r="D65" s="6">
        <f t="shared" si="0"/>
        <v>3.0887185823789132E-3</v>
      </c>
      <c r="E65" s="5">
        <f>+'FRED Graph (2)'!B75</f>
        <v>3950.3756456317346</v>
      </c>
      <c r="F65" s="6">
        <f t="shared" si="1"/>
        <v>1.0777430249282016E-2</v>
      </c>
    </row>
    <row r="66" spans="1:6" x14ac:dyDescent="0.25">
      <c r="A66">
        <v>1965</v>
      </c>
      <c r="B66">
        <v>1</v>
      </c>
      <c r="C66" s="5">
        <v>4064.915</v>
      </c>
      <c r="D66" s="6">
        <f t="shared" si="0"/>
        <v>2.419751879498433E-2</v>
      </c>
      <c r="E66" s="5">
        <f>+'FRED Graph (2)'!B76</f>
        <v>3993.8515387704119</v>
      </c>
      <c r="F66" s="6">
        <f t="shared" si="1"/>
        <v>1.1005508599353675E-2</v>
      </c>
    </row>
    <row r="67" spans="1:6" x14ac:dyDescent="0.25">
      <c r="A67">
        <v>1965</v>
      </c>
      <c r="B67">
        <v>2</v>
      </c>
      <c r="C67" s="5">
        <v>4116.2669999999998</v>
      </c>
      <c r="D67" s="6">
        <f t="shared" si="0"/>
        <v>1.2632982485488498E-2</v>
      </c>
      <c r="E67" s="5">
        <f>+'FRED Graph (2)'!B77</f>
        <v>4036.6403234215163</v>
      </c>
      <c r="F67" s="6">
        <f t="shared" si="1"/>
        <v>1.0713664300170178E-2</v>
      </c>
    </row>
    <row r="68" spans="1:6" x14ac:dyDescent="0.25">
      <c r="A68">
        <v>1965</v>
      </c>
      <c r="B68">
        <v>3</v>
      </c>
      <c r="C68" s="5">
        <v>4207.7820000000002</v>
      </c>
      <c r="D68" s="6">
        <f t="shared" ref="D68:D131" si="2">+C68/C67-1</f>
        <v>2.2232522817397404E-2</v>
      </c>
      <c r="E68" s="5">
        <f>+'FRED Graph (2)'!B78</f>
        <v>4081.0984119166687</v>
      </c>
      <c r="F68" s="6">
        <f t="shared" ref="F68:F131" si="3">+E68/E67-1</f>
        <v>1.1013636324543441E-2</v>
      </c>
    </row>
    <row r="69" spans="1:6" x14ac:dyDescent="0.25">
      <c r="A69">
        <v>1965</v>
      </c>
      <c r="B69">
        <v>4</v>
      </c>
      <c r="C69" s="5">
        <v>4304.7309999999998</v>
      </c>
      <c r="D69" s="6">
        <f t="shared" si="2"/>
        <v>2.3040404659746994E-2</v>
      </c>
      <c r="E69" s="5">
        <f>+'FRED Graph (2)'!B79</f>
        <v>4126.1029229584574</v>
      </c>
      <c r="F69" s="6">
        <f t="shared" si="3"/>
        <v>1.1027548590932579E-2</v>
      </c>
    </row>
    <row r="70" spans="1:6" x14ac:dyDescent="0.25">
      <c r="A70">
        <v>1966</v>
      </c>
      <c r="B70">
        <v>1</v>
      </c>
      <c r="C70" s="5">
        <v>4409.518</v>
      </c>
      <c r="D70" s="6">
        <f t="shared" si="2"/>
        <v>2.4342287590095602E-2</v>
      </c>
      <c r="E70" s="5">
        <f>+'FRED Graph (2)'!B80</f>
        <v>4171.864801873141</v>
      </c>
      <c r="F70" s="6">
        <f t="shared" si="3"/>
        <v>1.1090823415978113E-2</v>
      </c>
    </row>
    <row r="71" spans="1:6" x14ac:dyDescent="0.25">
      <c r="A71">
        <v>1966</v>
      </c>
      <c r="B71">
        <v>2</v>
      </c>
      <c r="C71" s="5">
        <v>4424.5810000000001</v>
      </c>
      <c r="D71" s="6">
        <f t="shared" si="2"/>
        <v>3.4160196193779857E-3</v>
      </c>
      <c r="E71" s="5">
        <f>+'FRED Graph (2)'!B81</f>
        <v>4218.3113344869134</v>
      </c>
      <c r="F71" s="6">
        <f t="shared" si="3"/>
        <v>1.1133278478467901E-2</v>
      </c>
    </row>
    <row r="72" spans="1:6" x14ac:dyDescent="0.25">
      <c r="A72">
        <v>1966</v>
      </c>
      <c r="B72">
        <v>3</v>
      </c>
      <c r="C72" s="5">
        <v>4462.0529999999999</v>
      </c>
      <c r="D72" s="6">
        <f t="shared" si="2"/>
        <v>8.469050515743648E-3</v>
      </c>
      <c r="E72" s="5">
        <f>+'FRED Graph (2)'!B82</f>
        <v>4265.476569621911</v>
      </c>
      <c r="F72" s="6">
        <f t="shared" si="3"/>
        <v>1.1181070194937304E-2</v>
      </c>
    </row>
    <row r="73" spans="1:6" x14ac:dyDescent="0.25">
      <c r="A73">
        <v>1966</v>
      </c>
      <c r="B73">
        <v>4</v>
      </c>
      <c r="C73" s="5">
        <v>4498.66</v>
      </c>
      <c r="D73" s="6">
        <f t="shared" si="2"/>
        <v>8.2040710856638999E-3</v>
      </c>
      <c r="E73" s="5">
        <f>+'FRED Graph (2)'!B83</f>
        <v>4312.4901469238812</v>
      </c>
      <c r="F73" s="6">
        <f t="shared" si="3"/>
        <v>1.1021881502478292E-2</v>
      </c>
    </row>
    <row r="74" spans="1:6" x14ac:dyDescent="0.25">
      <c r="A74">
        <v>1967</v>
      </c>
      <c r="B74">
        <v>1</v>
      </c>
      <c r="C74" s="5">
        <v>4538.4979999999996</v>
      </c>
      <c r="D74" s="6">
        <f t="shared" si="2"/>
        <v>8.8555258677027737E-3</v>
      </c>
      <c r="E74" s="5">
        <f>+'FRED Graph (2)'!B84</f>
        <v>4360.2718443482217</v>
      </c>
      <c r="F74" s="6">
        <f t="shared" si="3"/>
        <v>1.1079839210397679E-2</v>
      </c>
    </row>
    <row r="75" spans="1:6" x14ac:dyDescent="0.25">
      <c r="A75">
        <v>1967</v>
      </c>
      <c r="B75">
        <v>2</v>
      </c>
      <c r="C75" s="5">
        <v>4541.28</v>
      </c>
      <c r="D75" s="6">
        <f t="shared" si="2"/>
        <v>6.1297812624361292E-4</v>
      </c>
      <c r="E75" s="5">
        <f>+'FRED Graph (2)'!B85</f>
        <v>4408.3507763297466</v>
      </c>
      <c r="F75" s="6">
        <f t="shared" si="3"/>
        <v>1.1026590473675268E-2</v>
      </c>
    </row>
    <row r="76" spans="1:6" x14ac:dyDescent="0.25">
      <c r="A76">
        <v>1967</v>
      </c>
      <c r="B76">
        <v>3</v>
      </c>
      <c r="C76" s="5">
        <v>4584.2460000000001</v>
      </c>
      <c r="D76" s="6">
        <f t="shared" si="2"/>
        <v>9.4612091745058802E-3</v>
      </c>
      <c r="E76" s="5">
        <f>+'FRED Graph (2)'!B86</f>
        <v>4456.838540255495</v>
      </c>
      <c r="F76" s="6">
        <f t="shared" si="3"/>
        <v>1.0999071168768859E-2</v>
      </c>
    </row>
    <row r="77" spans="1:6" x14ac:dyDescent="0.25">
      <c r="A77">
        <v>1967</v>
      </c>
      <c r="B77">
        <v>4</v>
      </c>
      <c r="C77" s="5">
        <v>4618.8119999999999</v>
      </c>
      <c r="D77" s="6">
        <f t="shared" si="2"/>
        <v>7.5401712735310156E-3</v>
      </c>
      <c r="E77" s="5">
        <f>+'FRED Graph (2)'!B87</f>
        <v>4506.4596330451222</v>
      </c>
      <c r="F77" s="6">
        <f t="shared" si="3"/>
        <v>1.113369765169514E-2</v>
      </c>
    </row>
    <row r="78" spans="1:6" x14ac:dyDescent="0.25">
      <c r="A78">
        <v>1968</v>
      </c>
      <c r="B78">
        <v>1</v>
      </c>
      <c r="C78" s="5">
        <v>4713.0129999999999</v>
      </c>
      <c r="D78" s="6">
        <f t="shared" si="2"/>
        <v>2.0395071286729127E-2</v>
      </c>
      <c r="E78" s="5">
        <f>+'FRED Graph (2)'!B88</f>
        <v>4556.6781445891665</v>
      </c>
      <c r="F78" s="6">
        <f t="shared" si="3"/>
        <v>1.1143672779358793E-2</v>
      </c>
    </row>
    <row r="79" spans="1:6" x14ac:dyDescent="0.25">
      <c r="A79">
        <v>1968</v>
      </c>
      <c r="B79">
        <v>2</v>
      </c>
      <c r="C79" s="5">
        <v>4791.7579999999998</v>
      </c>
      <c r="D79" s="6">
        <f t="shared" si="2"/>
        <v>1.6707995500967243E-2</v>
      </c>
      <c r="E79" s="5">
        <f>+'FRED Graph (2)'!B89</f>
        <v>4606.9935996451595</v>
      </c>
      <c r="F79" s="6">
        <f t="shared" si="3"/>
        <v>1.1042134963106909E-2</v>
      </c>
    </row>
    <row r="80" spans="1:6" x14ac:dyDescent="0.25">
      <c r="A80">
        <v>1968</v>
      </c>
      <c r="B80">
        <v>3</v>
      </c>
      <c r="C80" s="5">
        <v>4828.8919999999998</v>
      </c>
      <c r="D80" s="6">
        <f t="shared" si="2"/>
        <v>7.749556634537802E-3</v>
      </c>
      <c r="E80" s="5">
        <f>+'FRED Graph (2)'!B90</f>
        <v>4658.5698621942338</v>
      </c>
      <c r="F80" s="6">
        <f t="shared" si="3"/>
        <v>1.1195210376034881E-2</v>
      </c>
    </row>
    <row r="81" spans="1:6" x14ac:dyDescent="0.25">
      <c r="A81">
        <v>1968</v>
      </c>
      <c r="B81">
        <v>4</v>
      </c>
      <c r="C81" s="5">
        <v>4847.8850000000002</v>
      </c>
      <c r="D81" s="6">
        <f t="shared" si="2"/>
        <v>3.9332004111916063E-3</v>
      </c>
      <c r="E81" s="5">
        <f>+'FRED Graph (2)'!B91</f>
        <v>4710.9814434292603</v>
      </c>
      <c r="F81" s="6">
        <f t="shared" si="3"/>
        <v>1.1250573198517966E-2</v>
      </c>
    </row>
    <row r="82" spans="1:6" x14ac:dyDescent="0.25">
      <c r="A82">
        <v>1969</v>
      </c>
      <c r="B82">
        <v>1</v>
      </c>
      <c r="C82" s="5">
        <v>4923.76</v>
      </c>
      <c r="D82" s="6">
        <f t="shared" si="2"/>
        <v>1.5651155091343849E-2</v>
      </c>
      <c r="E82" s="5">
        <f>+'FRED Graph (2)'!B92</f>
        <v>4761.7533944962815</v>
      </c>
      <c r="F82" s="6">
        <f t="shared" si="3"/>
        <v>1.0777361718933731E-2</v>
      </c>
    </row>
    <row r="83" spans="1:6" x14ac:dyDescent="0.25">
      <c r="A83">
        <v>1969</v>
      </c>
      <c r="B83">
        <v>2</v>
      </c>
      <c r="C83" s="5">
        <v>4938.7280000000001</v>
      </c>
      <c r="D83" s="6">
        <f t="shared" si="2"/>
        <v>3.0399532064926404E-3</v>
      </c>
      <c r="E83" s="5">
        <f>+'FRED Graph (2)'!B93</f>
        <v>4810.6971940107742</v>
      </c>
      <c r="F83" s="6">
        <f t="shared" si="3"/>
        <v>1.0278524623106744E-2</v>
      </c>
    </row>
    <row r="84" spans="1:6" x14ac:dyDescent="0.25">
      <c r="A84">
        <v>1969</v>
      </c>
      <c r="B84">
        <v>3</v>
      </c>
      <c r="C84" s="5">
        <v>4971.3490000000002</v>
      </c>
      <c r="D84" s="6">
        <f t="shared" si="2"/>
        <v>6.6051420527715177E-3</v>
      </c>
      <c r="E84" s="5">
        <f>+'FRED Graph (2)'!B94</f>
        <v>4857.3563611465243</v>
      </c>
      <c r="F84" s="6">
        <f t="shared" si="3"/>
        <v>9.6990447026763515E-3</v>
      </c>
    </row>
    <row r="85" spans="1:6" x14ac:dyDescent="0.25">
      <c r="A85">
        <v>1969</v>
      </c>
      <c r="B85">
        <v>4</v>
      </c>
      <c r="C85" s="5">
        <v>4947.1040000000003</v>
      </c>
      <c r="D85" s="6">
        <f t="shared" si="2"/>
        <v>-4.8769458752543349E-3</v>
      </c>
      <c r="E85" s="5">
        <f>+'FRED Graph (2)'!B95</f>
        <v>4902.0821570520657</v>
      </c>
      <c r="F85" s="6">
        <f t="shared" si="3"/>
        <v>9.2078473515548875E-3</v>
      </c>
    </row>
    <row r="86" spans="1:6" x14ac:dyDescent="0.25">
      <c r="A86">
        <v>1970</v>
      </c>
      <c r="B86">
        <v>1</v>
      </c>
      <c r="C86" s="5">
        <v>4939.759</v>
      </c>
      <c r="D86" s="6">
        <f t="shared" si="2"/>
        <v>-1.4847070124258677E-3</v>
      </c>
      <c r="E86" s="5">
        <f>+'FRED Graph (2)'!B96</f>
        <v>4945.1205625773937</v>
      </c>
      <c r="F86" s="6">
        <f t="shared" si="3"/>
        <v>8.7796173435024105E-3</v>
      </c>
    </row>
    <row r="87" spans="1:6" x14ac:dyDescent="0.25">
      <c r="A87">
        <v>1970</v>
      </c>
      <c r="B87">
        <v>2</v>
      </c>
      <c r="C87" s="5">
        <v>4946.7700000000004</v>
      </c>
      <c r="D87" s="6">
        <f t="shared" si="2"/>
        <v>1.4193000103852604E-3</v>
      </c>
      <c r="E87" s="5">
        <f>+'FRED Graph (2)'!B97</f>
        <v>4986.3386316339584</v>
      </c>
      <c r="F87" s="6">
        <f t="shared" si="3"/>
        <v>8.3350989192225722E-3</v>
      </c>
    </row>
    <row r="88" spans="1:6" x14ac:dyDescent="0.25">
      <c r="A88">
        <v>1970</v>
      </c>
      <c r="B88">
        <v>3</v>
      </c>
      <c r="C88" s="5">
        <v>4992.357</v>
      </c>
      <c r="D88" s="6">
        <f t="shared" si="2"/>
        <v>9.2155083013762962E-3</v>
      </c>
      <c r="E88" s="5">
        <f>+'FRED Graph (2)'!B98</f>
        <v>5026.205222434869</v>
      </c>
      <c r="F88" s="6">
        <f t="shared" si="3"/>
        <v>7.9951631339258977E-3</v>
      </c>
    </row>
    <row r="89" spans="1:6" x14ac:dyDescent="0.25">
      <c r="A89">
        <v>1970</v>
      </c>
      <c r="B89">
        <v>4</v>
      </c>
      <c r="C89" s="5">
        <v>4938.857</v>
      </c>
      <c r="D89" s="6">
        <f t="shared" si="2"/>
        <v>-1.0716381060088431E-2</v>
      </c>
      <c r="E89" s="5">
        <f>+'FRED Graph (2)'!B99</f>
        <v>5065.0471924147278</v>
      </c>
      <c r="F89" s="6">
        <f t="shared" si="3"/>
        <v>7.7278917714072026E-3</v>
      </c>
    </row>
    <row r="90" spans="1:6" x14ac:dyDescent="0.25">
      <c r="A90">
        <v>1971</v>
      </c>
      <c r="B90">
        <v>1</v>
      </c>
      <c r="C90" s="5">
        <v>5072.9960000000001</v>
      </c>
      <c r="D90" s="6">
        <f t="shared" si="2"/>
        <v>2.7159927894247593E-2</v>
      </c>
      <c r="E90" s="5">
        <f>+'FRED Graph (2)'!B100</f>
        <v>5103.9317280148107</v>
      </c>
      <c r="F90" s="6">
        <f t="shared" si="3"/>
        <v>7.6770332284989973E-3</v>
      </c>
    </row>
    <row r="91" spans="1:6" x14ac:dyDescent="0.25">
      <c r="A91">
        <v>1971</v>
      </c>
      <c r="B91">
        <v>2</v>
      </c>
      <c r="C91" s="5">
        <v>5100.4470000000001</v>
      </c>
      <c r="D91" s="6">
        <f t="shared" si="2"/>
        <v>5.4112007973197152E-3</v>
      </c>
      <c r="E91" s="5">
        <f>+'FRED Graph (2)'!B101</f>
        <v>5143.6084225516443</v>
      </c>
      <c r="F91" s="6">
        <f t="shared" si="3"/>
        <v>7.7737510317885672E-3</v>
      </c>
    </row>
    <row r="92" spans="1:6" x14ac:dyDescent="0.25">
      <c r="A92">
        <v>1971</v>
      </c>
      <c r="B92">
        <v>3</v>
      </c>
      <c r="C92" s="5">
        <v>5142.4219999999996</v>
      </c>
      <c r="D92" s="6">
        <f t="shared" si="2"/>
        <v>8.2296708504174809E-3</v>
      </c>
      <c r="E92" s="5">
        <f>+'FRED Graph (2)'!B102</f>
        <v>5183.8731349287082</v>
      </c>
      <c r="F92" s="6">
        <f t="shared" si="3"/>
        <v>7.8281060822062987E-3</v>
      </c>
    </row>
    <row r="93" spans="1:6" x14ac:dyDescent="0.25">
      <c r="A93">
        <v>1971</v>
      </c>
      <c r="B93">
        <v>4</v>
      </c>
      <c r="C93" s="5">
        <v>5154.5469999999996</v>
      </c>
      <c r="D93" s="6">
        <f t="shared" si="2"/>
        <v>2.3578383882147946E-3</v>
      </c>
      <c r="E93" s="5">
        <f>+'FRED Graph (2)'!B103</f>
        <v>5224.7492393738794</v>
      </c>
      <c r="F93" s="6">
        <f t="shared" si="3"/>
        <v>7.8852439828724918E-3</v>
      </c>
    </row>
    <row r="94" spans="1:6" x14ac:dyDescent="0.25">
      <c r="A94">
        <v>1972</v>
      </c>
      <c r="B94">
        <v>1</v>
      </c>
      <c r="C94" s="5">
        <v>5249.3370000000004</v>
      </c>
      <c r="D94" s="6">
        <f t="shared" si="2"/>
        <v>1.8389588842627758E-2</v>
      </c>
      <c r="E94" s="5">
        <f>+'FRED Graph (2)'!B104</f>
        <v>5266.3945125314303</v>
      </c>
      <c r="F94" s="6">
        <f t="shared" si="3"/>
        <v>7.9707697440694059E-3</v>
      </c>
    </row>
    <row r="95" spans="1:6" x14ac:dyDescent="0.25">
      <c r="A95">
        <v>1972</v>
      </c>
      <c r="B95">
        <v>2</v>
      </c>
      <c r="C95" s="5">
        <v>5368.4849999999997</v>
      </c>
      <c r="D95" s="6">
        <f t="shared" si="2"/>
        <v>2.2697723541087012E-2</v>
      </c>
      <c r="E95" s="5">
        <f>+'FRED Graph (2)'!B105</f>
        <v>5308.6411597809929</v>
      </c>
      <c r="F95" s="6">
        <f t="shared" si="3"/>
        <v>8.0219298324568644E-3</v>
      </c>
    </row>
    <row r="96" spans="1:6" x14ac:dyDescent="0.25">
      <c r="A96">
        <v>1972</v>
      </c>
      <c r="B96">
        <v>3</v>
      </c>
      <c r="C96" s="5">
        <v>5419.1840000000002</v>
      </c>
      <c r="D96" s="6">
        <f t="shared" si="2"/>
        <v>9.4438188800007872E-3</v>
      </c>
      <c r="E96" s="5">
        <f>+'FRED Graph (2)'!B106</f>
        <v>5351.5745600038535</v>
      </c>
      <c r="F96" s="6">
        <f t="shared" si="3"/>
        <v>8.0874557030017336E-3</v>
      </c>
    </row>
    <row r="97" spans="1:6" x14ac:dyDescent="0.25">
      <c r="A97">
        <v>1972</v>
      </c>
      <c r="B97">
        <v>4</v>
      </c>
      <c r="C97" s="5">
        <v>5509.9260000000004</v>
      </c>
      <c r="D97" s="6">
        <f t="shared" si="2"/>
        <v>1.6744587376992692E-2</v>
      </c>
      <c r="E97" s="5">
        <f>+'FRED Graph (2)'!B107</f>
        <v>5395.2240924749485</v>
      </c>
      <c r="F97" s="6">
        <f t="shared" si="3"/>
        <v>8.1563906064803238E-3</v>
      </c>
    </row>
    <row r="98" spans="1:6" x14ac:dyDescent="0.25">
      <c r="A98">
        <v>1973</v>
      </c>
      <c r="B98">
        <v>1</v>
      </c>
      <c r="C98" s="5">
        <v>5646.2860000000001</v>
      </c>
      <c r="D98" s="6">
        <f t="shared" si="2"/>
        <v>2.4748063767099593E-2</v>
      </c>
      <c r="E98" s="5">
        <f>+'FRED Graph (2)'!B108</f>
        <v>5439.8896093113362</v>
      </c>
      <c r="F98" s="6">
        <f t="shared" si="3"/>
        <v>8.2787139275057875E-3</v>
      </c>
    </row>
    <row r="99" spans="1:6" x14ac:dyDescent="0.25">
      <c r="A99">
        <v>1973</v>
      </c>
      <c r="B99">
        <v>2</v>
      </c>
      <c r="C99" s="5">
        <v>5707.7550000000001</v>
      </c>
      <c r="D99" s="6">
        <f t="shared" si="2"/>
        <v>1.0886625296699481E-2</v>
      </c>
      <c r="E99" s="5">
        <f>+'FRED Graph (2)'!B109</f>
        <v>5486.6967271918456</v>
      </c>
      <c r="F99" s="6">
        <f t="shared" si="3"/>
        <v>8.604424214857298E-3</v>
      </c>
    </row>
    <row r="100" spans="1:6" x14ac:dyDescent="0.25">
      <c r="A100">
        <v>1973</v>
      </c>
      <c r="B100">
        <v>3</v>
      </c>
      <c r="C100" s="5">
        <v>5677.7380000000003</v>
      </c>
      <c r="D100" s="6">
        <f t="shared" si="2"/>
        <v>-5.2589853628965955E-3</v>
      </c>
      <c r="E100" s="5">
        <f>+'FRED Graph (2)'!B110</f>
        <v>5534.0687419894457</v>
      </c>
      <c r="F100" s="6">
        <f t="shared" si="3"/>
        <v>8.6339772641024215E-3</v>
      </c>
    </row>
    <row r="101" spans="1:6" x14ac:dyDescent="0.25">
      <c r="A101">
        <v>1973</v>
      </c>
      <c r="B101">
        <v>4</v>
      </c>
      <c r="C101" s="5">
        <v>5731.6319999999996</v>
      </c>
      <c r="D101" s="6">
        <f t="shared" si="2"/>
        <v>9.4921604343136678E-3</v>
      </c>
      <c r="E101" s="5">
        <f>+'FRED Graph (2)'!B111</f>
        <v>5582.5199418700595</v>
      </c>
      <c r="F101" s="6">
        <f t="shared" si="3"/>
        <v>8.7550773471591903E-3</v>
      </c>
    </row>
    <row r="102" spans="1:6" x14ac:dyDescent="0.25">
      <c r="A102">
        <v>1974</v>
      </c>
      <c r="B102">
        <v>1</v>
      </c>
      <c r="C102" s="5">
        <v>5682.3530000000001</v>
      </c>
      <c r="D102" s="6">
        <f t="shared" si="2"/>
        <v>-8.5977257437322985E-3</v>
      </c>
      <c r="E102" s="5">
        <f>+'FRED Graph (2)'!B112</f>
        <v>5631.5986372492562</v>
      </c>
      <c r="F102" s="6">
        <f t="shared" si="3"/>
        <v>8.7914948607878962E-3</v>
      </c>
    </row>
    <row r="103" spans="1:6" x14ac:dyDescent="0.25">
      <c r="A103">
        <v>1974</v>
      </c>
      <c r="B103">
        <v>2</v>
      </c>
      <c r="C103" s="5">
        <v>5695.8590000000004</v>
      </c>
      <c r="D103" s="6">
        <f t="shared" si="2"/>
        <v>2.3768322735318037E-3</v>
      </c>
      <c r="E103" s="5">
        <f>+'FRED Graph (2)'!B113</f>
        <v>5680.9703933158871</v>
      </c>
      <c r="F103" s="6">
        <f t="shared" si="3"/>
        <v>8.7669166868657999E-3</v>
      </c>
    </row>
    <row r="104" spans="1:6" x14ac:dyDescent="0.25">
      <c r="A104">
        <v>1974</v>
      </c>
      <c r="B104">
        <v>3</v>
      </c>
      <c r="C104" s="5">
        <v>5642.0249999999996</v>
      </c>
      <c r="D104" s="6">
        <f t="shared" si="2"/>
        <v>-9.4514277828858795E-3</v>
      </c>
      <c r="E104" s="5">
        <f>+'FRED Graph (2)'!B114</f>
        <v>5729.7526409153515</v>
      </c>
      <c r="F104" s="6">
        <f t="shared" si="3"/>
        <v>8.5869568440033461E-3</v>
      </c>
    </row>
    <row r="105" spans="1:6" x14ac:dyDescent="0.25">
      <c r="A105">
        <v>1974</v>
      </c>
      <c r="B105">
        <v>4</v>
      </c>
      <c r="C105" s="5">
        <v>5620.1260000000002</v>
      </c>
      <c r="D105" s="6">
        <f t="shared" si="2"/>
        <v>-3.8814078278631703E-3</v>
      </c>
      <c r="E105" s="5">
        <f>+'FRED Graph (2)'!B115</f>
        <v>5777.8023181377257</v>
      </c>
      <c r="F105" s="6">
        <f t="shared" si="3"/>
        <v>8.385995039167593E-3</v>
      </c>
    </row>
    <row r="106" spans="1:6" x14ac:dyDescent="0.25">
      <c r="A106">
        <v>1975</v>
      </c>
      <c r="B106">
        <v>1</v>
      </c>
      <c r="C106" s="5">
        <v>5551.7129999999997</v>
      </c>
      <c r="D106" s="6">
        <f t="shared" si="2"/>
        <v>-1.2172858757971028E-2</v>
      </c>
      <c r="E106" s="5">
        <f>+'FRED Graph (2)'!B116</f>
        <v>5824.54309169916</v>
      </c>
      <c r="F106" s="6">
        <f t="shared" si="3"/>
        <v>8.0897149102359123E-3</v>
      </c>
    </row>
    <row r="107" spans="1:6" x14ac:dyDescent="0.25">
      <c r="A107">
        <v>1975</v>
      </c>
      <c r="B107">
        <v>2</v>
      </c>
      <c r="C107" s="5">
        <v>5591.3819999999996</v>
      </c>
      <c r="D107" s="6">
        <f t="shared" si="2"/>
        <v>7.1453621611923257E-3</v>
      </c>
      <c r="E107" s="5">
        <f>+'FRED Graph (2)'!B117</f>
        <v>5870.2552801004431</v>
      </c>
      <c r="F107" s="6">
        <f t="shared" si="3"/>
        <v>7.8482015982386244E-3</v>
      </c>
    </row>
    <row r="108" spans="1:6" x14ac:dyDescent="0.25">
      <c r="A108">
        <v>1975</v>
      </c>
      <c r="B108">
        <v>3</v>
      </c>
      <c r="C108" s="5">
        <v>5687.0870000000004</v>
      </c>
      <c r="D108" s="6">
        <f t="shared" si="2"/>
        <v>1.7116519672596198E-2</v>
      </c>
      <c r="E108" s="5">
        <f>+'FRED Graph (2)'!B118</f>
        <v>5915.5757723931138</v>
      </c>
      <c r="F108" s="6">
        <f t="shared" si="3"/>
        <v>7.7203614034133672E-3</v>
      </c>
    </row>
    <row r="109" spans="1:6" x14ac:dyDescent="0.25">
      <c r="A109">
        <v>1975</v>
      </c>
      <c r="B109">
        <v>4</v>
      </c>
      <c r="C109" s="5">
        <v>5763.665</v>
      </c>
      <c r="D109" s="6">
        <f t="shared" si="2"/>
        <v>1.3465241519955651E-2</v>
      </c>
      <c r="E109" s="5">
        <f>+'FRED Graph (2)'!B119</f>
        <v>5960.9479767300309</v>
      </c>
      <c r="F109" s="6">
        <f t="shared" si="3"/>
        <v>7.6699557376411764E-3</v>
      </c>
    </row>
    <row r="110" spans="1:6" x14ac:dyDescent="0.25">
      <c r="A110">
        <v>1976</v>
      </c>
      <c r="B110">
        <v>1</v>
      </c>
      <c r="C110" s="5">
        <v>5893.2759999999998</v>
      </c>
      <c r="D110" s="6">
        <f t="shared" si="2"/>
        <v>2.2487601205136043E-2</v>
      </c>
      <c r="E110" s="5">
        <f>+'FRED Graph (2)'!B120</f>
        <v>6006.2048743552077</v>
      </c>
      <c r="F110" s="6">
        <f t="shared" si="3"/>
        <v>7.5922316050816008E-3</v>
      </c>
    </row>
    <row r="111" spans="1:6" x14ac:dyDescent="0.25">
      <c r="A111">
        <v>1976</v>
      </c>
      <c r="B111">
        <v>2</v>
      </c>
      <c r="C111" s="5">
        <v>5936.5150000000003</v>
      </c>
      <c r="D111" s="6">
        <f t="shared" si="2"/>
        <v>7.337005767250826E-3</v>
      </c>
      <c r="E111" s="5">
        <f>+'FRED Graph (2)'!B121</f>
        <v>6052.3239884306704</v>
      </c>
      <c r="F111" s="6">
        <f t="shared" si="3"/>
        <v>7.6785782437056582E-3</v>
      </c>
    </row>
    <row r="112" spans="1:6" x14ac:dyDescent="0.25">
      <c r="A112">
        <v>1976</v>
      </c>
      <c r="B112">
        <v>3</v>
      </c>
      <c r="C112" s="5">
        <v>5969.0889999999999</v>
      </c>
      <c r="D112" s="6">
        <f t="shared" si="2"/>
        <v>5.4870576424046469E-3</v>
      </c>
      <c r="E112" s="5">
        <f>+'FRED Graph (2)'!B122</f>
        <v>6099.8266336425477</v>
      </c>
      <c r="F112" s="6">
        <f t="shared" si="3"/>
        <v>7.8486619854920558E-3</v>
      </c>
    </row>
    <row r="113" spans="1:6" x14ac:dyDescent="0.25">
      <c r="A113">
        <v>1976</v>
      </c>
      <c r="B113">
        <v>4</v>
      </c>
      <c r="C113" s="5">
        <v>6012.3559999999998</v>
      </c>
      <c r="D113" s="6">
        <f t="shared" si="2"/>
        <v>7.2485097809733556E-3</v>
      </c>
      <c r="E113" s="5">
        <f>+'FRED Graph (2)'!B123</f>
        <v>6148.0796385168578</v>
      </c>
      <c r="F113" s="6">
        <f t="shared" si="3"/>
        <v>7.9105534915007159E-3</v>
      </c>
    </row>
    <row r="114" spans="1:6" x14ac:dyDescent="0.25">
      <c r="A114">
        <v>1977</v>
      </c>
      <c r="B114">
        <v>1</v>
      </c>
      <c r="C114" s="5">
        <v>6083.3909999999996</v>
      </c>
      <c r="D114" s="6">
        <f t="shared" si="2"/>
        <v>1.1814835981103E-2</v>
      </c>
      <c r="E114" s="5">
        <f>+'FRED Graph (2)'!B124</f>
        <v>6197.9564118909657</v>
      </c>
      <c r="F114" s="6">
        <f t="shared" si="3"/>
        <v>8.1125776350776668E-3</v>
      </c>
    </row>
    <row r="115" spans="1:6" x14ac:dyDescent="0.25">
      <c r="A115">
        <v>1977</v>
      </c>
      <c r="B115">
        <v>2</v>
      </c>
      <c r="C115" s="5">
        <v>6201.6589999999997</v>
      </c>
      <c r="D115" s="6">
        <f t="shared" si="2"/>
        <v>1.9441130777225979E-2</v>
      </c>
      <c r="E115" s="5">
        <f>+'FRED Graph (2)'!B125</f>
        <v>6249.0098565838744</v>
      </c>
      <c r="F115" s="6">
        <f t="shared" si="3"/>
        <v>8.2371416157365207E-3</v>
      </c>
    </row>
    <row r="116" spans="1:6" x14ac:dyDescent="0.25">
      <c r="A116">
        <v>1977</v>
      </c>
      <c r="B116">
        <v>3</v>
      </c>
      <c r="C116" s="5">
        <v>6313.5590000000002</v>
      </c>
      <c r="D116" s="6">
        <f t="shared" si="2"/>
        <v>1.8043558989618846E-2</v>
      </c>
      <c r="E116" s="5">
        <f>+'FRED Graph (2)'!B126</f>
        <v>6300.8389050361147</v>
      </c>
      <c r="F116" s="6">
        <f t="shared" si="3"/>
        <v>8.2939617062107729E-3</v>
      </c>
    </row>
    <row r="117" spans="1:6" x14ac:dyDescent="0.25">
      <c r="A117">
        <v>1977</v>
      </c>
      <c r="B117">
        <v>4</v>
      </c>
      <c r="C117" s="5">
        <v>6313.6970000000001</v>
      </c>
      <c r="D117" s="6">
        <f t="shared" si="2"/>
        <v>2.1857719235685025E-5</v>
      </c>
      <c r="E117" s="5">
        <f>+'FRED Graph (2)'!B127</f>
        <v>6354.0846614467455</v>
      </c>
      <c r="F117" s="6">
        <f t="shared" si="3"/>
        <v>8.4505820912310625E-3</v>
      </c>
    </row>
    <row r="118" spans="1:6" x14ac:dyDescent="0.25">
      <c r="A118">
        <v>1978</v>
      </c>
      <c r="B118">
        <v>1</v>
      </c>
      <c r="C118" s="5">
        <v>6333.848</v>
      </c>
      <c r="D118" s="6">
        <f t="shared" si="2"/>
        <v>3.1916324144158903E-3</v>
      </c>
      <c r="E118" s="5">
        <f>+'FRED Graph (2)'!B128</f>
        <v>6408.7338634322459</v>
      </c>
      <c r="F118" s="6">
        <f t="shared" si="3"/>
        <v>8.6006411461720944E-3</v>
      </c>
    </row>
    <row r="119" spans="1:6" x14ac:dyDescent="0.25">
      <c r="A119">
        <v>1978</v>
      </c>
      <c r="B119">
        <v>2</v>
      </c>
      <c r="C119" s="5">
        <v>6578.6049999999996</v>
      </c>
      <c r="D119" s="6">
        <f t="shared" si="2"/>
        <v>3.8642701877279029E-2</v>
      </c>
      <c r="E119" s="5">
        <f>+'FRED Graph (2)'!B129</f>
        <v>6464.4701284451676</v>
      </c>
      <c r="F119" s="6">
        <f t="shared" si="3"/>
        <v>8.6969230117275309E-3</v>
      </c>
    </row>
    <row r="120" spans="1:6" x14ac:dyDescent="0.25">
      <c r="A120">
        <v>1978</v>
      </c>
      <c r="B120">
        <v>3</v>
      </c>
      <c r="C120" s="5">
        <v>6644.7539999999999</v>
      </c>
      <c r="D120" s="6">
        <f t="shared" si="2"/>
        <v>1.0055171271112995E-2</v>
      </c>
      <c r="E120" s="5">
        <f>+'FRED Graph (2)'!B130</f>
        <v>6521.7112657907546</v>
      </c>
      <c r="F120" s="6">
        <f t="shared" si="3"/>
        <v>8.8547299636689836E-3</v>
      </c>
    </row>
    <row r="121" spans="1:6" x14ac:dyDescent="0.25">
      <c r="A121">
        <v>1978</v>
      </c>
      <c r="B121">
        <v>4</v>
      </c>
      <c r="C121" s="5">
        <v>6734.0690000000004</v>
      </c>
      <c r="D121" s="6">
        <f t="shared" si="2"/>
        <v>1.3441430638365226E-2</v>
      </c>
      <c r="E121" s="5">
        <f>+'FRED Graph (2)'!B131</f>
        <v>6580.0271427013586</v>
      </c>
      <c r="F121" s="6">
        <f t="shared" si="3"/>
        <v>8.9418059975294728E-3</v>
      </c>
    </row>
    <row r="122" spans="1:6" x14ac:dyDescent="0.25">
      <c r="A122">
        <v>1979</v>
      </c>
      <c r="B122">
        <v>1</v>
      </c>
      <c r="C122" s="5">
        <v>6746.1760000000004</v>
      </c>
      <c r="D122" s="6">
        <f t="shared" si="2"/>
        <v>1.7978728759684426E-3</v>
      </c>
      <c r="E122" s="5">
        <f>+'FRED Graph (2)'!B132</f>
        <v>6639.9792119396707</v>
      </c>
      <c r="F122" s="6">
        <f t="shared" si="3"/>
        <v>9.1112191390900765E-3</v>
      </c>
    </row>
    <row r="123" spans="1:6" x14ac:dyDescent="0.25">
      <c r="A123">
        <v>1979</v>
      </c>
      <c r="B123">
        <v>2</v>
      </c>
      <c r="C123" s="5">
        <v>6753.3890000000001</v>
      </c>
      <c r="D123" s="6">
        <f t="shared" si="2"/>
        <v>1.0691983132369298E-3</v>
      </c>
      <c r="E123" s="5">
        <f>+'FRED Graph (2)'!B133</f>
        <v>6697.9386842055064</v>
      </c>
      <c r="F123" s="6">
        <f t="shared" si="3"/>
        <v>8.7288635123459191E-3</v>
      </c>
    </row>
    <row r="124" spans="1:6" x14ac:dyDescent="0.25">
      <c r="A124">
        <v>1979</v>
      </c>
      <c r="B124">
        <v>3</v>
      </c>
      <c r="C124" s="5">
        <v>6803.558</v>
      </c>
      <c r="D124" s="6">
        <f t="shared" si="2"/>
        <v>7.4287146794000947E-3</v>
      </c>
      <c r="E124" s="5">
        <f>+'FRED Graph (2)'!B134</f>
        <v>6757.0171027992556</v>
      </c>
      <c r="F124" s="6">
        <f t="shared" si="3"/>
        <v>8.8203880894077713E-3</v>
      </c>
    </row>
    <row r="125" spans="1:6" x14ac:dyDescent="0.25">
      <c r="A125">
        <v>1979</v>
      </c>
      <c r="B125">
        <v>4</v>
      </c>
      <c r="C125" s="5">
        <v>6820.5720000000001</v>
      </c>
      <c r="D125" s="6">
        <f t="shared" si="2"/>
        <v>2.5007503426883737E-3</v>
      </c>
      <c r="E125" s="5">
        <f>+'FRED Graph (2)'!B135</f>
        <v>6807.4313510180809</v>
      </c>
      <c r="F125" s="6">
        <f t="shared" si="3"/>
        <v>7.461021254177469E-3</v>
      </c>
    </row>
    <row r="126" spans="1:6" x14ac:dyDescent="0.25">
      <c r="A126">
        <v>1980</v>
      </c>
      <c r="B126">
        <v>1</v>
      </c>
      <c r="C126" s="5">
        <v>6842.0240000000003</v>
      </c>
      <c r="D126" s="6">
        <f t="shared" si="2"/>
        <v>3.145190755262206E-3</v>
      </c>
      <c r="E126" s="5">
        <f>+'FRED Graph (2)'!B136</f>
        <v>6853.9741011129672</v>
      </c>
      <c r="F126" s="6">
        <f t="shared" si="3"/>
        <v>6.8370502315715509E-3</v>
      </c>
    </row>
    <row r="127" spans="1:6" x14ac:dyDescent="0.25">
      <c r="A127">
        <v>1980</v>
      </c>
      <c r="B127">
        <v>2</v>
      </c>
      <c r="C127" s="5">
        <v>6701.0460000000003</v>
      </c>
      <c r="D127" s="6">
        <f t="shared" si="2"/>
        <v>-2.0604721643770918E-2</v>
      </c>
      <c r="E127" s="5">
        <f>+'FRED Graph (2)'!B137</f>
        <v>6896.0535074943582</v>
      </c>
      <c r="F127" s="6">
        <f t="shared" si="3"/>
        <v>6.1394171849231682E-3</v>
      </c>
    </row>
    <row r="128" spans="1:6" x14ac:dyDescent="0.25">
      <c r="A128">
        <v>1980</v>
      </c>
      <c r="B128">
        <v>3</v>
      </c>
      <c r="C128" s="5">
        <v>6693.0820000000003</v>
      </c>
      <c r="D128" s="6">
        <f t="shared" si="2"/>
        <v>-1.1884711730079101E-3</v>
      </c>
      <c r="E128" s="5">
        <f>+'FRED Graph (2)'!B138</f>
        <v>6933.6300333638792</v>
      </c>
      <c r="F128" s="6">
        <f t="shared" si="3"/>
        <v>5.4489898938117065E-3</v>
      </c>
    </row>
    <row r="129" spans="1:6" x14ac:dyDescent="0.25">
      <c r="A129">
        <v>1980</v>
      </c>
      <c r="B129">
        <v>4</v>
      </c>
      <c r="C129" s="5">
        <v>6817.9030000000002</v>
      </c>
      <c r="D129" s="6">
        <f t="shared" si="2"/>
        <v>1.8649256052742258E-2</v>
      </c>
      <c r="E129" s="5">
        <f>+'FRED Graph (2)'!B139</f>
        <v>6973.2987656064588</v>
      </c>
      <c r="F129" s="6">
        <f t="shared" si="3"/>
        <v>5.7212069365826235E-3</v>
      </c>
    </row>
    <row r="130" spans="1:6" x14ac:dyDescent="0.25">
      <c r="A130">
        <v>1981</v>
      </c>
      <c r="B130">
        <v>1</v>
      </c>
      <c r="C130" s="5">
        <v>6951.4949999999999</v>
      </c>
      <c r="D130" s="6">
        <f t="shared" si="2"/>
        <v>1.9594294609354135E-2</v>
      </c>
      <c r="E130" s="5">
        <f>+'FRED Graph (2)'!B140</f>
        <v>7017.0828500171647</v>
      </c>
      <c r="F130" s="6">
        <f t="shared" si="3"/>
        <v>6.2788195203475894E-3</v>
      </c>
    </row>
    <row r="131" spans="1:6" x14ac:dyDescent="0.25">
      <c r="A131">
        <v>1981</v>
      </c>
      <c r="B131">
        <v>2</v>
      </c>
      <c r="C131" s="5">
        <v>6899.98</v>
      </c>
      <c r="D131" s="6">
        <f t="shared" si="2"/>
        <v>-7.4106361293506673E-3</v>
      </c>
      <c r="E131" s="5">
        <f>+'FRED Graph (2)'!B141</f>
        <v>7064.0682456619106</v>
      </c>
      <c r="F131" s="6">
        <f t="shared" si="3"/>
        <v>6.6958587562679917E-3</v>
      </c>
    </row>
    <row r="132" spans="1:6" x14ac:dyDescent="0.25">
      <c r="A132">
        <v>1981</v>
      </c>
      <c r="B132">
        <v>3</v>
      </c>
      <c r="C132" s="5">
        <v>6982.6090000000004</v>
      </c>
      <c r="D132" s="6">
        <f t="shared" ref="D132:D195" si="4">+C132/C131-1</f>
        <v>1.197525210218009E-2</v>
      </c>
      <c r="E132" s="5">
        <f>+'FRED Graph (2)'!B142</f>
        <v>7113.6670908448905</v>
      </c>
      <c r="F132" s="6">
        <f t="shared" ref="F132:F195" si="5">+E132/E131-1</f>
        <v>7.0212862415985899E-3</v>
      </c>
    </row>
    <row r="133" spans="1:6" x14ac:dyDescent="0.25">
      <c r="A133">
        <v>1981</v>
      </c>
      <c r="B133">
        <v>4</v>
      </c>
      <c r="C133" s="5">
        <v>6906.5290000000005</v>
      </c>
      <c r="D133" s="6">
        <f t="shared" si="4"/>
        <v>-1.0895640870053014E-2</v>
      </c>
      <c r="E133" s="5">
        <f>+'FRED Graph (2)'!B143</f>
        <v>7165.8462652086528</v>
      </c>
      <c r="F133" s="6">
        <f t="shared" si="5"/>
        <v>7.3350599202084421E-3</v>
      </c>
    </row>
    <row r="134" spans="1:6" x14ac:dyDescent="0.25">
      <c r="A134">
        <v>1982</v>
      </c>
      <c r="B134">
        <v>1</v>
      </c>
      <c r="C134" s="5">
        <v>6799.2330000000002</v>
      </c>
      <c r="D134" s="6">
        <f t="shared" si="4"/>
        <v>-1.5535444794338882E-2</v>
      </c>
      <c r="E134" s="5">
        <f>+'FRED Graph (2)'!B144</f>
        <v>7219.8608180578012</v>
      </c>
      <c r="F134" s="6">
        <f t="shared" si="5"/>
        <v>7.5377772352440697E-3</v>
      </c>
    </row>
    <row r="135" spans="1:6" x14ac:dyDescent="0.25">
      <c r="A135">
        <v>1982</v>
      </c>
      <c r="B135">
        <v>2</v>
      </c>
      <c r="C135" s="5">
        <v>6830.2510000000002</v>
      </c>
      <c r="D135" s="6">
        <f t="shared" si="4"/>
        <v>4.5619851533253986E-3</v>
      </c>
      <c r="E135" s="5">
        <f>+'FRED Graph (2)'!B145</f>
        <v>7275.197650081851</v>
      </c>
      <c r="F135" s="6">
        <f t="shared" si="5"/>
        <v>7.6645289180152787E-3</v>
      </c>
    </row>
    <row r="136" spans="1:6" x14ac:dyDescent="0.25">
      <c r="A136">
        <v>1982</v>
      </c>
      <c r="B136">
        <v>3</v>
      </c>
      <c r="C136" s="5">
        <v>6804.1390000000001</v>
      </c>
      <c r="D136" s="6">
        <f t="shared" si="4"/>
        <v>-3.8229927421408183E-3</v>
      </c>
      <c r="E136" s="5">
        <f>+'FRED Graph (2)'!B146</f>
        <v>7331.6461214548972</v>
      </c>
      <c r="F136" s="6">
        <f t="shared" si="5"/>
        <v>7.7590292508975534E-3</v>
      </c>
    </row>
    <row r="137" spans="1:6" x14ac:dyDescent="0.25">
      <c r="A137">
        <v>1982</v>
      </c>
      <c r="B137">
        <v>4</v>
      </c>
      <c r="C137" s="5">
        <v>6806.857</v>
      </c>
      <c r="D137" s="6">
        <f t="shared" si="4"/>
        <v>3.994627387828853E-4</v>
      </c>
      <c r="E137" s="5">
        <f>+'FRED Graph (2)'!B147</f>
        <v>7389.1969403457151</v>
      </c>
      <c r="F137" s="6">
        <f t="shared" si="5"/>
        <v>7.8496449415916825E-3</v>
      </c>
    </row>
    <row r="138" spans="1:6" x14ac:dyDescent="0.25">
      <c r="A138">
        <v>1983</v>
      </c>
      <c r="B138">
        <v>1</v>
      </c>
      <c r="C138" s="5">
        <v>6896.5609999999997</v>
      </c>
      <c r="D138" s="6">
        <f t="shared" si="4"/>
        <v>1.3178475763483855E-2</v>
      </c>
      <c r="E138" s="5">
        <f>+'FRED Graph (2)'!B148</f>
        <v>7446.7071239615261</v>
      </c>
      <c r="F138" s="6">
        <f t="shared" si="5"/>
        <v>7.7830086381647234E-3</v>
      </c>
    </row>
    <row r="139" spans="1:6" x14ac:dyDescent="0.25">
      <c r="A139">
        <v>1983</v>
      </c>
      <c r="B139">
        <v>2</v>
      </c>
      <c r="C139" s="5">
        <v>7053.5</v>
      </c>
      <c r="D139" s="6">
        <f t="shared" si="4"/>
        <v>2.2756124393012778E-2</v>
      </c>
      <c r="E139" s="5">
        <f>+'FRED Graph (2)'!B149</f>
        <v>7505.60082845327</v>
      </c>
      <c r="F139" s="6">
        <f t="shared" si="5"/>
        <v>7.9086908497099095E-3</v>
      </c>
    </row>
    <row r="140" spans="1:6" x14ac:dyDescent="0.25">
      <c r="A140">
        <v>1983</v>
      </c>
      <c r="B140">
        <v>3</v>
      </c>
      <c r="C140" s="5">
        <v>7194.5039999999999</v>
      </c>
      <c r="D140" s="6">
        <f t="shared" si="4"/>
        <v>1.9990642943219727E-2</v>
      </c>
      <c r="E140" s="5">
        <f>+'FRED Graph (2)'!B150</f>
        <v>7566.2176795453452</v>
      </c>
      <c r="F140" s="6">
        <f t="shared" si="5"/>
        <v>8.076215679133858E-3</v>
      </c>
    </row>
    <row r="141" spans="1:6" x14ac:dyDescent="0.25">
      <c r="A141">
        <v>1983</v>
      </c>
      <c r="B141">
        <v>4</v>
      </c>
      <c r="C141" s="5">
        <v>7344.5969999999998</v>
      </c>
      <c r="D141" s="6">
        <f t="shared" si="4"/>
        <v>2.086217479342567E-2</v>
      </c>
      <c r="E141" s="5">
        <f>+'FRED Graph (2)'!B151</f>
        <v>7629.3461692703622</v>
      </c>
      <c r="F141" s="6">
        <f t="shared" si="5"/>
        <v>8.3434672908868635E-3</v>
      </c>
    </row>
    <row r="142" spans="1:6" x14ac:dyDescent="0.25">
      <c r="A142">
        <v>1984</v>
      </c>
      <c r="B142">
        <v>1</v>
      </c>
      <c r="C142" s="5">
        <v>7488.1670000000004</v>
      </c>
      <c r="D142" s="6">
        <f t="shared" si="4"/>
        <v>1.9547702889620933E-2</v>
      </c>
      <c r="E142" s="5">
        <f>+'FRED Graph (2)'!B152</f>
        <v>7701.1611494434828</v>
      </c>
      <c r="F142" s="6">
        <f t="shared" si="5"/>
        <v>9.4129927492840881E-3</v>
      </c>
    </row>
    <row r="143" spans="1:6" x14ac:dyDescent="0.25">
      <c r="A143">
        <v>1984</v>
      </c>
      <c r="B143">
        <v>2</v>
      </c>
      <c r="C143" s="5">
        <v>7617.5469999999996</v>
      </c>
      <c r="D143" s="6">
        <f t="shared" si="4"/>
        <v>1.7277926627437656E-2</v>
      </c>
      <c r="E143" s="5">
        <f>+'FRED Graph (2)'!B153</f>
        <v>7768.8625027496937</v>
      </c>
      <c r="F143" s="6">
        <f t="shared" si="5"/>
        <v>8.7910578667871331E-3</v>
      </c>
    </row>
    <row r="144" spans="1:6" x14ac:dyDescent="0.25">
      <c r="A144">
        <v>1984</v>
      </c>
      <c r="B144">
        <v>3</v>
      </c>
      <c r="C144" s="5">
        <v>7690.9849999999997</v>
      </c>
      <c r="D144" s="6">
        <f t="shared" si="4"/>
        <v>9.6406362835701476E-3</v>
      </c>
      <c r="E144" s="5">
        <f>+'FRED Graph (2)'!B154</f>
        <v>7838.0969875881265</v>
      </c>
      <c r="F144" s="6">
        <f t="shared" si="5"/>
        <v>8.9117917602388186E-3</v>
      </c>
    </row>
    <row r="145" spans="1:6" x14ac:dyDescent="0.25">
      <c r="A145">
        <v>1984</v>
      </c>
      <c r="B145">
        <v>4</v>
      </c>
      <c r="C145" s="5">
        <v>7754.1170000000002</v>
      </c>
      <c r="D145" s="6">
        <f t="shared" si="4"/>
        <v>8.2085714638633345E-3</v>
      </c>
      <c r="E145" s="5">
        <f>+'FRED Graph (2)'!B155</f>
        <v>7908.4099434033433</v>
      </c>
      <c r="F145" s="6">
        <f t="shared" si="5"/>
        <v>8.9706667226190362E-3</v>
      </c>
    </row>
    <row r="146" spans="1:6" x14ac:dyDescent="0.25">
      <c r="A146">
        <v>1985</v>
      </c>
      <c r="B146">
        <v>1</v>
      </c>
      <c r="C146" s="5">
        <v>7829.26</v>
      </c>
      <c r="D146" s="6">
        <f t="shared" si="4"/>
        <v>9.6907230055982563E-3</v>
      </c>
      <c r="E146" s="5">
        <f>+'FRED Graph (2)'!B156</f>
        <v>7978.984573539854</v>
      </c>
      <c r="F146" s="6">
        <f t="shared" si="5"/>
        <v>8.9239974459567328E-3</v>
      </c>
    </row>
    <row r="147" spans="1:6" x14ac:dyDescent="0.25">
      <c r="A147">
        <v>1985</v>
      </c>
      <c r="B147">
        <v>2</v>
      </c>
      <c r="C147" s="5">
        <v>7898.1940000000004</v>
      </c>
      <c r="D147" s="6">
        <f t="shared" si="4"/>
        <v>8.8046635314193988E-3</v>
      </c>
      <c r="E147" s="5">
        <f>+'FRED Graph (2)'!B157</f>
        <v>8049.7445001582082</v>
      </c>
      <c r="F147" s="6">
        <f t="shared" si="5"/>
        <v>8.8682871819316667E-3</v>
      </c>
    </row>
    <row r="148" spans="1:6" x14ac:dyDescent="0.25">
      <c r="A148">
        <v>1985</v>
      </c>
      <c r="B148">
        <v>3</v>
      </c>
      <c r="C148" s="5">
        <v>8018.8090000000002</v>
      </c>
      <c r="D148" s="6">
        <f t="shared" si="4"/>
        <v>1.527121263417941E-2</v>
      </c>
      <c r="E148" s="5">
        <f>+'FRED Graph (2)'!B158</f>
        <v>8120.3593429614684</v>
      </c>
      <c r="F148" s="6">
        <f t="shared" si="5"/>
        <v>8.7723085871698192E-3</v>
      </c>
    </row>
    <row r="149" spans="1:6" x14ac:dyDescent="0.25">
      <c r="A149">
        <v>1985</v>
      </c>
      <c r="B149">
        <v>4</v>
      </c>
      <c r="C149" s="5">
        <v>8078.415</v>
      </c>
      <c r="D149" s="6">
        <f t="shared" si="4"/>
        <v>7.4332734449715776E-3</v>
      </c>
      <c r="E149" s="5">
        <f>+'FRED Graph (2)'!B159</f>
        <v>8190.5228259424503</v>
      </c>
      <c r="F149" s="6">
        <f t="shared" si="5"/>
        <v>8.6404406526414679E-3</v>
      </c>
    </row>
    <row r="150" spans="1:6" x14ac:dyDescent="0.25">
      <c r="A150">
        <v>1986</v>
      </c>
      <c r="B150">
        <v>1</v>
      </c>
      <c r="C150" s="5">
        <v>8153.8289999999997</v>
      </c>
      <c r="D150" s="6">
        <f t="shared" si="4"/>
        <v>9.3352470750760475E-3</v>
      </c>
      <c r="E150" s="5">
        <f>+'FRED Graph (2)'!B160</f>
        <v>8260.076011766696</v>
      </c>
      <c r="F150" s="6">
        <f t="shared" si="5"/>
        <v>8.4919103825638054E-3</v>
      </c>
    </row>
    <row r="151" spans="1:6" x14ac:dyDescent="0.25">
      <c r="A151">
        <v>1986</v>
      </c>
      <c r="B151">
        <v>2</v>
      </c>
      <c r="C151" s="5">
        <v>8190.5519999999997</v>
      </c>
      <c r="D151" s="6">
        <f t="shared" si="4"/>
        <v>4.5037736258632943E-3</v>
      </c>
      <c r="E151" s="5">
        <f>+'FRED Graph (2)'!B161</f>
        <v>8329.2904954461792</v>
      </c>
      <c r="F151" s="6">
        <f t="shared" si="5"/>
        <v>8.3794003325012856E-3</v>
      </c>
    </row>
    <row r="152" spans="1:6" x14ac:dyDescent="0.25">
      <c r="A152">
        <v>1986</v>
      </c>
      <c r="B152">
        <v>3</v>
      </c>
      <c r="C152" s="5">
        <v>8268.9349999999995</v>
      </c>
      <c r="D152" s="6">
        <f t="shared" si="4"/>
        <v>9.5699288643793512E-3</v>
      </c>
      <c r="E152" s="5">
        <f>+'FRED Graph (2)'!B162</f>
        <v>8398.3216831811478</v>
      </c>
      <c r="F152" s="6">
        <f t="shared" si="5"/>
        <v>8.2877632581921379E-3</v>
      </c>
    </row>
    <row r="153" spans="1:6" x14ac:dyDescent="0.25">
      <c r="A153">
        <v>1986</v>
      </c>
      <c r="B153">
        <v>4</v>
      </c>
      <c r="C153" s="5">
        <v>8313.3379999999997</v>
      </c>
      <c r="D153" s="6">
        <f t="shared" si="4"/>
        <v>5.3698571823337371E-3</v>
      </c>
      <c r="E153" s="5">
        <f>+'FRED Graph (2)'!B163</f>
        <v>8467.2808857141863</v>
      </c>
      <c r="F153" s="6">
        <f t="shared" si="5"/>
        <v>8.2110694415455932E-3</v>
      </c>
    </row>
    <row r="154" spans="1:6" x14ac:dyDescent="0.25">
      <c r="A154">
        <v>1987</v>
      </c>
      <c r="B154">
        <v>1</v>
      </c>
      <c r="C154" s="5">
        <v>8375.2739999999994</v>
      </c>
      <c r="D154" s="6">
        <f t="shared" si="4"/>
        <v>7.450196299007672E-3</v>
      </c>
      <c r="E154" s="5">
        <f>+'FRED Graph (2)'!B164</f>
        <v>8535.8302989814347</v>
      </c>
      <c r="F154" s="6">
        <f t="shared" si="5"/>
        <v>8.0958000794451035E-3</v>
      </c>
    </row>
    <row r="155" spans="1:6" x14ac:dyDescent="0.25">
      <c r="A155">
        <v>1987</v>
      </c>
      <c r="B155">
        <v>2</v>
      </c>
      <c r="C155" s="5">
        <v>8465.6299999999992</v>
      </c>
      <c r="D155" s="6">
        <f t="shared" si="4"/>
        <v>1.0788423160842164E-2</v>
      </c>
      <c r="E155" s="5">
        <f>+'FRED Graph (2)'!B165</f>
        <v>8604.0968597470892</v>
      </c>
      <c r="F155" s="6">
        <f t="shared" si="5"/>
        <v>7.9976473728398112E-3</v>
      </c>
    </row>
    <row r="156" spans="1:6" x14ac:dyDescent="0.25">
      <c r="A156">
        <v>1987</v>
      </c>
      <c r="B156">
        <v>3</v>
      </c>
      <c r="C156" s="5">
        <v>8539.0750000000007</v>
      </c>
      <c r="D156" s="6">
        <f t="shared" si="4"/>
        <v>8.6756685562683344E-3</v>
      </c>
      <c r="E156" s="5">
        <f>+'FRED Graph (2)'!B166</f>
        <v>8672.0979568347848</v>
      </c>
      <c r="F156" s="6">
        <f t="shared" si="5"/>
        <v>7.9033393273184593E-3</v>
      </c>
    </row>
    <row r="157" spans="1:6" x14ac:dyDescent="0.25">
      <c r="A157">
        <v>1987</v>
      </c>
      <c r="B157">
        <v>4</v>
      </c>
      <c r="C157" s="5">
        <v>8685.6939999999995</v>
      </c>
      <c r="D157" s="6">
        <f t="shared" si="4"/>
        <v>1.7170360958300268E-2</v>
      </c>
      <c r="E157" s="5">
        <f>+'FRED Graph (2)'!B167</f>
        <v>8740.3552068610752</v>
      </c>
      <c r="F157" s="6">
        <f t="shared" si="5"/>
        <v>7.8709039457394159E-3</v>
      </c>
    </row>
    <row r="158" spans="1:6" x14ac:dyDescent="0.25">
      <c r="A158">
        <v>1988</v>
      </c>
      <c r="B158">
        <v>1</v>
      </c>
      <c r="C158" s="5">
        <v>8730.5689999999995</v>
      </c>
      <c r="D158" s="6">
        <f t="shared" si="4"/>
        <v>5.16654167185715E-3</v>
      </c>
      <c r="E158" s="5">
        <f>+'FRED Graph (2)'!B168</f>
        <v>8808.2421613571478</v>
      </c>
      <c r="F158" s="6">
        <f t="shared" si="5"/>
        <v>7.7670704324215301E-3</v>
      </c>
    </row>
    <row r="159" spans="1:6" x14ac:dyDescent="0.25">
      <c r="A159">
        <v>1988</v>
      </c>
      <c r="B159">
        <v>2</v>
      </c>
      <c r="C159" s="5">
        <v>8845.2800000000007</v>
      </c>
      <c r="D159" s="6">
        <f t="shared" si="4"/>
        <v>1.3139006174740953E-2</v>
      </c>
      <c r="E159" s="5">
        <f>+'FRED Graph (2)'!B169</f>
        <v>8876.376261313615</v>
      </c>
      <c r="F159" s="6">
        <f t="shared" si="5"/>
        <v>7.7352664366314716E-3</v>
      </c>
    </row>
    <row r="160" spans="1:6" x14ac:dyDescent="0.25">
      <c r="A160">
        <v>1988</v>
      </c>
      <c r="B160">
        <v>3</v>
      </c>
      <c r="C160" s="5">
        <v>8897.107</v>
      </c>
      <c r="D160" s="6">
        <f t="shared" si="4"/>
        <v>5.8592831430999137E-3</v>
      </c>
      <c r="E160" s="5">
        <f>+'FRED Graph (2)'!B170</f>
        <v>8944.328493496283</v>
      </c>
      <c r="F160" s="6">
        <f t="shared" si="5"/>
        <v>7.6554024054644731E-3</v>
      </c>
    </row>
    <row r="161" spans="1:6" x14ac:dyDescent="0.25">
      <c r="A161">
        <v>1988</v>
      </c>
      <c r="B161">
        <v>4</v>
      </c>
      <c r="C161" s="5">
        <v>9015.6610000000001</v>
      </c>
      <c r="D161" s="6">
        <f t="shared" si="4"/>
        <v>1.3325005532697221E-2</v>
      </c>
      <c r="E161" s="5">
        <f>+'FRED Graph (2)'!B171</f>
        <v>9012.2245306484765</v>
      </c>
      <c r="F161" s="6">
        <f t="shared" si="5"/>
        <v>7.5909597016212693E-3</v>
      </c>
    </row>
    <row r="162" spans="1:6" x14ac:dyDescent="0.25">
      <c r="A162">
        <v>1989</v>
      </c>
      <c r="B162">
        <v>1</v>
      </c>
      <c r="C162" s="5">
        <v>9107.3140000000003</v>
      </c>
      <c r="D162" s="6">
        <f t="shared" si="4"/>
        <v>1.0165976737590343E-2</v>
      </c>
      <c r="E162" s="5">
        <f>+'FRED Graph (2)'!B172</f>
        <v>9079.7836473560128</v>
      </c>
      <c r="F162" s="6">
        <f t="shared" si="5"/>
        <v>7.4963863225758764E-3</v>
      </c>
    </row>
    <row r="163" spans="1:6" x14ac:dyDescent="0.25">
      <c r="A163">
        <v>1989</v>
      </c>
      <c r="B163">
        <v>2</v>
      </c>
      <c r="C163" s="5">
        <v>9176.8269999999993</v>
      </c>
      <c r="D163" s="6">
        <f t="shared" si="4"/>
        <v>7.6326565659203816E-3</v>
      </c>
      <c r="E163" s="5">
        <f>+'FRED Graph (2)'!B173</f>
        <v>9146.9440787370077</v>
      </c>
      <c r="F163" s="6">
        <f t="shared" si="5"/>
        <v>7.396699523842809E-3</v>
      </c>
    </row>
    <row r="164" spans="1:6" x14ac:dyDescent="0.25">
      <c r="A164">
        <v>1989</v>
      </c>
      <c r="B164">
        <v>3</v>
      </c>
      <c r="C164" s="5">
        <v>9244.8160000000007</v>
      </c>
      <c r="D164" s="6">
        <f t="shared" si="4"/>
        <v>7.408769937583104E-3</v>
      </c>
      <c r="E164" s="5">
        <f>+'FRED Graph (2)'!B174</f>
        <v>9213.6664133517279</v>
      </c>
      <c r="F164" s="6">
        <f t="shared" si="5"/>
        <v>7.2944946465587357E-3</v>
      </c>
    </row>
    <row r="165" spans="1:6" x14ac:dyDescent="0.25">
      <c r="A165">
        <v>1989</v>
      </c>
      <c r="B165">
        <v>4</v>
      </c>
      <c r="C165" s="5">
        <v>9263.0329999999994</v>
      </c>
      <c r="D165" s="6">
        <f t="shared" si="4"/>
        <v>1.9705097429736362E-3</v>
      </c>
      <c r="E165" s="5">
        <f>+'FRED Graph (2)'!B175</f>
        <v>9280.1171535497087</v>
      </c>
      <c r="F165" s="6">
        <f t="shared" si="5"/>
        <v>7.2121929769115578E-3</v>
      </c>
    </row>
    <row r="166" spans="1:6" x14ac:dyDescent="0.25">
      <c r="A166">
        <v>1990</v>
      </c>
      <c r="B166">
        <v>1</v>
      </c>
      <c r="C166" s="5">
        <v>9364.259</v>
      </c>
      <c r="D166" s="6">
        <f t="shared" si="4"/>
        <v>1.0927954159291042E-2</v>
      </c>
      <c r="E166" s="5">
        <f>+'FRED Graph (2)'!B176</f>
        <v>9345.7290623157678</v>
      </c>
      <c r="F166" s="6">
        <f t="shared" si="5"/>
        <v>7.0701595335962431E-3</v>
      </c>
    </row>
    <row r="167" spans="1:6" x14ac:dyDescent="0.25">
      <c r="A167">
        <v>1990</v>
      </c>
      <c r="B167">
        <v>2</v>
      </c>
      <c r="C167" s="5">
        <v>9398.2430000000004</v>
      </c>
      <c r="D167" s="6">
        <f t="shared" si="4"/>
        <v>3.629117904577539E-3</v>
      </c>
      <c r="E167" s="5">
        <f>+'FRED Graph (2)'!B177</f>
        <v>9410.6982795089243</v>
      </c>
      <c r="F167" s="6">
        <f t="shared" si="5"/>
        <v>6.9517548347435287E-3</v>
      </c>
    </row>
    <row r="168" spans="1:6" x14ac:dyDescent="0.25">
      <c r="A168">
        <v>1990</v>
      </c>
      <c r="B168">
        <v>3</v>
      </c>
      <c r="C168" s="5">
        <v>9404.4940000000006</v>
      </c>
      <c r="D168" s="6">
        <f t="shared" si="4"/>
        <v>6.651243216417857E-4</v>
      </c>
      <c r="E168" s="5">
        <f>+'FRED Graph (2)'!B178</f>
        <v>9474.2945262598969</v>
      </c>
      <c r="F168" s="6">
        <f t="shared" si="5"/>
        <v>6.7578669363408395E-3</v>
      </c>
    </row>
    <row r="169" spans="1:6" x14ac:dyDescent="0.25">
      <c r="A169">
        <v>1990</v>
      </c>
      <c r="B169">
        <v>4</v>
      </c>
      <c r="C169" s="5">
        <v>9318.8760000000002</v>
      </c>
      <c r="D169" s="6">
        <f t="shared" si="4"/>
        <v>-9.1039454116298435E-3</v>
      </c>
      <c r="E169" s="5">
        <f>+'FRED Graph (2)'!B179</f>
        <v>9536.660733476574</v>
      </c>
      <c r="F169" s="6">
        <f t="shared" si="5"/>
        <v>6.5826755800990622E-3</v>
      </c>
    </row>
    <row r="170" spans="1:6" x14ac:dyDescent="0.25">
      <c r="A170">
        <v>1991</v>
      </c>
      <c r="B170">
        <v>1</v>
      </c>
      <c r="C170" s="5">
        <v>9275.2759999999998</v>
      </c>
      <c r="D170" s="6">
        <f t="shared" si="4"/>
        <v>-4.6786758403052353E-3</v>
      </c>
      <c r="E170" s="5">
        <f>+'FRED Graph (2)'!B180</f>
        <v>9598.1338473710366</v>
      </c>
      <c r="F170" s="6">
        <f t="shared" si="5"/>
        <v>6.4459789031472425E-3</v>
      </c>
    </row>
    <row r="171" spans="1:6" x14ac:dyDescent="0.25">
      <c r="A171">
        <v>1991</v>
      </c>
      <c r="B171">
        <v>2</v>
      </c>
      <c r="C171" s="5">
        <v>9347.5969999999998</v>
      </c>
      <c r="D171" s="6">
        <f t="shared" si="4"/>
        <v>7.7971803750098712E-3</v>
      </c>
      <c r="E171" s="5">
        <f>+'FRED Graph (2)'!B181</f>
        <v>9658.7722615470957</v>
      </c>
      <c r="F171" s="6">
        <f t="shared" si="5"/>
        <v>6.3177295858056759E-3</v>
      </c>
    </row>
    <row r="172" spans="1:6" x14ac:dyDescent="0.25">
      <c r="A172">
        <v>1991</v>
      </c>
      <c r="B172">
        <v>3</v>
      </c>
      <c r="C172" s="5">
        <v>9394.8340000000007</v>
      </c>
      <c r="D172" s="6">
        <f t="shared" si="4"/>
        <v>5.0533843082880558E-3</v>
      </c>
      <c r="E172" s="5">
        <f>+'FRED Graph (2)'!B182</f>
        <v>9719.0522555075841</v>
      </c>
      <c r="F172" s="6">
        <f t="shared" si="5"/>
        <v>6.2409582013307485E-3</v>
      </c>
    </row>
    <row r="173" spans="1:6" x14ac:dyDescent="0.25">
      <c r="A173">
        <v>1991</v>
      </c>
      <c r="B173">
        <v>4</v>
      </c>
      <c r="C173" s="5">
        <v>9427.5810000000001</v>
      </c>
      <c r="D173" s="6">
        <f t="shared" si="4"/>
        <v>3.485639022466902E-3</v>
      </c>
      <c r="E173" s="5">
        <f>+'FRED Graph (2)'!B183</f>
        <v>9779.6871218976157</v>
      </c>
      <c r="F173" s="6">
        <f t="shared" si="5"/>
        <v>6.23876328637607E-3</v>
      </c>
    </row>
    <row r="174" spans="1:6" x14ac:dyDescent="0.25">
      <c r="A174">
        <v>1992</v>
      </c>
      <c r="B174">
        <v>1</v>
      </c>
      <c r="C174" s="5">
        <v>9540.4439999999995</v>
      </c>
      <c r="D174" s="6">
        <f t="shared" si="4"/>
        <v>1.1971575741433593E-2</v>
      </c>
      <c r="E174" s="5">
        <f>+'FRED Graph (2)'!B184</f>
        <v>9840.9573634024528</v>
      </c>
      <c r="F174" s="6">
        <f t="shared" si="5"/>
        <v>6.2650512987934004E-3</v>
      </c>
    </row>
    <row r="175" spans="1:6" x14ac:dyDescent="0.25">
      <c r="A175">
        <v>1992</v>
      </c>
      <c r="B175">
        <v>2</v>
      </c>
      <c r="C175" s="5">
        <v>9643.893</v>
      </c>
      <c r="D175" s="6">
        <f t="shared" si="4"/>
        <v>1.0843206039467423E-2</v>
      </c>
      <c r="E175" s="5">
        <f>+'FRED Graph (2)'!B185</f>
        <v>9903.2242187413394</v>
      </c>
      <c r="F175" s="6">
        <f t="shared" si="5"/>
        <v>6.3273168493189758E-3</v>
      </c>
    </row>
    <row r="176" spans="1:6" x14ac:dyDescent="0.25">
      <c r="A176">
        <v>1992</v>
      </c>
      <c r="B176">
        <v>3</v>
      </c>
      <c r="C176" s="5">
        <v>9739.1849999999995</v>
      </c>
      <c r="D176" s="6">
        <f t="shared" si="4"/>
        <v>9.8810718866333414E-3</v>
      </c>
      <c r="E176" s="5">
        <f>+'FRED Graph (2)'!B186</f>
        <v>9967.1892657039261</v>
      </c>
      <c r="F176" s="6">
        <f t="shared" si="5"/>
        <v>6.459012292333588E-3</v>
      </c>
    </row>
    <row r="177" spans="1:6" x14ac:dyDescent="0.25">
      <c r="A177">
        <v>1992</v>
      </c>
      <c r="B177">
        <v>4</v>
      </c>
      <c r="C177" s="5">
        <v>9840.7530000000006</v>
      </c>
      <c r="D177" s="6">
        <f t="shared" si="4"/>
        <v>1.0428798713650211E-2</v>
      </c>
      <c r="E177" s="5">
        <f>+'FRED Graph (2)'!B187</f>
        <v>10032.212432261182</v>
      </c>
      <c r="F177" s="6">
        <f t="shared" si="5"/>
        <v>6.5237214648861119E-3</v>
      </c>
    </row>
    <row r="178" spans="1:6" x14ac:dyDescent="0.25">
      <c r="A178">
        <v>1993</v>
      </c>
      <c r="B178">
        <v>1</v>
      </c>
      <c r="C178" s="5">
        <v>9857.1849999999995</v>
      </c>
      <c r="D178" s="6">
        <f t="shared" si="4"/>
        <v>1.6697909194549609E-3</v>
      </c>
      <c r="E178" s="5">
        <f>+'FRED Graph (2)'!B188</f>
        <v>10098.289325064792</v>
      </c>
      <c r="F178" s="6">
        <f t="shared" si="5"/>
        <v>6.5864726499533788E-3</v>
      </c>
    </row>
    <row r="179" spans="1:6" x14ac:dyDescent="0.25">
      <c r="A179">
        <v>1993</v>
      </c>
      <c r="B179">
        <v>2</v>
      </c>
      <c r="C179" s="5">
        <v>9914.5650000000005</v>
      </c>
      <c r="D179" s="6">
        <f t="shared" si="4"/>
        <v>5.8211345328307296E-3</v>
      </c>
      <c r="E179" s="5">
        <f>+'FRED Graph (2)'!B189</f>
        <v>10165.978013877846</v>
      </c>
      <c r="F179" s="6">
        <f t="shared" si="5"/>
        <v>6.7029856873921378E-3</v>
      </c>
    </row>
    <row r="180" spans="1:6" x14ac:dyDescent="0.25">
      <c r="A180">
        <v>1993</v>
      </c>
      <c r="B180">
        <v>3</v>
      </c>
      <c r="C180" s="5">
        <v>9961.8729999999996</v>
      </c>
      <c r="D180" s="6">
        <f t="shared" si="4"/>
        <v>4.7715658730362875E-3</v>
      </c>
      <c r="E180" s="5">
        <f>+'FRED Graph (2)'!B190</f>
        <v>10234.681747642877</v>
      </c>
      <c r="F180" s="6">
        <f t="shared" si="5"/>
        <v>6.7582020806302712E-3</v>
      </c>
    </row>
    <row r="181" spans="1:6" x14ac:dyDescent="0.25">
      <c r="A181">
        <v>1993</v>
      </c>
      <c r="B181">
        <v>4</v>
      </c>
      <c r="C181" s="5">
        <v>10097.361999999999</v>
      </c>
      <c r="D181" s="6">
        <f t="shared" si="4"/>
        <v>1.3600755600879477E-2</v>
      </c>
      <c r="E181" s="5">
        <f>+'FRED Graph (2)'!B191</f>
        <v>10304.221986156372</v>
      </c>
      <c r="F181" s="6">
        <f t="shared" si="5"/>
        <v>6.7945677479919198E-3</v>
      </c>
    </row>
    <row r="182" spans="1:6" x14ac:dyDescent="0.25">
      <c r="A182">
        <v>1994</v>
      </c>
      <c r="B182">
        <v>1</v>
      </c>
      <c r="C182" s="5">
        <v>10195.338</v>
      </c>
      <c r="D182" s="6">
        <f t="shared" si="4"/>
        <v>9.7031284012596419E-3</v>
      </c>
      <c r="E182" s="5">
        <f>+'FRED Graph (2)'!B192</f>
        <v>10374.320674633514</v>
      </c>
      <c r="F182" s="6">
        <f t="shared" si="5"/>
        <v>6.8029093871735391E-3</v>
      </c>
    </row>
    <row r="183" spans="1:6" x14ac:dyDescent="0.25">
      <c r="A183">
        <v>1994</v>
      </c>
      <c r="B183">
        <v>2</v>
      </c>
      <c r="C183" s="5">
        <v>10333.495000000001</v>
      </c>
      <c r="D183" s="6">
        <f t="shared" si="4"/>
        <v>1.3550997524554909E-2</v>
      </c>
      <c r="E183" s="5">
        <f>+'FRED Graph (2)'!B193</f>
        <v>10444.871864873277</v>
      </c>
      <c r="F183" s="6">
        <f t="shared" si="5"/>
        <v>6.8005600031497693E-3</v>
      </c>
    </row>
    <row r="184" spans="1:6" x14ac:dyDescent="0.25">
      <c r="A184">
        <v>1994</v>
      </c>
      <c r="B184">
        <v>3</v>
      </c>
      <c r="C184" s="5">
        <v>10393.897999999999</v>
      </c>
      <c r="D184" s="6">
        <f t="shared" si="4"/>
        <v>5.8453601613004391E-3</v>
      </c>
      <c r="E184" s="5">
        <f>+'FRED Graph (2)'!B194</f>
        <v>10516.403389013809</v>
      </c>
      <c r="F184" s="6">
        <f t="shared" si="5"/>
        <v>6.8484826875756522E-3</v>
      </c>
    </row>
    <row r="185" spans="1:6" x14ac:dyDescent="0.25">
      <c r="A185">
        <v>1994</v>
      </c>
      <c r="B185">
        <v>4</v>
      </c>
      <c r="C185" s="5">
        <v>10512.962</v>
      </c>
      <c r="D185" s="6">
        <f t="shared" si="4"/>
        <v>1.1455182646587403E-2</v>
      </c>
      <c r="E185" s="5">
        <f>+'FRED Graph (2)'!B195</f>
        <v>10588.510074911635</v>
      </c>
      <c r="F185" s="6">
        <f t="shared" si="5"/>
        <v>6.8565918623046951E-3</v>
      </c>
    </row>
    <row r="186" spans="1:6" x14ac:dyDescent="0.25">
      <c r="A186">
        <v>1995</v>
      </c>
      <c r="B186">
        <v>1</v>
      </c>
      <c r="C186" s="5">
        <v>10550.251</v>
      </c>
      <c r="D186" s="6">
        <f t="shared" si="4"/>
        <v>3.5469547022048964E-3</v>
      </c>
      <c r="E186" s="5">
        <f>+'FRED Graph (2)'!B196</f>
        <v>10660.851219949442</v>
      </c>
      <c r="F186" s="6">
        <f t="shared" si="5"/>
        <v>6.8320419517011732E-3</v>
      </c>
    </row>
    <row r="187" spans="1:6" x14ac:dyDescent="0.25">
      <c r="A187">
        <v>1995</v>
      </c>
      <c r="B187">
        <v>2</v>
      </c>
      <c r="C187" s="5">
        <v>10581.723</v>
      </c>
      <c r="D187" s="6">
        <f t="shared" si="4"/>
        <v>2.9830569907767224E-3</v>
      </c>
      <c r="E187" s="5">
        <f>+'FRED Graph (2)'!B197</f>
        <v>10733.924139214505</v>
      </c>
      <c r="F187" s="6">
        <f t="shared" si="5"/>
        <v>6.8543231452591336E-3</v>
      </c>
    </row>
    <row r="188" spans="1:6" x14ac:dyDescent="0.25">
      <c r="A188">
        <v>1995</v>
      </c>
      <c r="B188">
        <v>3</v>
      </c>
      <c r="C188" s="5">
        <v>10671.737999999999</v>
      </c>
      <c r="D188" s="6">
        <f t="shared" si="4"/>
        <v>8.5066486809377562E-3</v>
      </c>
      <c r="E188" s="5">
        <f>+'FRED Graph (2)'!B198</f>
        <v>10807.235240138654</v>
      </c>
      <c r="F188" s="6">
        <f t="shared" si="5"/>
        <v>6.8298508516861922E-3</v>
      </c>
    </row>
    <row r="189" spans="1:6" x14ac:dyDescent="0.25">
      <c r="A189">
        <v>1995</v>
      </c>
      <c r="B189">
        <v>4</v>
      </c>
      <c r="C189" s="5">
        <v>10744.203</v>
      </c>
      <c r="D189" s="6">
        <f t="shared" si="4"/>
        <v>6.7903653556711241E-3</v>
      </c>
      <c r="E189" s="5">
        <f>+'FRED Graph (2)'!B199</f>
        <v>10882.147470119251</v>
      </c>
      <c r="F189" s="6">
        <f t="shared" si="5"/>
        <v>6.9316738570073255E-3</v>
      </c>
    </row>
    <row r="190" spans="1:6" x14ac:dyDescent="0.25">
      <c r="A190">
        <v>1996</v>
      </c>
      <c r="B190">
        <v>1</v>
      </c>
      <c r="C190" s="5">
        <v>10824.674000000001</v>
      </c>
      <c r="D190" s="6">
        <f t="shared" si="4"/>
        <v>7.4897132900413332E-3</v>
      </c>
      <c r="E190" s="5">
        <f>+'FRED Graph (2)'!B200</f>
        <v>10958.237464467309</v>
      </c>
      <c r="F190" s="6">
        <f t="shared" si="5"/>
        <v>6.9921855550101331E-3</v>
      </c>
    </row>
    <row r="191" spans="1:6" x14ac:dyDescent="0.25">
      <c r="A191">
        <v>1996</v>
      </c>
      <c r="B191">
        <v>2</v>
      </c>
      <c r="C191" s="5">
        <v>11005.217000000001</v>
      </c>
      <c r="D191" s="6">
        <f t="shared" si="4"/>
        <v>1.6678839473595275E-2</v>
      </c>
      <c r="E191" s="5">
        <f>+'FRED Graph (2)'!B201</f>
        <v>11038.993541699841</v>
      </c>
      <c r="F191" s="6">
        <f t="shared" si="5"/>
        <v>7.3694403406010522E-3</v>
      </c>
    </row>
    <row r="192" spans="1:6" x14ac:dyDescent="0.25">
      <c r="A192">
        <v>1996</v>
      </c>
      <c r="B192">
        <v>3</v>
      </c>
      <c r="C192" s="5">
        <v>11103.934999999999</v>
      </c>
      <c r="D192" s="6">
        <f t="shared" si="4"/>
        <v>8.9701093581342484E-3</v>
      </c>
      <c r="E192" s="5">
        <f>+'FRED Graph (2)'!B202</f>
        <v>11125.463687112649</v>
      </c>
      <c r="F192" s="6">
        <f t="shared" si="5"/>
        <v>7.8331548148993235E-3</v>
      </c>
    </row>
    <row r="193" spans="1:6" x14ac:dyDescent="0.25">
      <c r="A193">
        <v>1996</v>
      </c>
      <c r="B193">
        <v>4</v>
      </c>
      <c r="C193" s="5">
        <v>11219.237999999999</v>
      </c>
      <c r="D193" s="6">
        <f t="shared" si="4"/>
        <v>1.0383976491216806E-2</v>
      </c>
      <c r="E193" s="5">
        <f>+'FRED Graph (2)'!B203</f>
        <v>11217.550801330821</v>
      </c>
      <c r="F193" s="6">
        <f t="shared" si="5"/>
        <v>8.277148423471381E-3</v>
      </c>
    </row>
    <row r="194" spans="1:6" x14ac:dyDescent="0.25">
      <c r="A194">
        <v>1997</v>
      </c>
      <c r="B194">
        <v>1</v>
      </c>
      <c r="C194" s="5">
        <v>11291.665000000001</v>
      </c>
      <c r="D194" s="6">
        <f t="shared" si="4"/>
        <v>6.4556077694404301E-3</v>
      </c>
      <c r="E194" s="5">
        <f>+'FRED Graph (2)'!B204</f>
        <v>11315.116073823907</v>
      </c>
      <c r="F194" s="6">
        <f t="shared" si="5"/>
        <v>8.6975556626416317E-3</v>
      </c>
    </row>
    <row r="195" spans="1:6" x14ac:dyDescent="0.25">
      <c r="A195">
        <v>1997</v>
      </c>
      <c r="B195">
        <v>2</v>
      </c>
      <c r="C195" s="5">
        <v>11479.33</v>
      </c>
      <c r="D195" s="6">
        <f t="shared" si="4"/>
        <v>1.6619781050890126E-2</v>
      </c>
      <c r="E195" s="5">
        <f>+'FRED Graph (2)'!B205</f>
        <v>11417.51480091594</v>
      </c>
      <c r="F195" s="6">
        <f t="shared" si="5"/>
        <v>9.0497283831598718E-3</v>
      </c>
    </row>
    <row r="196" spans="1:6" x14ac:dyDescent="0.25">
      <c r="A196">
        <v>1997</v>
      </c>
      <c r="B196">
        <v>3</v>
      </c>
      <c r="C196" s="5">
        <v>11622.911</v>
      </c>
      <c r="D196" s="6">
        <f t="shared" ref="D196:D259" si="6">+C196/C195-1</f>
        <v>1.2507785733139487E-2</v>
      </c>
      <c r="E196" s="5">
        <f>+'FRED Graph (2)'!B206</f>
        <v>11525.073515106189</v>
      </c>
      <c r="F196" s="6">
        <f t="shared" ref="F196:F259" si="7">+E196/E195-1</f>
        <v>9.4205014020756206E-3</v>
      </c>
    </row>
    <row r="197" spans="1:6" x14ac:dyDescent="0.25">
      <c r="A197">
        <v>1997</v>
      </c>
      <c r="B197">
        <v>4</v>
      </c>
      <c r="C197" s="5">
        <v>11722.722</v>
      </c>
      <c r="D197" s="6">
        <f t="shared" si="6"/>
        <v>8.5874356260664531E-3</v>
      </c>
      <c r="E197" s="5">
        <f>+'FRED Graph (2)'!B207</f>
        <v>11636.524935911739</v>
      </c>
      <c r="F197" s="6">
        <f t="shared" si="7"/>
        <v>9.6703435912550706E-3</v>
      </c>
    </row>
    <row r="198" spans="1:6" x14ac:dyDescent="0.25">
      <c r="A198">
        <v>1998</v>
      </c>
      <c r="B198">
        <v>1</v>
      </c>
      <c r="C198" s="5">
        <v>11839.876</v>
      </c>
      <c r="D198" s="6">
        <f t="shared" si="6"/>
        <v>9.9937540103740563E-3</v>
      </c>
      <c r="E198" s="5">
        <f>+'FRED Graph (2)'!B208</f>
        <v>11751.276375893969</v>
      </c>
      <c r="F198" s="6">
        <f t="shared" si="7"/>
        <v>9.8613151790782894E-3</v>
      </c>
    </row>
    <row r="199" spans="1:6" x14ac:dyDescent="0.25">
      <c r="A199">
        <v>1998</v>
      </c>
      <c r="B199">
        <v>2</v>
      </c>
      <c r="C199" s="5">
        <v>11949.492</v>
      </c>
      <c r="D199" s="6">
        <f t="shared" si="6"/>
        <v>9.2582050690395157E-3</v>
      </c>
      <c r="E199" s="5">
        <f>+'FRED Graph (2)'!B209</f>
        <v>11869.776404278393</v>
      </c>
      <c r="F199" s="6">
        <f t="shared" si="7"/>
        <v>1.0084013395132985E-2</v>
      </c>
    </row>
    <row r="200" spans="1:6" x14ac:dyDescent="0.25">
      <c r="A200">
        <v>1998</v>
      </c>
      <c r="B200">
        <v>3</v>
      </c>
      <c r="C200" s="5">
        <v>12099.191000000001</v>
      </c>
      <c r="D200" s="6">
        <f t="shared" si="6"/>
        <v>1.2527645526688502E-2</v>
      </c>
      <c r="E200" s="5">
        <f>+'FRED Graph (2)'!B210</f>
        <v>11990.428206739729</v>
      </c>
      <c r="F200" s="6">
        <f t="shared" si="7"/>
        <v>1.0164623018328101E-2</v>
      </c>
    </row>
    <row r="201" spans="1:6" x14ac:dyDescent="0.25">
      <c r="A201">
        <v>1998</v>
      </c>
      <c r="B201">
        <v>4</v>
      </c>
      <c r="C201" s="5">
        <v>12294.736999999999</v>
      </c>
      <c r="D201" s="6">
        <f t="shared" si="6"/>
        <v>1.6161907023370281E-2</v>
      </c>
      <c r="E201" s="5">
        <f>+'FRED Graph (2)'!B211</f>
        <v>12113.249201767343</v>
      </c>
      <c r="F201" s="6">
        <f t="shared" si="7"/>
        <v>1.024325344432464E-2</v>
      </c>
    </row>
    <row r="202" spans="1:6" x14ac:dyDescent="0.25">
      <c r="A202">
        <v>1999</v>
      </c>
      <c r="B202">
        <v>1</v>
      </c>
      <c r="C202" s="5">
        <v>12410.778</v>
      </c>
      <c r="D202" s="6">
        <f t="shared" si="6"/>
        <v>9.4382661459126993E-3</v>
      </c>
      <c r="E202" s="5">
        <f>+'FRED Graph (2)'!B212</f>
        <v>12238.511791399389</v>
      </c>
      <c r="F202" s="6">
        <f t="shared" si="7"/>
        <v>1.0340957041796051E-2</v>
      </c>
    </row>
    <row r="203" spans="1:6" x14ac:dyDescent="0.25">
      <c r="A203">
        <v>1999</v>
      </c>
      <c r="B203">
        <v>2</v>
      </c>
      <c r="C203" s="5">
        <v>12514.407999999999</v>
      </c>
      <c r="D203" s="6">
        <f t="shared" si="6"/>
        <v>8.3500002981278243E-3</v>
      </c>
      <c r="E203" s="5">
        <f>+'FRED Graph (2)'!B213</f>
        <v>12365.28498989189</v>
      </c>
      <c r="F203" s="6">
        <f t="shared" si="7"/>
        <v>1.0358546909403632E-2</v>
      </c>
    </row>
    <row r="204" spans="1:6" x14ac:dyDescent="0.25">
      <c r="A204">
        <v>1999</v>
      </c>
      <c r="B204">
        <v>3</v>
      </c>
      <c r="C204" s="5">
        <v>12679.977000000001</v>
      </c>
      <c r="D204" s="6">
        <f t="shared" si="6"/>
        <v>1.3230270261286092E-2</v>
      </c>
      <c r="E204" s="5">
        <f>+'FRED Graph (2)'!B214</f>
        <v>12493.703483561078</v>
      </c>
      <c r="F204" s="6">
        <f t="shared" si="7"/>
        <v>1.0385405089665456E-2</v>
      </c>
    </row>
    <row r="205" spans="1:6" x14ac:dyDescent="0.25">
      <c r="A205">
        <v>1999</v>
      </c>
      <c r="B205">
        <v>4</v>
      </c>
      <c r="C205" s="5">
        <v>12888.281000000001</v>
      </c>
      <c r="D205" s="6">
        <f t="shared" si="6"/>
        <v>1.6427790050407731E-2</v>
      </c>
      <c r="E205" s="5">
        <f>+'FRED Graph (2)'!B215</f>
        <v>12624.339767514275</v>
      </c>
      <c r="F205" s="6">
        <f t="shared" si="7"/>
        <v>1.0456169711814178E-2</v>
      </c>
    </row>
    <row r="206" spans="1:6" x14ac:dyDescent="0.25">
      <c r="A206">
        <v>2000</v>
      </c>
      <c r="B206">
        <v>1</v>
      </c>
      <c r="C206" s="5">
        <v>12935.252</v>
      </c>
      <c r="D206" s="6">
        <f t="shared" si="6"/>
        <v>3.64447361133724E-3</v>
      </c>
      <c r="E206" s="5">
        <f>+'FRED Graph (2)'!B216</f>
        <v>12756.197799291815</v>
      </c>
      <c r="F206" s="6">
        <f t="shared" si="7"/>
        <v>1.044474675157625E-2</v>
      </c>
    </row>
    <row r="207" spans="1:6" x14ac:dyDescent="0.25">
      <c r="A207">
        <v>2000</v>
      </c>
      <c r="B207">
        <v>2</v>
      </c>
      <c r="C207" s="5">
        <v>13170.749</v>
      </c>
      <c r="D207" s="6">
        <f t="shared" si="6"/>
        <v>1.8205830083557695E-2</v>
      </c>
      <c r="E207" s="5">
        <f>+'FRED Graph (2)'!B217</f>
        <v>12885.549542919041</v>
      </c>
      <c r="F207" s="6">
        <f t="shared" si="7"/>
        <v>1.0140305572433839E-2</v>
      </c>
    </row>
    <row r="208" spans="1:6" x14ac:dyDescent="0.25">
      <c r="A208">
        <v>2000</v>
      </c>
      <c r="B208">
        <v>3</v>
      </c>
      <c r="C208" s="5">
        <v>13183.89</v>
      </c>
      <c r="D208" s="6">
        <f t="shared" si="6"/>
        <v>9.9774128259522143E-4</v>
      </c>
      <c r="E208" s="5">
        <f>+'FRED Graph (2)'!B218</f>
        <v>13010.047124107925</v>
      </c>
      <c r="F208" s="6">
        <f t="shared" si="7"/>
        <v>9.6617983403974872E-3</v>
      </c>
    </row>
    <row r="209" spans="1:6" x14ac:dyDescent="0.25">
      <c r="A209">
        <v>2000</v>
      </c>
      <c r="B209">
        <v>4</v>
      </c>
      <c r="C209" s="5">
        <v>13262.25</v>
      </c>
      <c r="D209" s="6">
        <f t="shared" si="6"/>
        <v>5.943617551420699E-3</v>
      </c>
      <c r="E209" s="5">
        <f>+'FRED Graph (2)'!B219</f>
        <v>13129.144768063294</v>
      </c>
      <c r="F209" s="6">
        <f t="shared" si="7"/>
        <v>9.1542822880847918E-3</v>
      </c>
    </row>
    <row r="210" spans="1:6" x14ac:dyDescent="0.25">
      <c r="A210">
        <v>2001</v>
      </c>
      <c r="B210">
        <v>1</v>
      </c>
      <c r="C210" s="5">
        <v>13219.251</v>
      </c>
      <c r="D210" s="6">
        <f t="shared" si="6"/>
        <v>-3.2422100322343494E-3</v>
      </c>
      <c r="E210" s="5">
        <f>+'FRED Graph (2)'!B220</f>
        <v>13242.626114221135</v>
      </c>
      <c r="F210" s="6">
        <f t="shared" si="7"/>
        <v>8.6434682656471029E-3</v>
      </c>
    </row>
    <row r="211" spans="1:6" x14ac:dyDescent="0.25">
      <c r="A211">
        <v>2001</v>
      </c>
      <c r="B211">
        <v>2</v>
      </c>
      <c r="C211" s="5">
        <v>13301.394</v>
      </c>
      <c r="D211" s="6">
        <f t="shared" si="6"/>
        <v>6.2138921486549759E-3</v>
      </c>
      <c r="E211" s="5">
        <f>+'FRED Graph (2)'!B221</f>
        <v>13350.399770501921</v>
      </c>
      <c r="F211" s="6">
        <f t="shared" si="7"/>
        <v>8.1383900256044583E-3</v>
      </c>
    </row>
    <row r="212" spans="1:6" x14ac:dyDescent="0.25">
      <c r="A212">
        <v>2001</v>
      </c>
      <c r="B212">
        <v>3</v>
      </c>
      <c r="C212" s="5">
        <v>13248.142</v>
      </c>
      <c r="D212" s="6">
        <f t="shared" si="6"/>
        <v>-4.0034901605050521E-3</v>
      </c>
      <c r="E212" s="5">
        <f>+'FRED Graph (2)'!B222</f>
        <v>13452.504389530579</v>
      </c>
      <c r="F212" s="6">
        <f t="shared" si="7"/>
        <v>7.6480570457717612E-3</v>
      </c>
    </row>
    <row r="213" spans="1:6" x14ac:dyDescent="0.25">
      <c r="A213">
        <v>2001</v>
      </c>
      <c r="B213">
        <v>4</v>
      </c>
      <c r="C213" s="5">
        <v>13284.880999999999</v>
      </c>
      <c r="D213" s="6">
        <f t="shared" si="6"/>
        <v>2.7731435849644992E-3</v>
      </c>
      <c r="E213" s="5">
        <f>+'FRED Graph (2)'!B223</f>
        <v>13549.578308347609</v>
      </c>
      <c r="F213" s="6">
        <f t="shared" si="7"/>
        <v>7.2160481057026438E-3</v>
      </c>
    </row>
    <row r="214" spans="1:6" x14ac:dyDescent="0.25">
      <c r="A214">
        <v>2002</v>
      </c>
      <c r="B214">
        <v>1</v>
      </c>
      <c r="C214" s="5">
        <v>13394.91</v>
      </c>
      <c r="D214" s="6">
        <f t="shared" si="6"/>
        <v>8.2822721558439838E-3</v>
      </c>
      <c r="E214" s="5">
        <f>+'FRED Graph (2)'!B224</f>
        <v>13642.026653665946</v>
      </c>
      <c r="F214" s="6">
        <f t="shared" si="7"/>
        <v>6.822968450714173E-3</v>
      </c>
    </row>
    <row r="215" spans="1:6" x14ac:dyDescent="0.25">
      <c r="A215">
        <v>2002</v>
      </c>
      <c r="B215">
        <v>2</v>
      </c>
      <c r="C215" s="5">
        <v>13477.356</v>
      </c>
      <c r="D215" s="6">
        <f t="shared" si="6"/>
        <v>6.1550245578356755E-3</v>
      </c>
      <c r="E215" s="5">
        <f>+'FRED Graph (2)'!B225</f>
        <v>13731.527536916305</v>
      </c>
      <c r="F215" s="6">
        <f t="shared" si="7"/>
        <v>6.5606735364578395E-3</v>
      </c>
    </row>
    <row r="216" spans="1:6" x14ac:dyDescent="0.25">
      <c r="A216">
        <v>2002</v>
      </c>
      <c r="B216">
        <v>3</v>
      </c>
      <c r="C216" s="5">
        <v>13531.741</v>
      </c>
      <c r="D216" s="6">
        <f t="shared" si="6"/>
        <v>4.0352870399802399E-3</v>
      </c>
      <c r="E216" s="5">
        <f>+'FRED Graph (2)'!B226</f>
        <v>13819.421745281743</v>
      </c>
      <c r="F216" s="6">
        <f t="shared" si="7"/>
        <v>6.4009053711715502E-3</v>
      </c>
    </row>
    <row r="217" spans="1:6" x14ac:dyDescent="0.25">
      <c r="A217">
        <v>2002</v>
      </c>
      <c r="B217">
        <v>4</v>
      </c>
      <c r="C217" s="5">
        <v>13549.421</v>
      </c>
      <c r="D217" s="6">
        <f t="shared" si="6"/>
        <v>1.3065576705910686E-3</v>
      </c>
      <c r="E217" s="5">
        <f>+'FRED Graph (2)'!B227</f>
        <v>13906.073089248501</v>
      </c>
      <c r="F217" s="6">
        <f t="shared" si="7"/>
        <v>6.2702583048630522E-3</v>
      </c>
    </row>
    <row r="218" spans="1:6" x14ac:dyDescent="0.25">
      <c r="A218">
        <v>2003</v>
      </c>
      <c r="B218">
        <v>1</v>
      </c>
      <c r="C218" s="5">
        <v>13619.433999999999</v>
      </c>
      <c r="D218" s="6">
        <f t="shared" si="6"/>
        <v>5.1672318691697861E-3</v>
      </c>
      <c r="E218" s="5">
        <f>+'FRED Graph (2)'!B228</f>
        <v>13992.484504845459</v>
      </c>
      <c r="F218" s="6">
        <f t="shared" si="7"/>
        <v>6.2139336563509229E-3</v>
      </c>
    </row>
    <row r="219" spans="1:6" x14ac:dyDescent="0.25">
      <c r="A219">
        <v>2003</v>
      </c>
      <c r="B219">
        <v>2</v>
      </c>
      <c r="C219" s="5">
        <v>13741.107</v>
      </c>
      <c r="D219" s="6">
        <f t="shared" si="6"/>
        <v>8.9337780116267584E-3</v>
      </c>
      <c r="E219" s="5">
        <f>+'FRED Graph (2)'!B229</f>
        <v>14079.71664749195</v>
      </c>
      <c r="F219" s="6">
        <f t="shared" si="7"/>
        <v>6.2342139893942772E-3</v>
      </c>
    </row>
    <row r="220" spans="1:6" x14ac:dyDescent="0.25">
      <c r="A220">
        <v>2003</v>
      </c>
      <c r="B220">
        <v>3</v>
      </c>
      <c r="C220" s="5">
        <v>13970.156999999999</v>
      </c>
      <c r="D220" s="6">
        <f t="shared" si="6"/>
        <v>1.6668962697110157E-2</v>
      </c>
      <c r="E220" s="5">
        <f>+'FRED Graph (2)'!B230</f>
        <v>14166.968380640943</v>
      </c>
      <c r="F220" s="6">
        <f t="shared" si="7"/>
        <v>6.1969807584540959E-3</v>
      </c>
    </row>
    <row r="221" spans="1:6" x14ac:dyDescent="0.25">
      <c r="A221">
        <v>2003</v>
      </c>
      <c r="B221">
        <v>4</v>
      </c>
      <c r="C221" s="5">
        <v>14131.379000000001</v>
      </c>
      <c r="D221" s="6">
        <f t="shared" si="6"/>
        <v>1.154045727617814E-2</v>
      </c>
      <c r="E221" s="5">
        <f>+'FRED Graph (2)'!B231</f>
        <v>14255.295748528804</v>
      </c>
      <c r="F221" s="6">
        <f t="shared" si="7"/>
        <v>6.2347402432660903E-3</v>
      </c>
    </row>
    <row r="222" spans="1:6" x14ac:dyDescent="0.25">
      <c r="A222">
        <v>2004</v>
      </c>
      <c r="B222">
        <v>1</v>
      </c>
      <c r="C222" s="5">
        <v>14212.34</v>
      </c>
      <c r="D222" s="6">
        <f t="shared" si="6"/>
        <v>5.7291648606976331E-3</v>
      </c>
      <c r="E222" s="5">
        <f>+'FRED Graph (2)'!B232</f>
        <v>14345.471525215591</v>
      </c>
      <c r="F222" s="6">
        <f t="shared" si="7"/>
        <v>6.3257738231137228E-3</v>
      </c>
    </row>
    <row r="223" spans="1:6" x14ac:dyDescent="0.25">
      <c r="A223">
        <v>2004</v>
      </c>
      <c r="B223">
        <v>2</v>
      </c>
      <c r="C223" s="5">
        <v>14323.017</v>
      </c>
      <c r="D223" s="6">
        <f t="shared" si="6"/>
        <v>7.7873875800889003E-3</v>
      </c>
      <c r="E223" s="5">
        <f>+'FRED Graph (2)'!B233</f>
        <v>14436.967695131636</v>
      </c>
      <c r="F223" s="6">
        <f t="shared" si="7"/>
        <v>6.3780524575451913E-3</v>
      </c>
    </row>
    <row r="224" spans="1:6" x14ac:dyDescent="0.25">
      <c r="A224">
        <v>2004</v>
      </c>
      <c r="B224">
        <v>3</v>
      </c>
      <c r="C224" s="5">
        <v>14457.832</v>
      </c>
      <c r="D224" s="6">
        <f t="shared" si="6"/>
        <v>9.4124722465944721E-3</v>
      </c>
      <c r="E224" s="5">
        <f>+'FRED Graph (2)'!B234</f>
        <v>14530.657154778641</v>
      </c>
      <c r="F224" s="6">
        <f t="shared" si="7"/>
        <v>6.4895524895161039E-3</v>
      </c>
    </row>
    <row r="225" spans="1:6" x14ac:dyDescent="0.25">
      <c r="A225">
        <v>2004</v>
      </c>
      <c r="B225">
        <v>4</v>
      </c>
      <c r="C225" s="5">
        <v>14605.594999999999</v>
      </c>
      <c r="D225" s="6">
        <f t="shared" si="6"/>
        <v>1.022027368972056E-2</v>
      </c>
      <c r="E225" s="5">
        <f>+'FRED Graph (2)'!B235</f>
        <v>14625.540051760048</v>
      </c>
      <c r="F225" s="6">
        <f t="shared" si="7"/>
        <v>6.5298421104240667E-3</v>
      </c>
    </row>
    <row r="226" spans="1:6" x14ac:dyDescent="0.25">
      <c r="A226">
        <v>2005</v>
      </c>
      <c r="B226">
        <v>1</v>
      </c>
      <c r="C226" s="5">
        <v>14767.846</v>
      </c>
      <c r="D226" s="6">
        <f t="shared" si="6"/>
        <v>1.1108825076965312E-2</v>
      </c>
      <c r="E226" s="5">
        <f>+'FRED Graph (2)'!B236</f>
        <v>14718.907157195204</v>
      </c>
      <c r="F226" s="6">
        <f t="shared" si="7"/>
        <v>6.3838398517066519E-3</v>
      </c>
    </row>
    <row r="227" spans="1:6" x14ac:dyDescent="0.25">
      <c r="A227">
        <v>2005</v>
      </c>
      <c r="B227">
        <v>2</v>
      </c>
      <c r="C227" s="5">
        <v>14839.707</v>
      </c>
      <c r="D227" s="6">
        <f t="shared" si="6"/>
        <v>4.8660447840531695E-3</v>
      </c>
      <c r="E227" s="5">
        <f>+'FRED Graph (2)'!B237</f>
        <v>14809.966355594781</v>
      </c>
      <c r="F227" s="6">
        <f t="shared" si="7"/>
        <v>6.1865461495940188E-3</v>
      </c>
    </row>
    <row r="228" spans="1:6" x14ac:dyDescent="0.25">
      <c r="A228">
        <v>2005</v>
      </c>
      <c r="B228">
        <v>3</v>
      </c>
      <c r="C228" s="5">
        <v>14956.290999999999</v>
      </c>
      <c r="D228" s="6">
        <f t="shared" si="6"/>
        <v>7.8562198027225527E-3</v>
      </c>
      <c r="E228" s="5">
        <f>+'FRED Graph (2)'!B238</f>
        <v>14899.764672396343</v>
      </c>
      <c r="F228" s="6">
        <f t="shared" si="7"/>
        <v>6.0633707494979205E-3</v>
      </c>
    </row>
    <row r="229" spans="1:6" x14ac:dyDescent="0.25">
      <c r="A229">
        <v>2005</v>
      </c>
      <c r="B229">
        <v>4</v>
      </c>
      <c r="C229" s="5">
        <v>15041.232</v>
      </c>
      <c r="D229" s="6">
        <f t="shared" si="6"/>
        <v>5.6792823835802864E-3</v>
      </c>
      <c r="E229" s="5">
        <f>+'FRED Graph (2)'!B239</f>
        <v>14987.734747776842</v>
      </c>
      <c r="F229" s="6">
        <f t="shared" si="7"/>
        <v>5.9041251532967465E-3</v>
      </c>
    </row>
    <row r="230" spans="1:6" x14ac:dyDescent="0.25">
      <c r="A230">
        <v>2006</v>
      </c>
      <c r="B230">
        <v>1</v>
      </c>
      <c r="C230" s="5">
        <v>15244.088</v>
      </c>
      <c r="D230" s="6">
        <f t="shared" si="6"/>
        <v>1.3486661199029415E-2</v>
      </c>
      <c r="E230" s="5">
        <f>+'FRED Graph (2)'!B240</f>
        <v>15073.664817058681</v>
      </c>
      <c r="F230" s="6">
        <f t="shared" si="7"/>
        <v>5.733359358697232E-3</v>
      </c>
    </row>
    <row r="231" spans="1:6" x14ac:dyDescent="0.25">
      <c r="A231">
        <v>2006</v>
      </c>
      <c r="B231">
        <v>2</v>
      </c>
      <c r="C231" s="5">
        <v>15281.525</v>
      </c>
      <c r="D231" s="6">
        <f t="shared" si="6"/>
        <v>2.4558373055836302E-3</v>
      </c>
      <c r="E231" s="5">
        <f>+'FRED Graph (2)'!B241</f>
        <v>15158.023715379784</v>
      </c>
      <c r="F231" s="6">
        <f t="shared" si="7"/>
        <v>5.5964424939072277E-3</v>
      </c>
    </row>
    <row r="232" spans="1:6" x14ac:dyDescent="0.25">
      <c r="A232">
        <v>2006</v>
      </c>
      <c r="B232">
        <v>3</v>
      </c>
      <c r="C232" s="5">
        <v>15304.517</v>
      </c>
      <c r="D232" s="6">
        <f t="shared" si="6"/>
        <v>1.5045618810949346E-3</v>
      </c>
      <c r="E232" s="5">
        <f>+'FRED Graph (2)'!B242</f>
        <v>15239.103339568164</v>
      </c>
      <c r="F232" s="6">
        <f t="shared" si="7"/>
        <v>5.3489574703668996E-3</v>
      </c>
    </row>
    <row r="233" spans="1:6" x14ac:dyDescent="0.25">
      <c r="A233">
        <v>2006</v>
      </c>
      <c r="B233">
        <v>4</v>
      </c>
      <c r="C233" s="5">
        <v>15433.643</v>
      </c>
      <c r="D233" s="6">
        <f t="shared" si="6"/>
        <v>8.437116963573521E-3</v>
      </c>
      <c r="E233" s="5">
        <f>+'FRED Graph (2)'!B243</f>
        <v>15316.914218297932</v>
      </c>
      <c r="F233" s="6">
        <f t="shared" si="7"/>
        <v>5.1060011206651712E-3</v>
      </c>
    </row>
    <row r="234" spans="1:6" x14ac:dyDescent="0.25">
      <c r="A234">
        <v>2007</v>
      </c>
      <c r="B234">
        <v>1</v>
      </c>
      <c r="C234" s="5">
        <v>15478.956</v>
      </c>
      <c r="D234" s="6">
        <f t="shared" si="6"/>
        <v>2.93598860618971E-3</v>
      </c>
      <c r="E234" s="5">
        <f>+'FRED Graph (2)'!B244</f>
        <v>15394.59126299462</v>
      </c>
      <c r="F234" s="6">
        <f t="shared" si="7"/>
        <v>5.0713246538844903E-3</v>
      </c>
    </row>
    <row r="235" spans="1:6" x14ac:dyDescent="0.25">
      <c r="A235">
        <v>2007</v>
      </c>
      <c r="B235">
        <v>2</v>
      </c>
      <c r="C235" s="5">
        <v>15577.779</v>
      </c>
      <c r="D235" s="6">
        <f t="shared" si="6"/>
        <v>6.384345300807226E-3</v>
      </c>
      <c r="E235" s="5">
        <f>+'FRED Graph (2)'!B245</f>
        <v>15472.772148648757</v>
      </c>
      <c r="F235" s="6">
        <f t="shared" si="7"/>
        <v>5.0784645281274354E-3</v>
      </c>
    </row>
    <row r="236" spans="1:6" x14ac:dyDescent="0.25">
      <c r="A236">
        <v>2007</v>
      </c>
      <c r="B236">
        <v>3</v>
      </c>
      <c r="C236" s="5">
        <v>15671.605</v>
      </c>
      <c r="D236" s="6">
        <f t="shared" si="6"/>
        <v>6.0230665745097944E-3</v>
      </c>
      <c r="E236" s="5">
        <f>+'FRED Graph (2)'!B246</f>
        <v>15551.685448278575</v>
      </c>
      <c r="F236" s="6">
        <f t="shared" si="7"/>
        <v>5.1001397081071875E-3</v>
      </c>
    </row>
    <row r="237" spans="1:6" x14ac:dyDescent="0.25">
      <c r="A237">
        <v>2007</v>
      </c>
      <c r="B237">
        <v>4</v>
      </c>
      <c r="C237" s="5">
        <v>15767.146000000001</v>
      </c>
      <c r="D237" s="6">
        <f t="shared" si="6"/>
        <v>6.096440026404526E-3</v>
      </c>
      <c r="E237" s="5">
        <f>+'FRED Graph (2)'!B247</f>
        <v>15630.164389951682</v>
      </c>
      <c r="F237" s="6">
        <f t="shared" si="7"/>
        <v>5.0463303115351188E-3</v>
      </c>
    </row>
    <row r="238" spans="1:6" x14ac:dyDescent="0.25">
      <c r="A238">
        <v>2008</v>
      </c>
      <c r="B238">
        <v>1</v>
      </c>
      <c r="C238" s="5">
        <v>15702.906000000001</v>
      </c>
      <c r="D238" s="6">
        <f t="shared" si="6"/>
        <v>-4.0742947392000683E-3</v>
      </c>
      <c r="E238" s="5">
        <f>+'FRED Graph (2)'!B248</f>
        <v>15707.896436018797</v>
      </c>
      <c r="F238" s="6">
        <f t="shared" si="7"/>
        <v>4.9732071990928883E-3</v>
      </c>
    </row>
    <row r="239" spans="1:6" x14ac:dyDescent="0.25">
      <c r="A239">
        <v>2008</v>
      </c>
      <c r="B239">
        <v>2</v>
      </c>
      <c r="C239" s="5">
        <v>15792.772999999999</v>
      </c>
      <c r="D239" s="6">
        <f t="shared" si="6"/>
        <v>5.7229534456868514E-3</v>
      </c>
      <c r="E239" s="5">
        <f>+'FRED Graph (2)'!B249</f>
        <v>15782.945118773247</v>
      </c>
      <c r="F239" s="6">
        <f t="shared" si="7"/>
        <v>4.7777678609060015E-3</v>
      </c>
    </row>
    <row r="240" spans="1:6" x14ac:dyDescent="0.25">
      <c r="A240">
        <v>2008</v>
      </c>
      <c r="B240">
        <v>3</v>
      </c>
      <c r="C240" s="5">
        <v>15709.562</v>
      </c>
      <c r="D240" s="6">
        <f t="shared" si="6"/>
        <v>-5.2689290221545892E-3</v>
      </c>
      <c r="E240" s="5">
        <f>+'FRED Graph (2)'!B250</f>
        <v>15854.479153554397</v>
      </c>
      <c r="F240" s="6">
        <f t="shared" si="7"/>
        <v>4.5323628918954029E-3</v>
      </c>
    </row>
    <row r="241" spans="1:6" x14ac:dyDescent="0.25">
      <c r="A241">
        <v>2008</v>
      </c>
      <c r="B241">
        <v>4</v>
      </c>
      <c r="C241" s="5">
        <v>15366.607</v>
      </c>
      <c r="D241" s="6">
        <f t="shared" si="6"/>
        <v>-2.1830971480936268E-2</v>
      </c>
      <c r="E241" s="5">
        <f>+'FRED Graph (2)'!B251</f>
        <v>15921.647052393451</v>
      </c>
      <c r="F241" s="6">
        <f t="shared" si="7"/>
        <v>4.2365250973253055E-3</v>
      </c>
    </row>
    <row r="242" spans="1:6" x14ac:dyDescent="0.25">
      <c r="A242">
        <v>2009</v>
      </c>
      <c r="B242">
        <v>1</v>
      </c>
      <c r="C242" s="5">
        <v>15187.475</v>
      </c>
      <c r="D242" s="6">
        <f t="shared" si="6"/>
        <v>-1.1657225306796692E-2</v>
      </c>
      <c r="E242" s="5">
        <f>+'FRED Graph (2)'!B252</f>
        <v>15983.298522700341</v>
      </c>
      <c r="F242" s="6">
        <f t="shared" si="7"/>
        <v>3.8721791849809506E-3</v>
      </c>
    </row>
    <row r="243" spans="1:6" x14ac:dyDescent="0.25">
      <c r="A243">
        <v>2009</v>
      </c>
      <c r="B243">
        <v>2</v>
      </c>
      <c r="C243" s="5">
        <v>15161.772000000001</v>
      </c>
      <c r="D243" s="6">
        <f t="shared" si="6"/>
        <v>-1.692381386635966E-3</v>
      </c>
      <c r="E243" s="5">
        <f>+'FRED Graph (2)'!B253</f>
        <v>16040.702644623096</v>
      </c>
      <c r="F243" s="6">
        <f t="shared" si="7"/>
        <v>3.5915065867804241E-3</v>
      </c>
    </row>
    <row r="244" spans="1:6" x14ac:dyDescent="0.25">
      <c r="A244">
        <v>2009</v>
      </c>
      <c r="B244">
        <v>3</v>
      </c>
      <c r="C244" s="5">
        <v>15216.647000000001</v>
      </c>
      <c r="D244" s="6">
        <f t="shared" si="6"/>
        <v>3.6192999076889443E-3</v>
      </c>
      <c r="E244" s="5">
        <f>+'FRED Graph (2)'!B254</f>
        <v>16094.741671790714</v>
      </c>
      <c r="F244" s="6">
        <f t="shared" si="7"/>
        <v>3.3688690804161148E-3</v>
      </c>
    </row>
    <row r="245" spans="1:6" x14ac:dyDescent="0.25">
      <c r="A245">
        <v>2009</v>
      </c>
      <c r="B245">
        <v>4</v>
      </c>
      <c r="C245" s="5">
        <v>15379.155000000001</v>
      </c>
      <c r="D245" s="6">
        <f t="shared" si="6"/>
        <v>1.0679619498303428E-2</v>
      </c>
      <c r="E245" s="5">
        <f>+'FRED Graph (2)'!B255</f>
        <v>16147.063356892382</v>
      </c>
      <c r="F245" s="6">
        <f t="shared" si="7"/>
        <v>3.2508558489865447E-3</v>
      </c>
    </row>
    <row r="246" spans="1:6" x14ac:dyDescent="0.25">
      <c r="A246">
        <v>2010</v>
      </c>
      <c r="B246">
        <v>1</v>
      </c>
      <c r="C246" s="5">
        <v>15456.058999999999</v>
      </c>
      <c r="D246" s="6">
        <f t="shared" si="6"/>
        <v>5.000534814818991E-3</v>
      </c>
      <c r="E246" s="5">
        <f>+'FRED Graph (2)'!B256</f>
        <v>16199.710242322295</v>
      </c>
      <c r="F246" s="6">
        <f t="shared" si="7"/>
        <v>3.2604619345499852E-3</v>
      </c>
    </row>
    <row r="247" spans="1:6" x14ac:dyDescent="0.25">
      <c r="A247">
        <v>2010</v>
      </c>
      <c r="B247">
        <v>2</v>
      </c>
      <c r="C247" s="5">
        <v>15605.628000000001</v>
      </c>
      <c r="D247" s="6">
        <f t="shared" si="6"/>
        <v>9.6770463932625006E-3</v>
      </c>
      <c r="E247" s="5">
        <f>+'FRED Graph (2)'!B257</f>
        <v>16253.716157120327</v>
      </c>
      <c r="F247" s="6">
        <f t="shared" si="7"/>
        <v>3.3337580728411975E-3</v>
      </c>
    </row>
    <row r="248" spans="1:6" x14ac:dyDescent="0.25">
      <c r="A248">
        <v>2010</v>
      </c>
      <c r="B248">
        <v>3</v>
      </c>
      <c r="C248" s="5">
        <v>15726.281999999999</v>
      </c>
      <c r="D248" s="6">
        <f t="shared" si="6"/>
        <v>7.731441503026959E-3</v>
      </c>
      <c r="E248" s="5">
        <f>+'FRED Graph (2)'!B258</f>
        <v>16310.447723810714</v>
      </c>
      <c r="F248" s="6">
        <f t="shared" si="7"/>
        <v>3.4903751327990395E-3</v>
      </c>
    </row>
    <row r="249" spans="1:6" x14ac:dyDescent="0.25">
      <c r="A249">
        <v>2010</v>
      </c>
      <c r="B249">
        <v>4</v>
      </c>
      <c r="C249" s="5">
        <v>15807.995000000001</v>
      </c>
      <c r="D249" s="6">
        <f t="shared" si="6"/>
        <v>5.1959515923727384E-3</v>
      </c>
      <c r="E249" s="5">
        <f>+'FRED Graph (2)'!B259</f>
        <v>16369.305151435134</v>
      </c>
      <c r="F249" s="6">
        <f t="shared" si="7"/>
        <v>3.6085721631355927E-3</v>
      </c>
    </row>
    <row r="250" spans="1:6" x14ac:dyDescent="0.25">
      <c r="A250">
        <v>2011</v>
      </c>
      <c r="B250">
        <v>1</v>
      </c>
      <c r="C250" s="5">
        <v>15769.911</v>
      </c>
      <c r="D250" s="6">
        <f t="shared" si="6"/>
        <v>-2.4091606810351385E-3</v>
      </c>
      <c r="E250" s="5">
        <f>+'FRED Graph (2)'!B260</f>
        <v>16430.464766780584</v>
      </c>
      <c r="F250" s="6">
        <f t="shared" si="7"/>
        <v>3.7362377192955432E-3</v>
      </c>
    </row>
    <row r="251" spans="1:6" x14ac:dyDescent="0.25">
      <c r="A251">
        <v>2011</v>
      </c>
      <c r="B251">
        <v>2</v>
      </c>
      <c r="C251" s="5">
        <v>15876.839</v>
      </c>
      <c r="D251" s="6">
        <f t="shared" si="6"/>
        <v>6.780507512058831E-3</v>
      </c>
      <c r="E251" s="5">
        <f>+'FRED Graph (2)'!B261</f>
        <v>16494.124187380123</v>
      </c>
      <c r="F251" s="6">
        <f t="shared" si="7"/>
        <v>3.8744747335599516E-3</v>
      </c>
    </row>
    <row r="252" spans="1:6" x14ac:dyDescent="0.25">
      <c r="A252">
        <v>2011</v>
      </c>
      <c r="B252">
        <v>3</v>
      </c>
      <c r="C252" s="5">
        <v>15870.683999999999</v>
      </c>
      <c r="D252" s="6">
        <f t="shared" si="6"/>
        <v>-3.8767162657504795E-4</v>
      </c>
      <c r="E252" s="5">
        <f>+'FRED Graph (2)'!B262</f>
        <v>16560.109528317294</v>
      </c>
      <c r="F252" s="6">
        <f t="shared" si="7"/>
        <v>4.00053620231966E-3</v>
      </c>
    </row>
    <row r="253" spans="1:6" x14ac:dyDescent="0.25">
      <c r="A253">
        <v>2011</v>
      </c>
      <c r="B253">
        <v>4</v>
      </c>
      <c r="C253" s="5">
        <v>16048.701999999999</v>
      </c>
      <c r="D253" s="6">
        <f t="shared" si="6"/>
        <v>1.1216781834985756E-2</v>
      </c>
      <c r="E253" s="5">
        <f>+'FRED Graph (2)'!B263</f>
        <v>16627.891653548617</v>
      </c>
      <c r="F253" s="6">
        <f t="shared" si="7"/>
        <v>4.0930964324490393E-3</v>
      </c>
    </row>
    <row r="254" spans="1:6" x14ac:dyDescent="0.25">
      <c r="A254">
        <v>2012</v>
      </c>
      <c r="B254">
        <v>1</v>
      </c>
      <c r="C254" s="5">
        <v>16179.968000000001</v>
      </c>
      <c r="D254" s="6">
        <f t="shared" si="6"/>
        <v>8.1792284509987212E-3</v>
      </c>
      <c r="E254" s="5">
        <f>+'FRED Graph (2)'!B264</f>
        <v>16697.390719924417</v>
      </c>
      <c r="F254" s="6">
        <f t="shared" si="7"/>
        <v>4.1796679834011918E-3</v>
      </c>
    </row>
    <row r="255" spans="1:6" x14ac:dyDescent="0.25">
      <c r="A255">
        <v>2012</v>
      </c>
      <c r="B255">
        <v>2</v>
      </c>
      <c r="C255" s="5">
        <v>16253.726000000001</v>
      </c>
      <c r="D255" s="6">
        <f t="shared" si="6"/>
        <v>4.5585998686770157E-3</v>
      </c>
      <c r="E255" s="5">
        <f>+'FRED Graph (2)'!B265</f>
        <v>16768.971178461616</v>
      </c>
      <c r="F255" s="6">
        <f t="shared" si="7"/>
        <v>4.286924809861814E-3</v>
      </c>
    </row>
    <row r="256" spans="1:6" x14ac:dyDescent="0.25">
      <c r="A256">
        <v>2012</v>
      </c>
      <c r="B256">
        <v>3</v>
      </c>
      <c r="C256" s="5">
        <v>16282.151</v>
      </c>
      <c r="D256" s="6">
        <f t="shared" si="6"/>
        <v>1.7488297760155369E-3</v>
      </c>
      <c r="E256" s="5">
        <f>+'FRED Graph (2)'!B266</f>
        <v>16842.160314521388</v>
      </c>
      <c r="F256" s="6">
        <f t="shared" si="7"/>
        <v>4.3645573291806183E-3</v>
      </c>
    </row>
    <row r="257" spans="1:6" x14ac:dyDescent="0.25">
      <c r="A257">
        <v>2012</v>
      </c>
      <c r="B257">
        <v>4</v>
      </c>
      <c r="C257" s="5">
        <v>16300.035</v>
      </c>
      <c r="D257" s="6">
        <f t="shared" si="6"/>
        <v>1.0983806746418523E-3</v>
      </c>
      <c r="E257" s="5">
        <f>+'FRED Graph (2)'!B267</f>
        <v>16916.653882648665</v>
      </c>
      <c r="F257" s="6">
        <f t="shared" si="7"/>
        <v>4.4230411500743028E-3</v>
      </c>
    </row>
    <row r="258" spans="1:6" x14ac:dyDescent="0.25">
      <c r="A258">
        <v>2013</v>
      </c>
      <c r="B258">
        <v>1</v>
      </c>
      <c r="C258" s="5">
        <v>16441.485000000001</v>
      </c>
      <c r="D258" s="6">
        <f t="shared" si="6"/>
        <v>8.6778954769115568E-3</v>
      </c>
      <c r="E258" s="5">
        <f>+'FRED Graph (2)'!B268</f>
        <v>16992.571486427674</v>
      </c>
      <c r="F258" s="6">
        <f t="shared" si="7"/>
        <v>4.4877435162800072E-3</v>
      </c>
    </row>
    <row r="259" spans="1:6" x14ac:dyDescent="0.25">
      <c r="A259">
        <v>2013</v>
      </c>
      <c r="B259">
        <v>2</v>
      </c>
      <c r="C259" s="5">
        <v>16464.401999999998</v>
      </c>
      <c r="D259" s="6">
        <f t="shared" si="6"/>
        <v>1.3938521976570861E-3</v>
      </c>
      <c r="E259" s="5">
        <f>+'FRED Graph (2)'!B269</f>
        <v>17069.566062011083</v>
      </c>
      <c r="F259" s="6">
        <f t="shared" si="7"/>
        <v>4.5310726304670368E-3</v>
      </c>
    </row>
    <row r="260" spans="1:6" x14ac:dyDescent="0.25">
      <c r="A260">
        <v>2013</v>
      </c>
      <c r="B260">
        <v>3</v>
      </c>
      <c r="C260" s="5">
        <v>16594.742999999999</v>
      </c>
      <c r="D260" s="6">
        <f t="shared" ref="D260:D295" si="8">+C260/C259-1</f>
        <v>7.9165341079499019E-3</v>
      </c>
      <c r="E260" s="5">
        <f>+'FRED Graph (2)'!B270</f>
        <v>17147.150782277757</v>
      </c>
      <c r="F260" s="6">
        <f t="shared" ref="F260:F295" si="9">+E260/E259-1</f>
        <v>4.5452075339713627E-3</v>
      </c>
    </row>
    <row r="261" spans="1:6" x14ac:dyDescent="0.25">
      <c r="A261">
        <v>2013</v>
      </c>
      <c r="B261">
        <v>4</v>
      </c>
      <c r="C261" s="5">
        <v>16712.759999999998</v>
      </c>
      <c r="D261" s="6">
        <f t="shared" si="8"/>
        <v>7.1117100156357083E-3</v>
      </c>
      <c r="E261" s="5">
        <f>+'FRED Graph (2)'!B271</f>
        <v>17225.802388399334</v>
      </c>
      <c r="F261" s="6">
        <f t="shared" si="9"/>
        <v>4.5868615212076858E-3</v>
      </c>
    </row>
    <row r="262" spans="1:6" x14ac:dyDescent="0.25">
      <c r="A262">
        <v>2014</v>
      </c>
      <c r="B262">
        <v>1</v>
      </c>
      <c r="C262" s="5">
        <v>16654.246999999999</v>
      </c>
      <c r="D262" s="6">
        <f t="shared" si="8"/>
        <v>-3.5010973651269373E-3</v>
      </c>
      <c r="E262" s="5">
        <f>+'FRED Graph (2)'!B272</f>
        <v>17305.419454168063</v>
      </c>
      <c r="F262" s="6">
        <f t="shared" si="9"/>
        <v>4.6219655824186745E-3</v>
      </c>
    </row>
    <row r="263" spans="1:6" x14ac:dyDescent="0.25">
      <c r="A263">
        <v>2014</v>
      </c>
      <c r="B263">
        <v>2</v>
      </c>
      <c r="C263" s="5">
        <v>16868.109</v>
      </c>
      <c r="D263" s="6">
        <f t="shared" si="8"/>
        <v>1.2841289071790607E-2</v>
      </c>
      <c r="E263" s="5">
        <f>+'FRED Graph (2)'!B273</f>
        <v>17385.710529393622</v>
      </c>
      <c r="F263" s="6">
        <f t="shared" si="9"/>
        <v>4.6396491826277142E-3</v>
      </c>
    </row>
    <row r="264" spans="1:6" x14ac:dyDescent="0.25">
      <c r="A264">
        <v>2014</v>
      </c>
      <c r="B264">
        <v>3</v>
      </c>
      <c r="C264" s="5">
        <v>17064.616000000002</v>
      </c>
      <c r="D264" s="6">
        <f t="shared" si="8"/>
        <v>1.1649616444854738E-2</v>
      </c>
      <c r="E264" s="5">
        <f>+'FRED Graph (2)'!B274</f>
        <v>17467.54920948041</v>
      </c>
      <c r="F264" s="6">
        <f t="shared" si="9"/>
        <v>4.7072381625372639E-3</v>
      </c>
    </row>
    <row r="265" spans="1:6" x14ac:dyDescent="0.25">
      <c r="A265">
        <v>2014</v>
      </c>
      <c r="B265">
        <v>4</v>
      </c>
      <c r="C265" s="5">
        <v>17141.235000000001</v>
      </c>
      <c r="D265" s="6">
        <f t="shared" si="8"/>
        <v>4.4899340248851782E-3</v>
      </c>
      <c r="E265" s="5">
        <f>+'FRED Graph (2)'!B275</f>
        <v>17550.014792008409</v>
      </c>
      <c r="F265" s="6">
        <f t="shared" si="9"/>
        <v>4.7210734338873905E-3</v>
      </c>
    </row>
    <row r="266" spans="1:6" x14ac:dyDescent="0.25">
      <c r="A266">
        <v>2015</v>
      </c>
      <c r="B266">
        <v>1</v>
      </c>
      <c r="C266" s="5">
        <v>17280.647000000001</v>
      </c>
      <c r="D266" s="6">
        <f t="shared" si="8"/>
        <v>8.1331362646857031E-3</v>
      </c>
      <c r="E266" s="5">
        <f>+'FRED Graph (2)'!B276</f>
        <v>17632.760612537964</v>
      </c>
      <c r="F266" s="6">
        <f t="shared" si="9"/>
        <v>4.7148575947202342E-3</v>
      </c>
    </row>
    <row r="267" spans="1:6" x14ac:dyDescent="0.25">
      <c r="A267">
        <v>2015</v>
      </c>
      <c r="B267">
        <v>2</v>
      </c>
      <c r="C267" s="5">
        <v>17380.875</v>
      </c>
      <c r="D267" s="6">
        <f t="shared" si="8"/>
        <v>5.8000143165934936E-3</v>
      </c>
      <c r="E267" s="5">
        <f>+'FRED Graph (2)'!B277</f>
        <v>17715.601334992039</v>
      </c>
      <c r="F267" s="6">
        <f t="shared" si="9"/>
        <v>4.6981141679636185E-3</v>
      </c>
    </row>
    <row r="268" spans="1:6" x14ac:dyDescent="0.25">
      <c r="A268">
        <v>2015</v>
      </c>
      <c r="B268">
        <v>3</v>
      </c>
      <c r="C268" s="5">
        <v>17437.080000000002</v>
      </c>
      <c r="D268" s="6">
        <f t="shared" si="8"/>
        <v>3.2337267254958224E-3</v>
      </c>
      <c r="E268" s="5">
        <f>+'FRED Graph (2)'!B278</f>
        <v>17797.91133893585</v>
      </c>
      <c r="F268" s="6">
        <f t="shared" si="9"/>
        <v>4.6461874134202663E-3</v>
      </c>
    </row>
    <row r="269" spans="1:6" x14ac:dyDescent="0.25">
      <c r="A269">
        <v>2015</v>
      </c>
      <c r="B269">
        <v>4</v>
      </c>
      <c r="C269" s="5">
        <v>17462.579000000002</v>
      </c>
      <c r="D269" s="6">
        <f t="shared" si="8"/>
        <v>1.4623434657636825E-3</v>
      </c>
      <c r="E269" s="5">
        <f>+'FRED Graph (2)'!B279</f>
        <v>17879.075022707257</v>
      </c>
      <c r="F269" s="6">
        <f t="shared" si="9"/>
        <v>4.5602926223060614E-3</v>
      </c>
    </row>
    <row r="270" spans="1:6" x14ac:dyDescent="0.25">
      <c r="A270">
        <v>2016</v>
      </c>
      <c r="B270">
        <v>1</v>
      </c>
      <c r="C270" s="5">
        <v>17565.465</v>
      </c>
      <c r="D270" s="6">
        <f t="shared" si="8"/>
        <v>5.8917986856350524E-3</v>
      </c>
      <c r="E270" s="5">
        <f>+'FRED Graph (2)'!B280</f>
        <v>17959.524725668442</v>
      </c>
      <c r="F270" s="6">
        <f t="shared" si="9"/>
        <v>4.4996568815227622E-3</v>
      </c>
    </row>
    <row r="271" spans="1:6" x14ac:dyDescent="0.25">
      <c r="A271">
        <v>2016</v>
      </c>
      <c r="B271">
        <v>2</v>
      </c>
      <c r="C271" s="5">
        <v>17618.580999999998</v>
      </c>
      <c r="D271" s="6">
        <f t="shared" si="8"/>
        <v>3.0238880667263768E-3</v>
      </c>
      <c r="E271" s="5">
        <f>+'FRED Graph (2)'!B281</f>
        <v>18039.058551483766</v>
      </c>
      <c r="F271" s="6">
        <f t="shared" si="9"/>
        <v>4.4285039292633055E-3</v>
      </c>
    </row>
    <row r="272" spans="1:6" x14ac:dyDescent="0.25">
      <c r="A272">
        <v>2016</v>
      </c>
      <c r="B272">
        <v>3</v>
      </c>
      <c r="C272" s="5">
        <v>17724.489000000001</v>
      </c>
      <c r="D272" s="6">
        <f t="shared" si="8"/>
        <v>6.0111537926921255E-3</v>
      </c>
      <c r="E272" s="5">
        <f>+'FRED Graph (2)'!B282</f>
        <v>18117.649189862594</v>
      </c>
      <c r="F272" s="6">
        <f t="shared" si="9"/>
        <v>4.3566929035974145E-3</v>
      </c>
    </row>
    <row r="273" spans="1:6" x14ac:dyDescent="0.25">
      <c r="A273">
        <v>2016</v>
      </c>
      <c r="B273">
        <v>4</v>
      </c>
      <c r="C273" s="5">
        <v>17812.560000000001</v>
      </c>
      <c r="D273" s="6">
        <f t="shared" si="8"/>
        <v>4.9688879606064607E-3</v>
      </c>
      <c r="E273" s="5">
        <f>+'FRED Graph (2)'!B283</f>
        <v>18195.876939707825</v>
      </c>
      <c r="F273" s="6">
        <f t="shared" si="9"/>
        <v>4.3177649056700407E-3</v>
      </c>
    </row>
    <row r="274" spans="1:6" x14ac:dyDescent="0.25">
      <c r="A274">
        <v>2017</v>
      </c>
      <c r="B274">
        <v>1</v>
      </c>
      <c r="C274" s="5">
        <v>17896.623</v>
      </c>
      <c r="D274" s="6">
        <f t="shared" si="8"/>
        <v>4.719310419164735E-3</v>
      </c>
      <c r="E274" s="5">
        <f>+'FRED Graph (2)'!B284</f>
        <v>18274.532822062818</v>
      </c>
      <c r="F274" s="6">
        <f t="shared" si="9"/>
        <v>4.3227310569102784E-3</v>
      </c>
    </row>
    <row r="275" spans="1:6" x14ac:dyDescent="0.25">
      <c r="A275">
        <v>2017</v>
      </c>
      <c r="B275">
        <v>2</v>
      </c>
      <c r="C275" s="5">
        <v>17996.802</v>
      </c>
      <c r="D275" s="6">
        <f t="shared" si="8"/>
        <v>5.5976482267072747E-3</v>
      </c>
      <c r="E275" s="5">
        <f>+'FRED Graph (2)'!B285</f>
        <v>18352.950873578</v>
      </c>
      <c r="F275" s="6">
        <f t="shared" si="9"/>
        <v>4.2911111478871611E-3</v>
      </c>
    </row>
    <row r="276" spans="1:6" x14ac:dyDescent="0.25">
      <c r="A276">
        <v>2017</v>
      </c>
      <c r="B276">
        <v>3</v>
      </c>
      <c r="C276" s="5">
        <v>18126.225999999999</v>
      </c>
      <c r="D276" s="6">
        <f t="shared" si="8"/>
        <v>7.1914999120399337E-3</v>
      </c>
      <c r="E276" s="5">
        <f>+'FRED Graph (2)'!B286</f>
        <v>18433.50352198413</v>
      </c>
      <c r="F276" s="6">
        <f t="shared" si="9"/>
        <v>4.3890842928206997E-3</v>
      </c>
    </row>
    <row r="277" spans="1:6" x14ac:dyDescent="0.25">
      <c r="A277">
        <v>2017</v>
      </c>
      <c r="B277">
        <v>4</v>
      </c>
      <c r="C277" s="5">
        <v>18296.685000000001</v>
      </c>
      <c r="D277" s="6">
        <f t="shared" si="8"/>
        <v>9.4039983833371643E-3</v>
      </c>
      <c r="E277" s="5">
        <f>+'FRED Graph (2)'!B287</f>
        <v>18516.076051463522</v>
      </c>
      <c r="F277" s="6">
        <f t="shared" si="9"/>
        <v>4.4794810373900429E-3</v>
      </c>
    </row>
    <row r="278" spans="1:6" x14ac:dyDescent="0.25">
      <c r="A278">
        <v>2018</v>
      </c>
      <c r="B278">
        <v>1</v>
      </c>
      <c r="C278" s="5">
        <v>18436.261999999999</v>
      </c>
      <c r="D278" s="6">
        <f t="shared" si="8"/>
        <v>7.6285403612730285E-3</v>
      </c>
      <c r="E278" s="5">
        <f>+'FRED Graph (2)'!B288</f>
        <v>18600.542516946021</v>
      </c>
      <c r="F278" s="6">
        <f t="shared" si="9"/>
        <v>4.5617908053376954E-3</v>
      </c>
    </row>
    <row r="279" spans="1:6" x14ac:dyDescent="0.25">
      <c r="A279">
        <v>2018</v>
      </c>
      <c r="B279">
        <v>2</v>
      </c>
      <c r="C279" s="5">
        <v>18590.004000000001</v>
      </c>
      <c r="D279" s="6">
        <f t="shared" si="8"/>
        <v>8.3391090883826458E-3</v>
      </c>
      <c r="E279" s="5">
        <f>+'FRED Graph (2)'!B289</f>
        <v>18687.322097031873</v>
      </c>
      <c r="F279" s="6">
        <f t="shared" si="9"/>
        <v>4.6654327424477948E-3</v>
      </c>
    </row>
    <row r="280" spans="1:6" x14ac:dyDescent="0.25">
      <c r="A280">
        <v>2018</v>
      </c>
      <c r="B280">
        <v>3</v>
      </c>
      <c r="C280" s="5">
        <v>18679.598999999998</v>
      </c>
      <c r="D280" s="6">
        <f t="shared" si="8"/>
        <v>4.8195255902041545E-3</v>
      </c>
      <c r="E280" s="5">
        <f>+'FRED Graph (2)'!B290</f>
        <v>18776.099110468444</v>
      </c>
      <c r="F280" s="6">
        <f t="shared" si="9"/>
        <v>4.7506546403817129E-3</v>
      </c>
    </row>
    <row r="281" spans="1:6" x14ac:dyDescent="0.25">
      <c r="A281">
        <v>2018</v>
      </c>
      <c r="B281">
        <v>4</v>
      </c>
      <c r="C281" s="5">
        <v>18721.280999999999</v>
      </c>
      <c r="D281" s="6">
        <f t="shared" si="8"/>
        <v>2.2314183511114027E-3</v>
      </c>
      <c r="E281" s="5">
        <f>+'FRED Graph (2)'!B291</f>
        <v>18865.372897453119</v>
      </c>
      <c r="F281" s="6">
        <f t="shared" si="9"/>
        <v>4.7546503914064342E-3</v>
      </c>
    </row>
    <row r="282" spans="1:6" x14ac:dyDescent="0.25">
      <c r="A282">
        <v>2019</v>
      </c>
      <c r="B282">
        <v>1</v>
      </c>
      <c r="C282" s="5">
        <v>18833.195</v>
      </c>
      <c r="D282" s="6">
        <f t="shared" si="8"/>
        <v>5.9779029009821016E-3</v>
      </c>
      <c r="E282" s="5">
        <f>+'FRED Graph (2)'!B292</f>
        <v>18954.764599505463</v>
      </c>
      <c r="F282" s="6">
        <f t="shared" si="9"/>
        <v>4.7384010132347498E-3</v>
      </c>
    </row>
    <row r="283" spans="1:6" x14ac:dyDescent="0.25">
      <c r="A283">
        <v>2019</v>
      </c>
      <c r="B283">
        <v>2</v>
      </c>
      <c r="C283" s="5">
        <v>18982.527999999998</v>
      </c>
      <c r="D283" s="6">
        <f t="shared" si="8"/>
        <v>7.9292440820581955E-3</v>
      </c>
      <c r="E283" s="5">
        <f>+'FRED Graph (2)'!B293</f>
        <v>19044.881460273402</v>
      </c>
      <c r="F283" s="6">
        <f t="shared" si="9"/>
        <v>4.7543117876700514E-3</v>
      </c>
    </row>
    <row r="284" spans="1:6" x14ac:dyDescent="0.25">
      <c r="A284">
        <v>2019</v>
      </c>
      <c r="B284">
        <v>3</v>
      </c>
      <c r="C284" s="5">
        <v>19112.652999999998</v>
      </c>
      <c r="D284" s="6">
        <f t="shared" si="8"/>
        <v>6.8549879130956892E-3</v>
      </c>
      <c r="E284" s="5">
        <f>+'FRED Graph (2)'!B294</f>
        <v>19135.419343657588</v>
      </c>
      <c r="F284" s="6">
        <f t="shared" si="9"/>
        <v>4.7539221272152599E-3</v>
      </c>
    </row>
    <row r="285" spans="1:6" x14ac:dyDescent="0.25">
      <c r="A285">
        <v>2019</v>
      </c>
      <c r="B285">
        <v>4</v>
      </c>
      <c r="C285" s="5">
        <v>19202.310000000001</v>
      </c>
      <c r="D285" s="6">
        <f t="shared" si="8"/>
        <v>4.6909761821136708E-3</v>
      </c>
      <c r="E285" s="5">
        <f>+'FRED Graph (2)'!B295</f>
        <v>19225.599085747494</v>
      </c>
      <c r="F285" s="6">
        <f t="shared" si="9"/>
        <v>4.7127131352779905E-3</v>
      </c>
    </row>
    <row r="286" spans="1:6" x14ac:dyDescent="0.25">
      <c r="A286">
        <v>2020</v>
      </c>
      <c r="B286">
        <v>1</v>
      </c>
      <c r="C286" s="5">
        <v>18951.991999999998</v>
      </c>
      <c r="D286" s="6">
        <f t="shared" si="8"/>
        <v>-1.3035827460342153E-2</v>
      </c>
      <c r="E286" s="5">
        <f>+'FRED Graph (2)'!B296</f>
        <v>19314.330228562518</v>
      </c>
      <c r="F286" s="6">
        <f t="shared" si="9"/>
        <v>4.615260227745166E-3</v>
      </c>
    </row>
    <row r="287" spans="1:6" x14ac:dyDescent="0.25">
      <c r="A287">
        <v>2020</v>
      </c>
      <c r="B287">
        <v>2</v>
      </c>
      <c r="C287" s="5">
        <v>17258.205000000002</v>
      </c>
      <c r="D287" s="6">
        <f t="shared" si="8"/>
        <v>-8.9372505011610204E-2</v>
      </c>
      <c r="E287" s="5">
        <f>+'FRED Graph (2)'!B297</f>
        <v>19399.659424294787</v>
      </c>
      <c r="F287" s="6">
        <f t="shared" si="9"/>
        <v>4.4179215495696589E-3</v>
      </c>
    </row>
    <row r="288" spans="1:6" x14ac:dyDescent="0.25">
      <c r="A288">
        <v>2020</v>
      </c>
      <c r="B288">
        <v>3</v>
      </c>
      <c r="C288" s="5">
        <v>18560.774000000001</v>
      </c>
      <c r="D288" s="6">
        <f t="shared" si="8"/>
        <v>7.5475346364236584E-2</v>
      </c>
      <c r="E288" s="5">
        <f>+'FRED Graph (2)'!B298</f>
        <v>19477.214282920206</v>
      </c>
      <c r="F288" s="6">
        <f t="shared" si="9"/>
        <v>3.9977433071991531E-3</v>
      </c>
    </row>
    <row r="289" spans="1:6" x14ac:dyDescent="0.25">
      <c r="A289">
        <v>2020</v>
      </c>
      <c r="B289">
        <v>4</v>
      </c>
      <c r="C289" s="5">
        <v>18767.777999999998</v>
      </c>
      <c r="D289" s="6">
        <f t="shared" si="8"/>
        <v>1.1152767659365681E-2</v>
      </c>
      <c r="E289" s="5">
        <f>+'FRED Graph (2)'!B299</f>
        <v>19559.271259869762</v>
      </c>
      <c r="F289" s="6">
        <f t="shared" si="9"/>
        <v>4.212972951759042E-3</v>
      </c>
    </row>
    <row r="290" spans="1:6" x14ac:dyDescent="0.25">
      <c r="A290">
        <v>2021</v>
      </c>
      <c r="B290">
        <v>1</v>
      </c>
      <c r="C290" s="5">
        <v>19055.654999999999</v>
      </c>
      <c r="D290" s="6">
        <f t="shared" si="8"/>
        <v>1.5338896272110603E-2</v>
      </c>
      <c r="E290" s="5">
        <f>+'FRED Graph (2)'!B300</f>
        <v>19644.490000000002</v>
      </c>
      <c r="F290" s="6">
        <f t="shared" si="9"/>
        <v>4.3569486305496952E-3</v>
      </c>
    </row>
    <row r="291" spans="1:6" x14ac:dyDescent="0.25">
      <c r="A291">
        <v>2021</v>
      </c>
      <c r="B291">
        <v>2</v>
      </c>
      <c r="C291" s="5">
        <v>19368.310000000001</v>
      </c>
      <c r="D291" s="6">
        <f t="shared" si="8"/>
        <v>1.6407465395443133E-2</v>
      </c>
      <c r="E291" s="5">
        <f>+'FRED Graph (2)'!B301</f>
        <v>19732.990000000002</v>
      </c>
      <c r="F291" s="6">
        <f t="shared" si="9"/>
        <v>4.505080050436483E-3</v>
      </c>
    </row>
    <row r="292" spans="1:6" x14ac:dyDescent="0.25">
      <c r="A292">
        <v>2021</v>
      </c>
      <c r="B292">
        <v>3</v>
      </c>
      <c r="C292" s="5">
        <v>19478.893</v>
      </c>
      <c r="D292" s="6">
        <f t="shared" si="8"/>
        <v>5.7094811059921202E-3</v>
      </c>
      <c r="E292" s="5">
        <f>+'FRED Graph (2)'!B302</f>
        <v>19822.82</v>
      </c>
      <c r="F292" s="6">
        <f t="shared" si="9"/>
        <v>4.5522751493818348E-3</v>
      </c>
    </row>
    <row r="293" spans="1:6" x14ac:dyDescent="0.25">
      <c r="A293">
        <v>2021</v>
      </c>
      <c r="B293">
        <v>4</v>
      </c>
      <c r="C293" s="5">
        <v>19806.29</v>
      </c>
      <c r="D293" s="6">
        <f t="shared" si="8"/>
        <v>1.6807782659928439E-2</v>
      </c>
      <c r="E293" s="5">
        <f>+'FRED Graph (2)'!B303</f>
        <v>19914.29</v>
      </c>
      <c r="F293" s="6">
        <f t="shared" si="9"/>
        <v>4.6143787816264048E-3</v>
      </c>
    </row>
    <row r="294" spans="1:6" x14ac:dyDescent="0.25">
      <c r="A294">
        <v>2022</v>
      </c>
      <c r="B294">
        <v>1</v>
      </c>
      <c r="C294" s="5">
        <v>19727.918000000001</v>
      </c>
      <c r="D294" s="6">
        <f t="shared" si="8"/>
        <v>-3.9569247951029007E-3</v>
      </c>
      <c r="E294" s="5">
        <f>+'FRED Graph (2)'!B304</f>
        <v>20005.45</v>
      </c>
      <c r="F294" s="6">
        <f t="shared" si="9"/>
        <v>4.5776173792788644E-3</v>
      </c>
    </row>
    <row r="295" spans="1:6" x14ac:dyDescent="0.25">
      <c r="A295">
        <v>2022</v>
      </c>
      <c r="B295">
        <v>2</v>
      </c>
      <c r="C295" s="5">
        <v>19699.465</v>
      </c>
      <c r="D295" s="6">
        <f t="shared" si="8"/>
        <v>-1.4422707961377901E-3</v>
      </c>
      <c r="E295" s="5">
        <f>+'FRED Graph (2)'!B305</f>
        <v>20101.18</v>
      </c>
      <c r="F295" s="6">
        <f t="shared" si="9"/>
        <v>4.7851960340807853E-3</v>
      </c>
    </row>
  </sheetData>
  <pageMargins left="0.7" right="0.7" top="0.75" bottom="0.75" header="0.3" footer="0.3"/>
  <headerFooter>
    <oddHeader>&amp;C&amp;"Calibri"&amp;8&amp;K000000 Internal Use&amp;1#_x000D_</oddHeader>
    <oddFooter>&amp;C_x000D_&amp;1#&amp;"Calibri"&amp;10&amp;K000000 For RealPage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D8E7-E709-4342-B3CA-A1C7E4382A4D}">
  <dimension ref="A1:B313"/>
  <sheetViews>
    <sheetView workbookViewId="0"/>
  </sheetViews>
  <sheetFormatPr baseColWidth="10" defaultColWidth="20.7109375" defaultRowHeight="12.75" x14ac:dyDescent="0.2"/>
  <cols>
    <col min="1" max="1" width="20.7109375" style="1" customWidth="1"/>
    <col min="2" max="16384" width="20.7109375" style="1"/>
  </cols>
  <sheetData>
    <row r="1" spans="1:2" x14ac:dyDescent="0.2">
      <c r="A1" s="1" t="s">
        <v>5</v>
      </c>
    </row>
    <row r="2" spans="1:2" x14ac:dyDescent="0.2">
      <c r="A2" s="1" t="s">
        <v>6</v>
      </c>
    </row>
    <row r="3" spans="1:2" x14ac:dyDescent="0.2">
      <c r="A3" s="1" t="s">
        <v>7</v>
      </c>
    </row>
    <row r="4" spans="1:2" x14ac:dyDescent="0.2">
      <c r="A4" s="1" t="s">
        <v>8</v>
      </c>
    </row>
    <row r="5" spans="1:2" x14ac:dyDescent="0.2">
      <c r="A5" s="1" t="s">
        <v>9</v>
      </c>
    </row>
    <row r="6" spans="1:2" x14ac:dyDescent="0.2">
      <c r="A6" s="1" t="s">
        <v>10</v>
      </c>
    </row>
    <row r="8" spans="1:2" x14ac:dyDescent="0.2">
      <c r="A8" s="1" t="s">
        <v>11</v>
      </c>
      <c r="B8" s="1" t="s">
        <v>12</v>
      </c>
    </row>
    <row r="10" spans="1:2" x14ac:dyDescent="0.2">
      <c r="A10" s="1" t="s">
        <v>13</v>
      </c>
    </row>
    <row r="11" spans="1:2" x14ac:dyDescent="0.2">
      <c r="A11" s="1" t="s">
        <v>14</v>
      </c>
      <c r="B11" s="1" t="s">
        <v>11</v>
      </c>
    </row>
    <row r="12" spans="1:2" x14ac:dyDescent="0.2">
      <c r="A12" s="2">
        <v>17168</v>
      </c>
      <c r="B12" s="3">
        <v>2034.45</v>
      </c>
    </row>
    <row r="13" spans="1:2" x14ac:dyDescent="0.2">
      <c r="A13" s="2">
        <v>17258</v>
      </c>
      <c r="B13" s="3">
        <v>2029.0239999999999</v>
      </c>
    </row>
    <row r="14" spans="1:2" x14ac:dyDescent="0.2">
      <c r="A14" s="2">
        <v>17349</v>
      </c>
      <c r="B14" s="3">
        <v>2024.8340000000001</v>
      </c>
    </row>
    <row r="15" spans="1:2" x14ac:dyDescent="0.2">
      <c r="A15" s="2">
        <v>17441</v>
      </c>
      <c r="B15" s="3">
        <v>2056.5079999999998</v>
      </c>
    </row>
    <row r="16" spans="1:2" x14ac:dyDescent="0.2">
      <c r="A16" s="2">
        <v>17533</v>
      </c>
      <c r="B16" s="3">
        <v>2087.442</v>
      </c>
    </row>
    <row r="17" spans="1:2" x14ac:dyDescent="0.2">
      <c r="A17" s="2">
        <v>17624</v>
      </c>
      <c r="B17" s="3">
        <v>2121.8989999999999</v>
      </c>
    </row>
    <row r="18" spans="1:2" x14ac:dyDescent="0.2">
      <c r="A18" s="2">
        <v>17715</v>
      </c>
      <c r="B18" s="3">
        <v>2134.056</v>
      </c>
    </row>
    <row r="19" spans="1:2" x14ac:dyDescent="0.2">
      <c r="A19" s="2">
        <v>17807</v>
      </c>
      <c r="B19" s="3">
        <v>2136.44</v>
      </c>
    </row>
    <row r="20" spans="1:2" x14ac:dyDescent="0.2">
      <c r="A20" s="2">
        <v>17899</v>
      </c>
      <c r="B20" s="3">
        <v>2107.0010000000002</v>
      </c>
    </row>
    <row r="21" spans="1:2" x14ac:dyDescent="0.2">
      <c r="A21" s="2">
        <v>17989</v>
      </c>
      <c r="B21" s="3">
        <v>2099.8139999999999</v>
      </c>
    </row>
    <row r="22" spans="1:2" x14ac:dyDescent="0.2">
      <c r="A22" s="2">
        <v>18080</v>
      </c>
      <c r="B22" s="3">
        <v>2121.4929999999999</v>
      </c>
    </row>
    <row r="23" spans="1:2" x14ac:dyDescent="0.2">
      <c r="A23" s="2">
        <v>18172</v>
      </c>
      <c r="B23" s="3">
        <v>2103.6880000000001</v>
      </c>
    </row>
    <row r="24" spans="1:2" x14ac:dyDescent="0.2">
      <c r="A24" s="2">
        <v>18264</v>
      </c>
      <c r="B24" s="3">
        <v>2186.3649999999998</v>
      </c>
    </row>
    <row r="25" spans="1:2" x14ac:dyDescent="0.2">
      <c r="A25" s="2">
        <v>18354</v>
      </c>
      <c r="B25" s="3">
        <v>2253.0450000000001</v>
      </c>
    </row>
    <row r="26" spans="1:2" x14ac:dyDescent="0.2">
      <c r="A26" s="2">
        <v>18445</v>
      </c>
      <c r="B26" s="3">
        <v>2340.1120000000001</v>
      </c>
    </row>
    <row r="27" spans="1:2" x14ac:dyDescent="0.2">
      <c r="A27" s="2">
        <v>18537</v>
      </c>
      <c r="B27" s="3">
        <v>2384.92</v>
      </c>
    </row>
    <row r="28" spans="1:2" x14ac:dyDescent="0.2">
      <c r="A28" s="2">
        <v>18629</v>
      </c>
      <c r="B28" s="3">
        <v>2417.3110000000001</v>
      </c>
    </row>
    <row r="29" spans="1:2" x14ac:dyDescent="0.2">
      <c r="A29" s="2">
        <v>18719</v>
      </c>
      <c r="B29" s="3">
        <v>2459.1959999999999</v>
      </c>
    </row>
    <row r="30" spans="1:2" x14ac:dyDescent="0.2">
      <c r="A30" s="2">
        <v>18810</v>
      </c>
      <c r="B30" s="3">
        <v>2509.88</v>
      </c>
    </row>
    <row r="31" spans="1:2" x14ac:dyDescent="0.2">
      <c r="A31" s="2">
        <v>18902</v>
      </c>
      <c r="B31" s="3">
        <v>2515.4079999999999</v>
      </c>
    </row>
    <row r="32" spans="1:2" x14ac:dyDescent="0.2">
      <c r="A32" s="2">
        <v>18994</v>
      </c>
      <c r="B32" s="3">
        <v>2542.2860000000001</v>
      </c>
    </row>
    <row r="33" spans="1:2" x14ac:dyDescent="0.2">
      <c r="A33" s="2">
        <v>19085</v>
      </c>
      <c r="B33" s="3">
        <v>2547.7620000000002</v>
      </c>
    </row>
    <row r="34" spans="1:2" x14ac:dyDescent="0.2">
      <c r="A34" s="2">
        <v>19176</v>
      </c>
      <c r="B34" s="3">
        <v>2566.1529999999998</v>
      </c>
    </row>
    <row r="35" spans="1:2" x14ac:dyDescent="0.2">
      <c r="A35" s="2">
        <v>19268</v>
      </c>
      <c r="B35" s="3">
        <v>2650.431</v>
      </c>
    </row>
    <row r="36" spans="1:2" x14ac:dyDescent="0.2">
      <c r="A36" s="2">
        <v>19360</v>
      </c>
      <c r="B36" s="3">
        <v>2699.6990000000001</v>
      </c>
    </row>
    <row r="37" spans="1:2" x14ac:dyDescent="0.2">
      <c r="A37" s="2">
        <v>19450</v>
      </c>
      <c r="B37" s="3">
        <v>2720.5659999999998</v>
      </c>
    </row>
    <row r="38" spans="1:2" x14ac:dyDescent="0.2">
      <c r="A38" s="2">
        <v>19541</v>
      </c>
      <c r="B38" s="3">
        <v>2705.2579999999998</v>
      </c>
    </row>
    <row r="39" spans="1:2" x14ac:dyDescent="0.2">
      <c r="A39" s="2">
        <v>19633</v>
      </c>
      <c r="B39" s="3">
        <v>2664.3020000000001</v>
      </c>
    </row>
    <row r="40" spans="1:2" x14ac:dyDescent="0.2">
      <c r="A40" s="2">
        <v>19725</v>
      </c>
      <c r="B40" s="3">
        <v>2651.5659999999998</v>
      </c>
    </row>
    <row r="41" spans="1:2" x14ac:dyDescent="0.2">
      <c r="A41" s="2">
        <v>19815</v>
      </c>
      <c r="B41" s="3">
        <v>2654.4560000000001</v>
      </c>
    </row>
    <row r="42" spans="1:2" x14ac:dyDescent="0.2">
      <c r="A42" s="2">
        <v>19906</v>
      </c>
      <c r="B42" s="3">
        <v>2684.4340000000002</v>
      </c>
    </row>
    <row r="43" spans="1:2" x14ac:dyDescent="0.2">
      <c r="A43" s="2">
        <v>19998</v>
      </c>
      <c r="B43" s="3">
        <v>2736.96</v>
      </c>
    </row>
    <row r="44" spans="1:2" x14ac:dyDescent="0.2">
      <c r="A44" s="2">
        <v>20090</v>
      </c>
      <c r="B44" s="3">
        <v>2815.134</v>
      </c>
    </row>
    <row r="45" spans="1:2" x14ac:dyDescent="0.2">
      <c r="A45" s="2">
        <v>20180</v>
      </c>
      <c r="B45" s="3">
        <v>2860.942</v>
      </c>
    </row>
    <row r="46" spans="1:2" x14ac:dyDescent="0.2">
      <c r="A46" s="2">
        <v>20271</v>
      </c>
      <c r="B46" s="3">
        <v>2899.578</v>
      </c>
    </row>
    <row r="47" spans="1:2" x14ac:dyDescent="0.2">
      <c r="A47" s="2">
        <v>20363</v>
      </c>
      <c r="B47" s="3">
        <v>2916.9850000000001</v>
      </c>
    </row>
    <row r="48" spans="1:2" x14ac:dyDescent="0.2">
      <c r="A48" s="2">
        <v>20455</v>
      </c>
      <c r="B48" s="3">
        <v>2905.6559999999999</v>
      </c>
    </row>
    <row r="49" spans="1:2" x14ac:dyDescent="0.2">
      <c r="A49" s="2">
        <v>20546</v>
      </c>
      <c r="B49" s="3">
        <v>2929.6660000000002</v>
      </c>
    </row>
    <row r="50" spans="1:2" x14ac:dyDescent="0.2">
      <c r="A50" s="2">
        <v>20637</v>
      </c>
      <c r="B50" s="3">
        <v>2927.0340000000001</v>
      </c>
    </row>
    <row r="51" spans="1:2" x14ac:dyDescent="0.2">
      <c r="A51" s="2">
        <v>20729</v>
      </c>
      <c r="B51" s="3">
        <v>2975.2089999999998</v>
      </c>
    </row>
    <row r="52" spans="1:2" x14ac:dyDescent="0.2">
      <c r="A52" s="2">
        <v>20821</v>
      </c>
      <c r="B52" s="3">
        <v>2994.259</v>
      </c>
    </row>
    <row r="53" spans="1:2" x14ac:dyDescent="0.2">
      <c r="A53" s="2">
        <v>20911</v>
      </c>
      <c r="B53" s="3">
        <v>2987.6990000000001</v>
      </c>
    </row>
    <row r="54" spans="1:2" x14ac:dyDescent="0.2">
      <c r="A54" s="2">
        <v>21002</v>
      </c>
      <c r="B54" s="3">
        <v>3016.9789999999998</v>
      </c>
    </row>
    <row r="55" spans="1:2" x14ac:dyDescent="0.2">
      <c r="A55" s="2">
        <v>21094</v>
      </c>
      <c r="B55" s="3">
        <v>2985.7750000000001</v>
      </c>
    </row>
    <row r="56" spans="1:2" x14ac:dyDescent="0.2">
      <c r="A56" s="2">
        <v>21186</v>
      </c>
      <c r="B56" s="3">
        <v>2908.2809999999999</v>
      </c>
    </row>
    <row r="57" spans="1:2" x14ac:dyDescent="0.2">
      <c r="A57" s="2">
        <v>21276</v>
      </c>
      <c r="B57" s="3">
        <v>2927.395</v>
      </c>
    </row>
    <row r="58" spans="1:2" x14ac:dyDescent="0.2">
      <c r="A58" s="2">
        <v>21367</v>
      </c>
      <c r="B58" s="3">
        <v>2995.1120000000001</v>
      </c>
    </row>
    <row r="59" spans="1:2" x14ac:dyDescent="0.2">
      <c r="A59" s="2">
        <v>21459</v>
      </c>
      <c r="B59" s="3">
        <v>3065.1410000000001</v>
      </c>
    </row>
    <row r="60" spans="1:2" x14ac:dyDescent="0.2">
      <c r="A60" s="2">
        <v>21551</v>
      </c>
      <c r="B60" s="3">
        <v>3123.9780000000001</v>
      </c>
    </row>
    <row r="61" spans="1:2" x14ac:dyDescent="0.2">
      <c r="A61" s="2">
        <v>21641</v>
      </c>
      <c r="B61" s="3">
        <v>3194.4290000000001</v>
      </c>
    </row>
    <row r="62" spans="1:2" x14ac:dyDescent="0.2">
      <c r="A62" s="2">
        <v>21732</v>
      </c>
      <c r="B62" s="3">
        <v>3196.683</v>
      </c>
    </row>
    <row r="63" spans="1:2" x14ac:dyDescent="0.2">
      <c r="A63" s="2">
        <v>21824</v>
      </c>
      <c r="B63" s="3">
        <v>3205.79</v>
      </c>
    </row>
    <row r="64" spans="1:2" x14ac:dyDescent="0.2">
      <c r="A64" s="2">
        <v>21916</v>
      </c>
      <c r="B64" s="3">
        <v>3277.8470000000002</v>
      </c>
    </row>
    <row r="65" spans="1:2" x14ac:dyDescent="0.2">
      <c r="A65" s="2">
        <v>22007</v>
      </c>
      <c r="B65" s="3">
        <v>3260.1770000000001</v>
      </c>
    </row>
    <row r="66" spans="1:2" x14ac:dyDescent="0.2">
      <c r="A66" s="2">
        <v>22098</v>
      </c>
      <c r="B66" s="3">
        <v>3276.1329999999998</v>
      </c>
    </row>
    <row r="67" spans="1:2" x14ac:dyDescent="0.2">
      <c r="A67" s="2">
        <v>22190</v>
      </c>
      <c r="B67" s="3">
        <v>3234.087</v>
      </c>
    </row>
    <row r="68" spans="1:2" x14ac:dyDescent="0.2">
      <c r="A68" s="2">
        <v>22282</v>
      </c>
      <c r="B68" s="3">
        <v>3255.9140000000002</v>
      </c>
    </row>
    <row r="69" spans="1:2" x14ac:dyDescent="0.2">
      <c r="A69" s="2">
        <v>22372</v>
      </c>
      <c r="B69" s="3">
        <v>3311.181</v>
      </c>
    </row>
    <row r="70" spans="1:2" x14ac:dyDescent="0.2">
      <c r="A70" s="2">
        <v>22463</v>
      </c>
      <c r="B70" s="3">
        <v>3374.7420000000002</v>
      </c>
    </row>
    <row r="71" spans="1:2" x14ac:dyDescent="0.2">
      <c r="A71" s="2">
        <v>22555</v>
      </c>
      <c r="B71" s="3">
        <v>3440.924</v>
      </c>
    </row>
    <row r="72" spans="1:2" x14ac:dyDescent="0.2">
      <c r="A72" s="2">
        <v>22647</v>
      </c>
      <c r="B72" s="3">
        <v>3502.2979999999998</v>
      </c>
    </row>
    <row r="73" spans="1:2" x14ac:dyDescent="0.2">
      <c r="A73" s="2">
        <v>22737</v>
      </c>
      <c r="B73" s="3">
        <v>3533.9470000000001</v>
      </c>
    </row>
    <row r="74" spans="1:2" x14ac:dyDescent="0.2">
      <c r="A74" s="2">
        <v>22828</v>
      </c>
      <c r="B74" s="3">
        <v>3577.3620000000001</v>
      </c>
    </row>
    <row r="75" spans="1:2" x14ac:dyDescent="0.2">
      <c r="A75" s="2">
        <v>22920</v>
      </c>
      <c r="B75" s="3">
        <v>3589.1280000000002</v>
      </c>
    </row>
    <row r="76" spans="1:2" x14ac:dyDescent="0.2">
      <c r="A76" s="2">
        <v>23012</v>
      </c>
      <c r="B76" s="3">
        <v>3628.306</v>
      </c>
    </row>
    <row r="77" spans="1:2" x14ac:dyDescent="0.2">
      <c r="A77" s="2">
        <v>23102</v>
      </c>
      <c r="B77" s="3">
        <v>3669.02</v>
      </c>
    </row>
    <row r="78" spans="1:2" x14ac:dyDescent="0.2">
      <c r="A78" s="2">
        <v>23193</v>
      </c>
      <c r="B78" s="3">
        <v>3749.681</v>
      </c>
    </row>
    <row r="79" spans="1:2" x14ac:dyDescent="0.2">
      <c r="A79" s="2">
        <v>23285</v>
      </c>
      <c r="B79" s="3">
        <v>3774.2640000000001</v>
      </c>
    </row>
    <row r="80" spans="1:2" x14ac:dyDescent="0.2">
      <c r="A80" s="2">
        <v>23377</v>
      </c>
      <c r="B80" s="3">
        <v>3853.835</v>
      </c>
    </row>
    <row r="81" spans="1:2" x14ac:dyDescent="0.2">
      <c r="A81" s="2">
        <v>23468</v>
      </c>
      <c r="B81" s="3">
        <v>3895.7930000000001</v>
      </c>
    </row>
    <row r="82" spans="1:2" x14ac:dyDescent="0.2">
      <c r="A82" s="2">
        <v>23559</v>
      </c>
      <c r="B82" s="3">
        <v>3956.6570000000002</v>
      </c>
    </row>
    <row r="83" spans="1:2" x14ac:dyDescent="0.2">
      <c r="A83" s="2">
        <v>23651</v>
      </c>
      <c r="B83" s="3">
        <v>3968.8780000000002</v>
      </c>
    </row>
    <row r="84" spans="1:2" x14ac:dyDescent="0.2">
      <c r="A84" s="2">
        <v>23743</v>
      </c>
      <c r="B84" s="3">
        <v>4064.915</v>
      </c>
    </row>
    <row r="85" spans="1:2" x14ac:dyDescent="0.2">
      <c r="A85" s="2">
        <v>23833</v>
      </c>
      <c r="B85" s="3">
        <v>4116.2669999999998</v>
      </c>
    </row>
    <row r="86" spans="1:2" x14ac:dyDescent="0.2">
      <c r="A86" s="2">
        <v>23924</v>
      </c>
      <c r="B86" s="3">
        <v>4207.7820000000002</v>
      </c>
    </row>
    <row r="87" spans="1:2" x14ac:dyDescent="0.2">
      <c r="A87" s="2">
        <v>24016</v>
      </c>
      <c r="B87" s="3">
        <v>4304.7309999999998</v>
      </c>
    </row>
    <row r="88" spans="1:2" x14ac:dyDescent="0.2">
      <c r="A88" s="2">
        <v>24108</v>
      </c>
      <c r="B88" s="3">
        <v>4409.518</v>
      </c>
    </row>
    <row r="89" spans="1:2" x14ac:dyDescent="0.2">
      <c r="A89" s="2">
        <v>24198</v>
      </c>
      <c r="B89" s="3">
        <v>4424.5810000000001</v>
      </c>
    </row>
    <row r="90" spans="1:2" x14ac:dyDescent="0.2">
      <c r="A90" s="2">
        <v>24289</v>
      </c>
      <c r="B90" s="3">
        <v>4462.0529999999999</v>
      </c>
    </row>
    <row r="91" spans="1:2" x14ac:dyDescent="0.2">
      <c r="A91" s="2">
        <v>24381</v>
      </c>
      <c r="B91" s="3">
        <v>4498.66</v>
      </c>
    </row>
    <row r="92" spans="1:2" x14ac:dyDescent="0.2">
      <c r="A92" s="2">
        <v>24473</v>
      </c>
      <c r="B92" s="3">
        <v>4538.4979999999996</v>
      </c>
    </row>
    <row r="93" spans="1:2" x14ac:dyDescent="0.2">
      <c r="A93" s="2">
        <v>24563</v>
      </c>
      <c r="B93" s="3">
        <v>4541.28</v>
      </c>
    </row>
    <row r="94" spans="1:2" x14ac:dyDescent="0.2">
      <c r="A94" s="2">
        <v>24654</v>
      </c>
      <c r="B94" s="3">
        <v>4584.2460000000001</v>
      </c>
    </row>
    <row r="95" spans="1:2" x14ac:dyDescent="0.2">
      <c r="A95" s="2">
        <v>24746</v>
      </c>
      <c r="B95" s="3">
        <v>4618.8119999999999</v>
      </c>
    </row>
    <row r="96" spans="1:2" x14ac:dyDescent="0.2">
      <c r="A96" s="2">
        <v>24838</v>
      </c>
      <c r="B96" s="3">
        <v>4713.0129999999999</v>
      </c>
    </row>
    <row r="97" spans="1:2" x14ac:dyDescent="0.2">
      <c r="A97" s="2">
        <v>24929</v>
      </c>
      <c r="B97" s="3">
        <v>4791.7579999999998</v>
      </c>
    </row>
    <row r="98" spans="1:2" x14ac:dyDescent="0.2">
      <c r="A98" s="2">
        <v>25020</v>
      </c>
      <c r="B98" s="3">
        <v>4828.8919999999998</v>
      </c>
    </row>
    <row r="99" spans="1:2" x14ac:dyDescent="0.2">
      <c r="A99" s="2">
        <v>25112</v>
      </c>
      <c r="B99" s="3">
        <v>4847.8850000000002</v>
      </c>
    </row>
    <row r="100" spans="1:2" x14ac:dyDescent="0.2">
      <c r="A100" s="2">
        <v>25204</v>
      </c>
      <c r="B100" s="3">
        <v>4923.76</v>
      </c>
    </row>
    <row r="101" spans="1:2" x14ac:dyDescent="0.2">
      <c r="A101" s="2">
        <v>25294</v>
      </c>
      <c r="B101" s="3">
        <v>4938.7280000000001</v>
      </c>
    </row>
    <row r="102" spans="1:2" x14ac:dyDescent="0.2">
      <c r="A102" s="2">
        <v>25385</v>
      </c>
      <c r="B102" s="3">
        <v>4971.3490000000002</v>
      </c>
    </row>
    <row r="103" spans="1:2" x14ac:dyDescent="0.2">
      <c r="A103" s="2">
        <v>25477</v>
      </c>
      <c r="B103" s="3">
        <v>4947.1040000000003</v>
      </c>
    </row>
    <row r="104" spans="1:2" x14ac:dyDescent="0.2">
      <c r="A104" s="2">
        <v>25569</v>
      </c>
      <c r="B104" s="3">
        <v>4939.759</v>
      </c>
    </row>
    <row r="105" spans="1:2" x14ac:dyDescent="0.2">
      <c r="A105" s="2">
        <v>25659</v>
      </c>
      <c r="B105" s="3">
        <v>4946.7700000000004</v>
      </c>
    </row>
    <row r="106" spans="1:2" x14ac:dyDescent="0.2">
      <c r="A106" s="2">
        <v>25750</v>
      </c>
      <c r="B106" s="3">
        <v>4992.357</v>
      </c>
    </row>
    <row r="107" spans="1:2" x14ac:dyDescent="0.2">
      <c r="A107" s="2">
        <v>25842</v>
      </c>
      <c r="B107" s="3">
        <v>4938.857</v>
      </c>
    </row>
    <row r="108" spans="1:2" x14ac:dyDescent="0.2">
      <c r="A108" s="2">
        <v>25934</v>
      </c>
      <c r="B108" s="3">
        <v>5072.9960000000001</v>
      </c>
    </row>
    <row r="109" spans="1:2" x14ac:dyDescent="0.2">
      <c r="A109" s="2">
        <v>26024</v>
      </c>
      <c r="B109" s="3">
        <v>5100.4470000000001</v>
      </c>
    </row>
    <row r="110" spans="1:2" x14ac:dyDescent="0.2">
      <c r="A110" s="2">
        <v>26115</v>
      </c>
      <c r="B110" s="3">
        <v>5142.4219999999996</v>
      </c>
    </row>
    <row r="111" spans="1:2" x14ac:dyDescent="0.2">
      <c r="A111" s="2">
        <v>26207</v>
      </c>
      <c r="B111" s="3">
        <v>5154.5469999999996</v>
      </c>
    </row>
    <row r="112" spans="1:2" x14ac:dyDescent="0.2">
      <c r="A112" s="2">
        <v>26299</v>
      </c>
      <c r="B112" s="3">
        <v>5249.3370000000004</v>
      </c>
    </row>
    <row r="113" spans="1:2" x14ac:dyDescent="0.2">
      <c r="A113" s="2">
        <v>26390</v>
      </c>
      <c r="B113" s="3">
        <v>5368.4849999999997</v>
      </c>
    </row>
    <row r="114" spans="1:2" x14ac:dyDescent="0.2">
      <c r="A114" s="2">
        <v>26481</v>
      </c>
      <c r="B114" s="3">
        <v>5419.1840000000002</v>
      </c>
    </row>
    <row r="115" spans="1:2" x14ac:dyDescent="0.2">
      <c r="A115" s="2">
        <v>26573</v>
      </c>
      <c r="B115" s="3">
        <v>5509.9260000000004</v>
      </c>
    </row>
    <row r="116" spans="1:2" x14ac:dyDescent="0.2">
      <c r="A116" s="2">
        <v>26665</v>
      </c>
      <c r="B116" s="3">
        <v>5646.2860000000001</v>
      </c>
    </row>
    <row r="117" spans="1:2" x14ac:dyDescent="0.2">
      <c r="A117" s="2">
        <v>26755</v>
      </c>
      <c r="B117" s="3">
        <v>5707.7550000000001</v>
      </c>
    </row>
    <row r="118" spans="1:2" x14ac:dyDescent="0.2">
      <c r="A118" s="2">
        <v>26846</v>
      </c>
      <c r="B118" s="3">
        <v>5677.7380000000003</v>
      </c>
    </row>
    <row r="119" spans="1:2" x14ac:dyDescent="0.2">
      <c r="A119" s="2">
        <v>26938</v>
      </c>
      <c r="B119" s="3">
        <v>5731.6319999999996</v>
      </c>
    </row>
    <row r="120" spans="1:2" x14ac:dyDescent="0.2">
      <c r="A120" s="2">
        <v>27030</v>
      </c>
      <c r="B120" s="3">
        <v>5682.3530000000001</v>
      </c>
    </row>
    <row r="121" spans="1:2" x14ac:dyDescent="0.2">
      <c r="A121" s="2">
        <v>27120</v>
      </c>
      <c r="B121" s="3">
        <v>5695.8590000000004</v>
      </c>
    </row>
    <row r="122" spans="1:2" x14ac:dyDescent="0.2">
      <c r="A122" s="2">
        <v>27211</v>
      </c>
      <c r="B122" s="3">
        <v>5642.0249999999996</v>
      </c>
    </row>
    <row r="123" spans="1:2" x14ac:dyDescent="0.2">
      <c r="A123" s="2">
        <v>27303</v>
      </c>
      <c r="B123" s="3">
        <v>5620.1260000000002</v>
      </c>
    </row>
    <row r="124" spans="1:2" x14ac:dyDescent="0.2">
      <c r="A124" s="2">
        <v>27395</v>
      </c>
      <c r="B124" s="3">
        <v>5551.7129999999997</v>
      </c>
    </row>
    <row r="125" spans="1:2" x14ac:dyDescent="0.2">
      <c r="A125" s="2">
        <v>27485</v>
      </c>
      <c r="B125" s="3">
        <v>5591.3819999999996</v>
      </c>
    </row>
    <row r="126" spans="1:2" x14ac:dyDescent="0.2">
      <c r="A126" s="2">
        <v>27576</v>
      </c>
      <c r="B126" s="3">
        <v>5687.0870000000004</v>
      </c>
    </row>
    <row r="127" spans="1:2" x14ac:dyDescent="0.2">
      <c r="A127" s="2">
        <v>27668</v>
      </c>
      <c r="B127" s="3">
        <v>5763.665</v>
      </c>
    </row>
    <row r="128" spans="1:2" x14ac:dyDescent="0.2">
      <c r="A128" s="2">
        <v>27760</v>
      </c>
      <c r="B128" s="3">
        <v>5893.2759999999998</v>
      </c>
    </row>
    <row r="129" spans="1:2" x14ac:dyDescent="0.2">
      <c r="A129" s="2">
        <v>27851</v>
      </c>
      <c r="B129" s="3">
        <v>5936.5150000000003</v>
      </c>
    </row>
    <row r="130" spans="1:2" x14ac:dyDescent="0.2">
      <c r="A130" s="2">
        <v>27942</v>
      </c>
      <c r="B130" s="3">
        <v>5969.0889999999999</v>
      </c>
    </row>
    <row r="131" spans="1:2" x14ac:dyDescent="0.2">
      <c r="A131" s="2">
        <v>28034</v>
      </c>
      <c r="B131" s="3">
        <v>6012.3559999999998</v>
      </c>
    </row>
    <row r="132" spans="1:2" x14ac:dyDescent="0.2">
      <c r="A132" s="2">
        <v>28126</v>
      </c>
      <c r="B132" s="3">
        <v>6083.3909999999996</v>
      </c>
    </row>
    <row r="133" spans="1:2" x14ac:dyDescent="0.2">
      <c r="A133" s="2">
        <v>28216</v>
      </c>
      <c r="B133" s="3">
        <v>6201.6589999999997</v>
      </c>
    </row>
    <row r="134" spans="1:2" x14ac:dyDescent="0.2">
      <c r="A134" s="2">
        <v>28307</v>
      </c>
      <c r="B134" s="3">
        <v>6313.5590000000002</v>
      </c>
    </row>
    <row r="135" spans="1:2" x14ac:dyDescent="0.2">
      <c r="A135" s="2">
        <v>28399</v>
      </c>
      <c r="B135" s="3">
        <v>6313.6970000000001</v>
      </c>
    </row>
    <row r="136" spans="1:2" x14ac:dyDescent="0.2">
      <c r="A136" s="2">
        <v>28491</v>
      </c>
      <c r="B136" s="3">
        <v>6333.848</v>
      </c>
    </row>
    <row r="137" spans="1:2" x14ac:dyDescent="0.2">
      <c r="A137" s="2">
        <v>28581</v>
      </c>
      <c r="B137" s="3">
        <v>6578.6049999999996</v>
      </c>
    </row>
    <row r="138" spans="1:2" x14ac:dyDescent="0.2">
      <c r="A138" s="2">
        <v>28672</v>
      </c>
      <c r="B138" s="3">
        <v>6644.7539999999999</v>
      </c>
    </row>
    <row r="139" spans="1:2" x14ac:dyDescent="0.2">
      <c r="A139" s="2">
        <v>28764</v>
      </c>
      <c r="B139" s="3">
        <v>6734.0690000000004</v>
      </c>
    </row>
    <row r="140" spans="1:2" x14ac:dyDescent="0.2">
      <c r="A140" s="2">
        <v>28856</v>
      </c>
      <c r="B140" s="3">
        <v>6746.1760000000004</v>
      </c>
    </row>
    <row r="141" spans="1:2" x14ac:dyDescent="0.2">
      <c r="A141" s="2">
        <v>28946</v>
      </c>
      <c r="B141" s="3">
        <v>6753.3890000000001</v>
      </c>
    </row>
    <row r="142" spans="1:2" x14ac:dyDescent="0.2">
      <c r="A142" s="2">
        <v>29037</v>
      </c>
      <c r="B142" s="3">
        <v>6803.558</v>
      </c>
    </row>
    <row r="143" spans="1:2" x14ac:dyDescent="0.2">
      <c r="A143" s="2">
        <v>29129</v>
      </c>
      <c r="B143" s="3">
        <v>6820.5720000000001</v>
      </c>
    </row>
    <row r="144" spans="1:2" x14ac:dyDescent="0.2">
      <c r="A144" s="2">
        <v>29221</v>
      </c>
      <c r="B144" s="3">
        <v>6842.0240000000003</v>
      </c>
    </row>
    <row r="145" spans="1:2" x14ac:dyDescent="0.2">
      <c r="A145" s="2">
        <v>29312</v>
      </c>
      <c r="B145" s="3">
        <v>6701.0460000000003</v>
      </c>
    </row>
    <row r="146" spans="1:2" x14ac:dyDescent="0.2">
      <c r="A146" s="2">
        <v>29403</v>
      </c>
      <c r="B146" s="3">
        <v>6693.0820000000003</v>
      </c>
    </row>
    <row r="147" spans="1:2" x14ac:dyDescent="0.2">
      <c r="A147" s="2">
        <v>29495</v>
      </c>
      <c r="B147" s="3">
        <v>6817.9030000000002</v>
      </c>
    </row>
    <row r="148" spans="1:2" x14ac:dyDescent="0.2">
      <c r="A148" s="2">
        <v>29587</v>
      </c>
      <c r="B148" s="3">
        <v>6951.4949999999999</v>
      </c>
    </row>
    <row r="149" spans="1:2" x14ac:dyDescent="0.2">
      <c r="A149" s="2">
        <v>29677</v>
      </c>
      <c r="B149" s="3">
        <v>6899.98</v>
      </c>
    </row>
    <row r="150" spans="1:2" x14ac:dyDescent="0.2">
      <c r="A150" s="2">
        <v>29768</v>
      </c>
      <c r="B150" s="3">
        <v>6982.6090000000004</v>
      </c>
    </row>
    <row r="151" spans="1:2" x14ac:dyDescent="0.2">
      <c r="A151" s="2">
        <v>29860</v>
      </c>
      <c r="B151" s="3">
        <v>6906.5290000000005</v>
      </c>
    </row>
    <row r="152" spans="1:2" x14ac:dyDescent="0.2">
      <c r="A152" s="2">
        <v>29952</v>
      </c>
      <c r="B152" s="3">
        <v>6799.2330000000002</v>
      </c>
    </row>
    <row r="153" spans="1:2" x14ac:dyDescent="0.2">
      <c r="A153" s="2">
        <v>30042</v>
      </c>
      <c r="B153" s="3">
        <v>6830.2510000000002</v>
      </c>
    </row>
    <row r="154" spans="1:2" x14ac:dyDescent="0.2">
      <c r="A154" s="2">
        <v>30133</v>
      </c>
      <c r="B154" s="3">
        <v>6804.1390000000001</v>
      </c>
    </row>
    <row r="155" spans="1:2" x14ac:dyDescent="0.2">
      <c r="A155" s="2">
        <v>30225</v>
      </c>
      <c r="B155" s="3">
        <v>6806.857</v>
      </c>
    </row>
    <row r="156" spans="1:2" x14ac:dyDescent="0.2">
      <c r="A156" s="2">
        <v>30317</v>
      </c>
      <c r="B156" s="3">
        <v>6896.5609999999997</v>
      </c>
    </row>
    <row r="157" spans="1:2" x14ac:dyDescent="0.2">
      <c r="A157" s="2">
        <v>30407</v>
      </c>
      <c r="B157" s="3">
        <v>7053.5</v>
      </c>
    </row>
    <row r="158" spans="1:2" x14ac:dyDescent="0.2">
      <c r="A158" s="2">
        <v>30498</v>
      </c>
      <c r="B158" s="3">
        <v>7194.5039999999999</v>
      </c>
    </row>
    <row r="159" spans="1:2" x14ac:dyDescent="0.2">
      <c r="A159" s="2">
        <v>30590</v>
      </c>
      <c r="B159" s="3">
        <v>7344.5969999999998</v>
      </c>
    </row>
    <row r="160" spans="1:2" x14ac:dyDescent="0.2">
      <c r="A160" s="2">
        <v>30682</v>
      </c>
      <c r="B160" s="3">
        <v>7488.1670000000004</v>
      </c>
    </row>
    <row r="161" spans="1:2" x14ac:dyDescent="0.2">
      <c r="A161" s="2">
        <v>30773</v>
      </c>
      <c r="B161" s="3">
        <v>7617.5469999999996</v>
      </c>
    </row>
    <row r="162" spans="1:2" x14ac:dyDescent="0.2">
      <c r="A162" s="2">
        <v>30864</v>
      </c>
      <c r="B162" s="3">
        <v>7690.9849999999997</v>
      </c>
    </row>
    <row r="163" spans="1:2" x14ac:dyDescent="0.2">
      <c r="A163" s="2">
        <v>30956</v>
      </c>
      <c r="B163" s="3">
        <v>7754.1170000000002</v>
      </c>
    </row>
    <row r="164" spans="1:2" x14ac:dyDescent="0.2">
      <c r="A164" s="2">
        <v>31048</v>
      </c>
      <c r="B164" s="3">
        <v>7829.26</v>
      </c>
    </row>
    <row r="165" spans="1:2" x14ac:dyDescent="0.2">
      <c r="A165" s="2">
        <v>31138</v>
      </c>
      <c r="B165" s="3">
        <v>7898.1940000000004</v>
      </c>
    </row>
    <row r="166" spans="1:2" x14ac:dyDescent="0.2">
      <c r="A166" s="2">
        <v>31229</v>
      </c>
      <c r="B166" s="3">
        <v>8018.8090000000002</v>
      </c>
    </row>
    <row r="167" spans="1:2" x14ac:dyDescent="0.2">
      <c r="A167" s="2">
        <v>31321</v>
      </c>
      <c r="B167" s="3">
        <v>8078.415</v>
      </c>
    </row>
    <row r="168" spans="1:2" x14ac:dyDescent="0.2">
      <c r="A168" s="2">
        <v>31413</v>
      </c>
      <c r="B168" s="3">
        <v>8153.8289999999997</v>
      </c>
    </row>
    <row r="169" spans="1:2" x14ac:dyDescent="0.2">
      <c r="A169" s="2">
        <v>31503</v>
      </c>
      <c r="B169" s="3">
        <v>8190.5519999999997</v>
      </c>
    </row>
    <row r="170" spans="1:2" x14ac:dyDescent="0.2">
      <c r="A170" s="2">
        <v>31594</v>
      </c>
      <c r="B170" s="3">
        <v>8268.9349999999995</v>
      </c>
    </row>
    <row r="171" spans="1:2" x14ac:dyDescent="0.2">
      <c r="A171" s="2">
        <v>31686</v>
      </c>
      <c r="B171" s="3">
        <v>8313.3379999999997</v>
      </c>
    </row>
    <row r="172" spans="1:2" x14ac:dyDescent="0.2">
      <c r="A172" s="2">
        <v>31778</v>
      </c>
      <c r="B172" s="3">
        <v>8375.2739999999994</v>
      </c>
    </row>
    <row r="173" spans="1:2" x14ac:dyDescent="0.2">
      <c r="A173" s="2">
        <v>31868</v>
      </c>
      <c r="B173" s="3">
        <v>8465.6299999999992</v>
      </c>
    </row>
    <row r="174" spans="1:2" x14ac:dyDescent="0.2">
      <c r="A174" s="2">
        <v>31959</v>
      </c>
      <c r="B174" s="3">
        <v>8539.0750000000007</v>
      </c>
    </row>
    <row r="175" spans="1:2" x14ac:dyDescent="0.2">
      <c r="A175" s="2">
        <v>32051</v>
      </c>
      <c r="B175" s="3">
        <v>8685.6939999999995</v>
      </c>
    </row>
    <row r="176" spans="1:2" x14ac:dyDescent="0.2">
      <c r="A176" s="2">
        <v>32143</v>
      </c>
      <c r="B176" s="3">
        <v>8730.5689999999995</v>
      </c>
    </row>
    <row r="177" spans="1:2" x14ac:dyDescent="0.2">
      <c r="A177" s="2">
        <v>32234</v>
      </c>
      <c r="B177" s="3">
        <v>8845.2800000000007</v>
      </c>
    </row>
    <row r="178" spans="1:2" x14ac:dyDescent="0.2">
      <c r="A178" s="2">
        <v>32325</v>
      </c>
      <c r="B178" s="3">
        <v>8897.107</v>
      </c>
    </row>
    <row r="179" spans="1:2" x14ac:dyDescent="0.2">
      <c r="A179" s="2">
        <v>32417</v>
      </c>
      <c r="B179" s="3">
        <v>9015.6610000000001</v>
      </c>
    </row>
    <row r="180" spans="1:2" x14ac:dyDescent="0.2">
      <c r="A180" s="2">
        <v>32509</v>
      </c>
      <c r="B180" s="3">
        <v>9107.3140000000003</v>
      </c>
    </row>
    <row r="181" spans="1:2" x14ac:dyDescent="0.2">
      <c r="A181" s="2">
        <v>32599</v>
      </c>
      <c r="B181" s="3">
        <v>9176.8269999999993</v>
      </c>
    </row>
    <row r="182" spans="1:2" x14ac:dyDescent="0.2">
      <c r="A182" s="2">
        <v>32690</v>
      </c>
      <c r="B182" s="3">
        <v>9244.8160000000007</v>
      </c>
    </row>
    <row r="183" spans="1:2" x14ac:dyDescent="0.2">
      <c r="A183" s="2">
        <v>32782</v>
      </c>
      <c r="B183" s="3">
        <v>9263.0329999999994</v>
      </c>
    </row>
    <row r="184" spans="1:2" x14ac:dyDescent="0.2">
      <c r="A184" s="2">
        <v>32874</v>
      </c>
      <c r="B184" s="3">
        <v>9364.259</v>
      </c>
    </row>
    <row r="185" spans="1:2" x14ac:dyDescent="0.2">
      <c r="A185" s="2">
        <v>32964</v>
      </c>
      <c r="B185" s="3">
        <v>9398.2430000000004</v>
      </c>
    </row>
    <row r="186" spans="1:2" x14ac:dyDescent="0.2">
      <c r="A186" s="2">
        <v>33055</v>
      </c>
      <c r="B186" s="3">
        <v>9404.4940000000006</v>
      </c>
    </row>
    <row r="187" spans="1:2" x14ac:dyDescent="0.2">
      <c r="A187" s="2">
        <v>33147</v>
      </c>
      <c r="B187" s="3">
        <v>9318.8760000000002</v>
      </c>
    </row>
    <row r="188" spans="1:2" x14ac:dyDescent="0.2">
      <c r="A188" s="2">
        <v>33239</v>
      </c>
      <c r="B188" s="3">
        <v>9275.2759999999998</v>
      </c>
    </row>
    <row r="189" spans="1:2" x14ac:dyDescent="0.2">
      <c r="A189" s="2">
        <v>33329</v>
      </c>
      <c r="B189" s="3">
        <v>9347.5969999999998</v>
      </c>
    </row>
    <row r="190" spans="1:2" x14ac:dyDescent="0.2">
      <c r="A190" s="2">
        <v>33420</v>
      </c>
      <c r="B190" s="3">
        <v>9394.8340000000007</v>
      </c>
    </row>
    <row r="191" spans="1:2" x14ac:dyDescent="0.2">
      <c r="A191" s="2">
        <v>33512</v>
      </c>
      <c r="B191" s="3">
        <v>9427.5810000000001</v>
      </c>
    </row>
    <row r="192" spans="1:2" x14ac:dyDescent="0.2">
      <c r="A192" s="2">
        <v>33604</v>
      </c>
      <c r="B192" s="3">
        <v>9540.4439999999995</v>
      </c>
    </row>
    <row r="193" spans="1:2" x14ac:dyDescent="0.2">
      <c r="A193" s="2">
        <v>33695</v>
      </c>
      <c r="B193" s="3">
        <v>9643.893</v>
      </c>
    </row>
    <row r="194" spans="1:2" x14ac:dyDescent="0.2">
      <c r="A194" s="2">
        <v>33786</v>
      </c>
      <c r="B194" s="3">
        <v>9739.1849999999995</v>
      </c>
    </row>
    <row r="195" spans="1:2" x14ac:dyDescent="0.2">
      <c r="A195" s="2">
        <v>33878</v>
      </c>
      <c r="B195" s="3">
        <v>9840.7530000000006</v>
      </c>
    </row>
    <row r="196" spans="1:2" x14ac:dyDescent="0.2">
      <c r="A196" s="2">
        <v>33970</v>
      </c>
      <c r="B196" s="3">
        <v>9857.1849999999995</v>
      </c>
    </row>
    <row r="197" spans="1:2" x14ac:dyDescent="0.2">
      <c r="A197" s="2">
        <v>34060</v>
      </c>
      <c r="B197" s="3">
        <v>9914.5650000000005</v>
      </c>
    </row>
    <row r="198" spans="1:2" x14ac:dyDescent="0.2">
      <c r="A198" s="2">
        <v>34151</v>
      </c>
      <c r="B198" s="3">
        <v>9961.8729999999996</v>
      </c>
    </row>
    <row r="199" spans="1:2" x14ac:dyDescent="0.2">
      <c r="A199" s="2">
        <v>34243</v>
      </c>
      <c r="B199" s="3">
        <v>10097.361999999999</v>
      </c>
    </row>
    <row r="200" spans="1:2" x14ac:dyDescent="0.2">
      <c r="A200" s="2">
        <v>34335</v>
      </c>
      <c r="B200" s="3">
        <v>10195.338</v>
      </c>
    </row>
    <row r="201" spans="1:2" x14ac:dyDescent="0.2">
      <c r="A201" s="2">
        <v>34425</v>
      </c>
      <c r="B201" s="3">
        <v>10333.495000000001</v>
      </c>
    </row>
    <row r="202" spans="1:2" x14ac:dyDescent="0.2">
      <c r="A202" s="2">
        <v>34516</v>
      </c>
      <c r="B202" s="3">
        <v>10393.897999999999</v>
      </c>
    </row>
    <row r="203" spans="1:2" x14ac:dyDescent="0.2">
      <c r="A203" s="2">
        <v>34608</v>
      </c>
      <c r="B203" s="3">
        <v>10512.962</v>
      </c>
    </row>
    <row r="204" spans="1:2" x14ac:dyDescent="0.2">
      <c r="A204" s="2">
        <v>34700</v>
      </c>
      <c r="B204" s="3">
        <v>10550.251</v>
      </c>
    </row>
    <row r="205" spans="1:2" x14ac:dyDescent="0.2">
      <c r="A205" s="2">
        <v>34790</v>
      </c>
      <c r="B205" s="3">
        <v>10581.723</v>
      </c>
    </row>
    <row r="206" spans="1:2" x14ac:dyDescent="0.2">
      <c r="A206" s="2">
        <v>34881</v>
      </c>
      <c r="B206" s="3">
        <v>10671.737999999999</v>
      </c>
    </row>
    <row r="207" spans="1:2" x14ac:dyDescent="0.2">
      <c r="A207" s="2">
        <v>34973</v>
      </c>
      <c r="B207" s="3">
        <v>10744.203</v>
      </c>
    </row>
    <row r="208" spans="1:2" x14ac:dyDescent="0.2">
      <c r="A208" s="2">
        <v>35065</v>
      </c>
      <c r="B208" s="3">
        <v>10824.674000000001</v>
      </c>
    </row>
    <row r="209" spans="1:2" x14ac:dyDescent="0.2">
      <c r="A209" s="2">
        <v>35156</v>
      </c>
      <c r="B209" s="3">
        <v>11005.217000000001</v>
      </c>
    </row>
    <row r="210" spans="1:2" x14ac:dyDescent="0.2">
      <c r="A210" s="2">
        <v>35247</v>
      </c>
      <c r="B210" s="3">
        <v>11103.934999999999</v>
      </c>
    </row>
    <row r="211" spans="1:2" x14ac:dyDescent="0.2">
      <c r="A211" s="2">
        <v>35339</v>
      </c>
      <c r="B211" s="3">
        <v>11219.237999999999</v>
      </c>
    </row>
    <row r="212" spans="1:2" x14ac:dyDescent="0.2">
      <c r="A212" s="2">
        <v>35431</v>
      </c>
      <c r="B212" s="3">
        <v>11291.665000000001</v>
      </c>
    </row>
    <row r="213" spans="1:2" x14ac:dyDescent="0.2">
      <c r="A213" s="2">
        <v>35521</v>
      </c>
      <c r="B213" s="3">
        <v>11479.33</v>
      </c>
    </row>
    <row r="214" spans="1:2" x14ac:dyDescent="0.2">
      <c r="A214" s="2">
        <v>35612</v>
      </c>
      <c r="B214" s="3">
        <v>11622.911</v>
      </c>
    </row>
    <row r="215" spans="1:2" x14ac:dyDescent="0.2">
      <c r="A215" s="2">
        <v>35704</v>
      </c>
      <c r="B215" s="3">
        <v>11722.722</v>
      </c>
    </row>
    <row r="216" spans="1:2" x14ac:dyDescent="0.2">
      <c r="A216" s="2">
        <v>35796</v>
      </c>
      <c r="B216" s="3">
        <v>11839.876</v>
      </c>
    </row>
    <row r="217" spans="1:2" x14ac:dyDescent="0.2">
      <c r="A217" s="2">
        <v>35886</v>
      </c>
      <c r="B217" s="3">
        <v>11949.492</v>
      </c>
    </row>
    <row r="218" spans="1:2" x14ac:dyDescent="0.2">
      <c r="A218" s="2">
        <v>35977</v>
      </c>
      <c r="B218" s="3">
        <v>12099.191000000001</v>
      </c>
    </row>
    <row r="219" spans="1:2" x14ac:dyDescent="0.2">
      <c r="A219" s="2">
        <v>36069</v>
      </c>
      <c r="B219" s="3">
        <v>12294.736999999999</v>
      </c>
    </row>
    <row r="220" spans="1:2" x14ac:dyDescent="0.2">
      <c r="A220" s="2">
        <v>36161</v>
      </c>
      <c r="B220" s="3">
        <v>12410.778</v>
      </c>
    </row>
    <row r="221" spans="1:2" x14ac:dyDescent="0.2">
      <c r="A221" s="2">
        <v>36251</v>
      </c>
      <c r="B221" s="3">
        <v>12514.407999999999</v>
      </c>
    </row>
    <row r="222" spans="1:2" x14ac:dyDescent="0.2">
      <c r="A222" s="2">
        <v>36342</v>
      </c>
      <c r="B222" s="3">
        <v>12679.977000000001</v>
      </c>
    </row>
    <row r="223" spans="1:2" x14ac:dyDescent="0.2">
      <c r="A223" s="2">
        <v>36434</v>
      </c>
      <c r="B223" s="3">
        <v>12888.281000000001</v>
      </c>
    </row>
    <row r="224" spans="1:2" x14ac:dyDescent="0.2">
      <c r="A224" s="2">
        <v>36526</v>
      </c>
      <c r="B224" s="3">
        <v>12935.252</v>
      </c>
    </row>
    <row r="225" spans="1:2" x14ac:dyDescent="0.2">
      <c r="A225" s="2">
        <v>36617</v>
      </c>
      <c r="B225" s="3">
        <v>13170.749</v>
      </c>
    </row>
    <row r="226" spans="1:2" x14ac:dyDescent="0.2">
      <c r="A226" s="2">
        <v>36708</v>
      </c>
      <c r="B226" s="3">
        <v>13183.89</v>
      </c>
    </row>
    <row r="227" spans="1:2" x14ac:dyDescent="0.2">
      <c r="A227" s="2">
        <v>36800</v>
      </c>
      <c r="B227" s="3">
        <v>13262.25</v>
      </c>
    </row>
    <row r="228" spans="1:2" x14ac:dyDescent="0.2">
      <c r="A228" s="2">
        <v>36892</v>
      </c>
      <c r="B228" s="3">
        <v>13219.251</v>
      </c>
    </row>
    <row r="229" spans="1:2" x14ac:dyDescent="0.2">
      <c r="A229" s="2">
        <v>36982</v>
      </c>
      <c r="B229" s="3">
        <v>13301.394</v>
      </c>
    </row>
    <row r="230" spans="1:2" x14ac:dyDescent="0.2">
      <c r="A230" s="2">
        <v>37073</v>
      </c>
      <c r="B230" s="3">
        <v>13248.142</v>
      </c>
    </row>
    <row r="231" spans="1:2" x14ac:dyDescent="0.2">
      <c r="A231" s="2">
        <v>37165</v>
      </c>
      <c r="B231" s="3">
        <v>13284.880999999999</v>
      </c>
    </row>
    <row r="232" spans="1:2" x14ac:dyDescent="0.2">
      <c r="A232" s="2">
        <v>37257</v>
      </c>
      <c r="B232" s="3">
        <v>13394.91</v>
      </c>
    </row>
    <row r="233" spans="1:2" x14ac:dyDescent="0.2">
      <c r="A233" s="2">
        <v>37347</v>
      </c>
      <c r="B233" s="3">
        <v>13477.356</v>
      </c>
    </row>
    <row r="234" spans="1:2" x14ac:dyDescent="0.2">
      <c r="A234" s="2">
        <v>37438</v>
      </c>
      <c r="B234" s="3">
        <v>13531.741</v>
      </c>
    </row>
    <row r="235" spans="1:2" x14ac:dyDescent="0.2">
      <c r="A235" s="2">
        <v>37530</v>
      </c>
      <c r="B235" s="3">
        <v>13549.421</v>
      </c>
    </row>
    <row r="236" spans="1:2" x14ac:dyDescent="0.2">
      <c r="A236" s="2">
        <v>37622</v>
      </c>
      <c r="B236" s="3">
        <v>13619.433999999999</v>
      </c>
    </row>
    <row r="237" spans="1:2" x14ac:dyDescent="0.2">
      <c r="A237" s="2">
        <v>37712</v>
      </c>
      <c r="B237" s="3">
        <v>13741.107</v>
      </c>
    </row>
    <row r="238" spans="1:2" x14ac:dyDescent="0.2">
      <c r="A238" s="2">
        <v>37803</v>
      </c>
      <c r="B238" s="3">
        <v>13970.156999999999</v>
      </c>
    </row>
    <row r="239" spans="1:2" x14ac:dyDescent="0.2">
      <c r="A239" s="2">
        <v>37895</v>
      </c>
      <c r="B239" s="3">
        <v>14131.379000000001</v>
      </c>
    </row>
    <row r="240" spans="1:2" x14ac:dyDescent="0.2">
      <c r="A240" s="2">
        <v>37987</v>
      </c>
      <c r="B240" s="3">
        <v>14212.34</v>
      </c>
    </row>
    <row r="241" spans="1:2" x14ac:dyDescent="0.2">
      <c r="A241" s="2">
        <v>38078</v>
      </c>
      <c r="B241" s="3">
        <v>14323.017</v>
      </c>
    </row>
    <row r="242" spans="1:2" x14ac:dyDescent="0.2">
      <c r="A242" s="2">
        <v>38169</v>
      </c>
      <c r="B242" s="3">
        <v>14457.832</v>
      </c>
    </row>
    <row r="243" spans="1:2" x14ac:dyDescent="0.2">
      <c r="A243" s="2">
        <v>38261</v>
      </c>
      <c r="B243" s="3">
        <v>14605.594999999999</v>
      </c>
    </row>
    <row r="244" spans="1:2" x14ac:dyDescent="0.2">
      <c r="A244" s="2">
        <v>38353</v>
      </c>
      <c r="B244" s="3">
        <v>14767.846</v>
      </c>
    </row>
    <row r="245" spans="1:2" x14ac:dyDescent="0.2">
      <c r="A245" s="2">
        <v>38443</v>
      </c>
      <c r="B245" s="3">
        <v>14839.707</v>
      </c>
    </row>
    <row r="246" spans="1:2" x14ac:dyDescent="0.2">
      <c r="A246" s="2">
        <v>38534</v>
      </c>
      <c r="B246" s="3">
        <v>14956.290999999999</v>
      </c>
    </row>
    <row r="247" spans="1:2" x14ac:dyDescent="0.2">
      <c r="A247" s="2">
        <v>38626</v>
      </c>
      <c r="B247" s="3">
        <v>15041.232</v>
      </c>
    </row>
    <row r="248" spans="1:2" x14ac:dyDescent="0.2">
      <c r="A248" s="2">
        <v>38718</v>
      </c>
      <c r="B248" s="3">
        <v>15244.088</v>
      </c>
    </row>
    <row r="249" spans="1:2" x14ac:dyDescent="0.2">
      <c r="A249" s="2">
        <v>38808</v>
      </c>
      <c r="B249" s="3">
        <v>15281.525</v>
      </c>
    </row>
    <row r="250" spans="1:2" x14ac:dyDescent="0.2">
      <c r="A250" s="2">
        <v>38899</v>
      </c>
      <c r="B250" s="3">
        <v>15304.517</v>
      </c>
    </row>
    <row r="251" spans="1:2" x14ac:dyDescent="0.2">
      <c r="A251" s="2">
        <v>38991</v>
      </c>
      <c r="B251" s="3">
        <v>15433.643</v>
      </c>
    </row>
    <row r="252" spans="1:2" x14ac:dyDescent="0.2">
      <c r="A252" s="2">
        <v>39083</v>
      </c>
      <c r="B252" s="3">
        <v>15478.956</v>
      </c>
    </row>
    <row r="253" spans="1:2" x14ac:dyDescent="0.2">
      <c r="A253" s="2">
        <v>39173</v>
      </c>
      <c r="B253" s="3">
        <v>15577.779</v>
      </c>
    </row>
    <row r="254" spans="1:2" x14ac:dyDescent="0.2">
      <c r="A254" s="2">
        <v>39264</v>
      </c>
      <c r="B254" s="3">
        <v>15671.605</v>
      </c>
    </row>
    <row r="255" spans="1:2" x14ac:dyDescent="0.2">
      <c r="A255" s="2">
        <v>39356</v>
      </c>
      <c r="B255" s="3">
        <v>15767.146000000001</v>
      </c>
    </row>
    <row r="256" spans="1:2" x14ac:dyDescent="0.2">
      <c r="A256" s="2">
        <v>39448</v>
      </c>
      <c r="B256" s="3">
        <v>15702.906000000001</v>
      </c>
    </row>
    <row r="257" spans="1:2" x14ac:dyDescent="0.2">
      <c r="A257" s="2">
        <v>39539</v>
      </c>
      <c r="B257" s="3">
        <v>15792.772999999999</v>
      </c>
    </row>
    <row r="258" spans="1:2" x14ac:dyDescent="0.2">
      <c r="A258" s="2">
        <v>39630</v>
      </c>
      <c r="B258" s="3">
        <v>15709.562</v>
      </c>
    </row>
    <row r="259" spans="1:2" x14ac:dyDescent="0.2">
      <c r="A259" s="2">
        <v>39722</v>
      </c>
      <c r="B259" s="3">
        <v>15366.607</v>
      </c>
    </row>
    <row r="260" spans="1:2" x14ac:dyDescent="0.2">
      <c r="A260" s="2">
        <v>39814</v>
      </c>
      <c r="B260" s="3">
        <v>15187.475</v>
      </c>
    </row>
    <row r="261" spans="1:2" x14ac:dyDescent="0.2">
      <c r="A261" s="2">
        <v>39904</v>
      </c>
      <c r="B261" s="3">
        <v>15161.772000000001</v>
      </c>
    </row>
    <row r="262" spans="1:2" x14ac:dyDescent="0.2">
      <c r="A262" s="2">
        <v>39995</v>
      </c>
      <c r="B262" s="3">
        <v>15216.647000000001</v>
      </c>
    </row>
    <row r="263" spans="1:2" x14ac:dyDescent="0.2">
      <c r="A263" s="2">
        <v>40087</v>
      </c>
      <c r="B263" s="3">
        <v>15379.155000000001</v>
      </c>
    </row>
    <row r="264" spans="1:2" x14ac:dyDescent="0.2">
      <c r="A264" s="2">
        <v>40179</v>
      </c>
      <c r="B264" s="3">
        <v>15456.058999999999</v>
      </c>
    </row>
    <row r="265" spans="1:2" x14ac:dyDescent="0.2">
      <c r="A265" s="2">
        <v>40269</v>
      </c>
      <c r="B265" s="3">
        <v>15605.628000000001</v>
      </c>
    </row>
    <row r="266" spans="1:2" x14ac:dyDescent="0.2">
      <c r="A266" s="2">
        <v>40360</v>
      </c>
      <c r="B266" s="3">
        <v>15726.281999999999</v>
      </c>
    </row>
    <row r="267" spans="1:2" x14ac:dyDescent="0.2">
      <c r="A267" s="2">
        <v>40452</v>
      </c>
      <c r="B267" s="3">
        <v>15807.995000000001</v>
      </c>
    </row>
    <row r="268" spans="1:2" x14ac:dyDescent="0.2">
      <c r="A268" s="2">
        <v>40544</v>
      </c>
      <c r="B268" s="3">
        <v>15769.911</v>
      </c>
    </row>
    <row r="269" spans="1:2" x14ac:dyDescent="0.2">
      <c r="A269" s="2">
        <v>40634</v>
      </c>
      <c r="B269" s="3">
        <v>15876.839</v>
      </c>
    </row>
    <row r="270" spans="1:2" x14ac:dyDescent="0.2">
      <c r="A270" s="2">
        <v>40725</v>
      </c>
      <c r="B270" s="3">
        <v>15870.683999999999</v>
      </c>
    </row>
    <row r="271" spans="1:2" x14ac:dyDescent="0.2">
      <c r="A271" s="2">
        <v>40817</v>
      </c>
      <c r="B271" s="3">
        <v>16048.701999999999</v>
      </c>
    </row>
    <row r="272" spans="1:2" x14ac:dyDescent="0.2">
      <c r="A272" s="2">
        <v>40909</v>
      </c>
      <c r="B272" s="3">
        <v>16179.968000000001</v>
      </c>
    </row>
    <row r="273" spans="1:2" x14ac:dyDescent="0.2">
      <c r="A273" s="2">
        <v>41000</v>
      </c>
      <c r="B273" s="3">
        <v>16253.726000000001</v>
      </c>
    </row>
    <row r="274" spans="1:2" x14ac:dyDescent="0.2">
      <c r="A274" s="2">
        <v>41091</v>
      </c>
      <c r="B274" s="3">
        <v>16282.151</v>
      </c>
    </row>
    <row r="275" spans="1:2" x14ac:dyDescent="0.2">
      <c r="A275" s="2">
        <v>41183</v>
      </c>
      <c r="B275" s="3">
        <v>16300.035</v>
      </c>
    </row>
    <row r="276" spans="1:2" x14ac:dyDescent="0.2">
      <c r="A276" s="2">
        <v>41275</v>
      </c>
      <c r="B276" s="3">
        <v>16441.485000000001</v>
      </c>
    </row>
    <row r="277" spans="1:2" x14ac:dyDescent="0.2">
      <c r="A277" s="2">
        <v>41365</v>
      </c>
      <c r="B277" s="3">
        <v>16464.401999999998</v>
      </c>
    </row>
    <row r="278" spans="1:2" x14ac:dyDescent="0.2">
      <c r="A278" s="2">
        <v>41456</v>
      </c>
      <c r="B278" s="3">
        <v>16594.742999999999</v>
      </c>
    </row>
    <row r="279" spans="1:2" x14ac:dyDescent="0.2">
      <c r="A279" s="2">
        <v>41548</v>
      </c>
      <c r="B279" s="3">
        <v>16712.759999999998</v>
      </c>
    </row>
    <row r="280" spans="1:2" x14ac:dyDescent="0.2">
      <c r="A280" s="2">
        <v>41640</v>
      </c>
      <c r="B280" s="3">
        <v>16654.246999999999</v>
      </c>
    </row>
    <row r="281" spans="1:2" x14ac:dyDescent="0.2">
      <c r="A281" s="2">
        <v>41730</v>
      </c>
      <c r="B281" s="3">
        <v>16868.109</v>
      </c>
    </row>
    <row r="282" spans="1:2" x14ac:dyDescent="0.2">
      <c r="A282" s="2">
        <v>41821</v>
      </c>
      <c r="B282" s="3">
        <v>17064.616000000002</v>
      </c>
    </row>
    <row r="283" spans="1:2" x14ac:dyDescent="0.2">
      <c r="A283" s="2">
        <v>41913</v>
      </c>
      <c r="B283" s="3">
        <v>17141.235000000001</v>
      </c>
    </row>
    <row r="284" spans="1:2" x14ac:dyDescent="0.2">
      <c r="A284" s="2">
        <v>42005</v>
      </c>
      <c r="B284" s="3">
        <v>17280.647000000001</v>
      </c>
    </row>
    <row r="285" spans="1:2" x14ac:dyDescent="0.2">
      <c r="A285" s="2">
        <v>42095</v>
      </c>
      <c r="B285" s="3">
        <v>17380.875</v>
      </c>
    </row>
    <row r="286" spans="1:2" x14ac:dyDescent="0.2">
      <c r="A286" s="2">
        <v>42186</v>
      </c>
      <c r="B286" s="3">
        <v>17437.080000000002</v>
      </c>
    </row>
    <row r="287" spans="1:2" x14ac:dyDescent="0.2">
      <c r="A287" s="2">
        <v>42278</v>
      </c>
      <c r="B287" s="3">
        <v>17462.579000000002</v>
      </c>
    </row>
    <row r="288" spans="1:2" x14ac:dyDescent="0.2">
      <c r="A288" s="2">
        <v>42370</v>
      </c>
      <c r="B288" s="3">
        <v>17565.465</v>
      </c>
    </row>
    <row r="289" spans="1:2" x14ac:dyDescent="0.2">
      <c r="A289" s="2">
        <v>42461</v>
      </c>
      <c r="B289" s="3">
        <v>17618.580999999998</v>
      </c>
    </row>
    <row r="290" spans="1:2" x14ac:dyDescent="0.2">
      <c r="A290" s="2">
        <v>42552</v>
      </c>
      <c r="B290" s="3">
        <v>17724.489000000001</v>
      </c>
    </row>
    <row r="291" spans="1:2" x14ac:dyDescent="0.2">
      <c r="A291" s="2">
        <v>42644</v>
      </c>
      <c r="B291" s="3">
        <v>17812.560000000001</v>
      </c>
    </row>
    <row r="292" spans="1:2" x14ac:dyDescent="0.2">
      <c r="A292" s="2">
        <v>42736</v>
      </c>
      <c r="B292" s="3">
        <v>17896.623</v>
      </c>
    </row>
    <row r="293" spans="1:2" x14ac:dyDescent="0.2">
      <c r="A293" s="2">
        <v>42826</v>
      </c>
      <c r="B293" s="3">
        <v>17996.802</v>
      </c>
    </row>
    <row r="294" spans="1:2" x14ac:dyDescent="0.2">
      <c r="A294" s="2">
        <v>42917</v>
      </c>
      <c r="B294" s="3">
        <v>18126.225999999999</v>
      </c>
    </row>
    <row r="295" spans="1:2" x14ac:dyDescent="0.2">
      <c r="A295" s="2">
        <v>43009</v>
      </c>
      <c r="B295" s="3">
        <v>18296.685000000001</v>
      </c>
    </row>
    <row r="296" spans="1:2" x14ac:dyDescent="0.2">
      <c r="A296" s="2">
        <v>43101</v>
      </c>
      <c r="B296" s="3">
        <v>18436.261999999999</v>
      </c>
    </row>
    <row r="297" spans="1:2" x14ac:dyDescent="0.2">
      <c r="A297" s="2">
        <v>43191</v>
      </c>
      <c r="B297" s="3">
        <v>18590.004000000001</v>
      </c>
    </row>
    <row r="298" spans="1:2" x14ac:dyDescent="0.2">
      <c r="A298" s="2">
        <v>43282</v>
      </c>
      <c r="B298" s="3">
        <v>18679.598999999998</v>
      </c>
    </row>
    <row r="299" spans="1:2" x14ac:dyDescent="0.2">
      <c r="A299" s="2">
        <v>43374</v>
      </c>
      <c r="B299" s="3">
        <v>18721.280999999999</v>
      </c>
    </row>
    <row r="300" spans="1:2" x14ac:dyDescent="0.2">
      <c r="A300" s="2">
        <v>43466</v>
      </c>
      <c r="B300" s="3">
        <v>18833.195</v>
      </c>
    </row>
    <row r="301" spans="1:2" x14ac:dyDescent="0.2">
      <c r="A301" s="2">
        <v>43556</v>
      </c>
      <c r="B301" s="3">
        <v>18982.527999999998</v>
      </c>
    </row>
    <row r="302" spans="1:2" x14ac:dyDescent="0.2">
      <c r="A302" s="2">
        <v>43647</v>
      </c>
      <c r="B302" s="3">
        <v>19112.652999999998</v>
      </c>
    </row>
    <row r="303" spans="1:2" x14ac:dyDescent="0.2">
      <c r="A303" s="2">
        <v>43739</v>
      </c>
      <c r="B303" s="3">
        <v>19202.310000000001</v>
      </c>
    </row>
    <row r="304" spans="1:2" x14ac:dyDescent="0.2">
      <c r="A304" s="2">
        <v>43831</v>
      </c>
      <c r="B304" s="3">
        <v>18951.991999999998</v>
      </c>
    </row>
    <row r="305" spans="1:2" x14ac:dyDescent="0.2">
      <c r="A305" s="2">
        <v>43922</v>
      </c>
      <c r="B305" s="3">
        <v>17258.205000000002</v>
      </c>
    </row>
    <row r="306" spans="1:2" x14ac:dyDescent="0.2">
      <c r="A306" s="2">
        <v>44013</v>
      </c>
      <c r="B306" s="3">
        <v>18560.774000000001</v>
      </c>
    </row>
    <row r="307" spans="1:2" x14ac:dyDescent="0.2">
      <c r="A307" s="2">
        <v>44105</v>
      </c>
      <c r="B307" s="3">
        <v>18767.777999999998</v>
      </c>
    </row>
    <row r="308" spans="1:2" x14ac:dyDescent="0.2">
      <c r="A308" s="2">
        <v>44197</v>
      </c>
      <c r="B308" s="3">
        <v>19055.654999999999</v>
      </c>
    </row>
    <row r="309" spans="1:2" x14ac:dyDescent="0.2">
      <c r="A309" s="2">
        <v>44287</v>
      </c>
      <c r="B309" s="3">
        <v>19368.310000000001</v>
      </c>
    </row>
    <row r="310" spans="1:2" x14ac:dyDescent="0.2">
      <c r="A310" s="2">
        <v>44378</v>
      </c>
      <c r="B310" s="3">
        <v>19478.893</v>
      </c>
    </row>
    <row r="311" spans="1:2" x14ac:dyDescent="0.2">
      <c r="A311" s="2">
        <v>44470</v>
      </c>
      <c r="B311" s="3">
        <v>19806.29</v>
      </c>
    </row>
    <row r="312" spans="1:2" x14ac:dyDescent="0.2">
      <c r="A312" s="2">
        <v>44562</v>
      </c>
      <c r="B312" s="3">
        <v>19727.918000000001</v>
      </c>
    </row>
    <row r="313" spans="1:2" x14ac:dyDescent="0.2">
      <c r="A313" s="2">
        <v>44652</v>
      </c>
      <c r="B313" s="3">
        <v>19699.465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40CB-64EB-4696-AD96-B728CF4052E3}">
  <dimension ref="A1:B347"/>
  <sheetViews>
    <sheetView workbookViewId="0">
      <selection activeCell="C330" sqref="C330"/>
    </sheetView>
  </sheetViews>
  <sheetFormatPr baseColWidth="10" defaultColWidth="20.7109375" defaultRowHeight="12.75" x14ac:dyDescent="0.2"/>
  <cols>
    <col min="1" max="1" width="20.7109375" style="1" customWidth="1"/>
    <col min="2" max="16384" width="20.7109375" style="1"/>
  </cols>
  <sheetData>
    <row r="1" spans="1:2" x14ac:dyDescent="0.2">
      <c r="A1" s="1" t="s">
        <v>5</v>
      </c>
    </row>
    <row r="2" spans="1:2" x14ac:dyDescent="0.2">
      <c r="A2" s="1" t="s">
        <v>6</v>
      </c>
    </row>
    <row r="3" spans="1:2" x14ac:dyDescent="0.2">
      <c r="A3" s="1" t="s">
        <v>7</v>
      </c>
    </row>
    <row r="4" spans="1:2" x14ac:dyDescent="0.2">
      <c r="A4" s="1" t="s">
        <v>8</v>
      </c>
    </row>
    <row r="5" spans="1:2" x14ac:dyDescent="0.2">
      <c r="A5" s="1" t="s">
        <v>9</v>
      </c>
    </row>
    <row r="6" spans="1:2" x14ac:dyDescent="0.2">
      <c r="A6" s="1" t="s">
        <v>10</v>
      </c>
    </row>
    <row r="8" spans="1:2" x14ac:dyDescent="0.2">
      <c r="A8" s="1" t="s">
        <v>15</v>
      </c>
      <c r="B8" s="1" t="s">
        <v>16</v>
      </c>
    </row>
    <row r="10" spans="1:2" x14ac:dyDescent="0.2">
      <c r="A10" s="1" t="s">
        <v>13</v>
      </c>
    </row>
    <row r="11" spans="1:2" x14ac:dyDescent="0.2">
      <c r="A11" s="1" t="s">
        <v>14</v>
      </c>
      <c r="B11" s="1" t="s">
        <v>15</v>
      </c>
    </row>
    <row r="12" spans="1:2" x14ac:dyDescent="0.2">
      <c r="A12" s="2">
        <v>17899</v>
      </c>
      <c r="B12" s="4">
        <v>2104.0506049138817</v>
      </c>
    </row>
    <row r="13" spans="1:2" x14ac:dyDescent="0.2">
      <c r="A13" s="2">
        <v>17989</v>
      </c>
      <c r="B13" s="4">
        <v>2131.6486926425077</v>
      </c>
    </row>
    <row r="14" spans="1:2" x14ac:dyDescent="0.2">
      <c r="A14" s="2">
        <v>18080</v>
      </c>
      <c r="B14" s="4">
        <v>2160.4795429259088</v>
      </c>
    </row>
    <row r="15" spans="1:2" x14ac:dyDescent="0.2">
      <c r="A15" s="2">
        <v>18172</v>
      </c>
      <c r="B15" s="4">
        <v>2188.0289855125479</v>
      </c>
    </row>
    <row r="16" spans="1:2" x14ac:dyDescent="0.2">
      <c r="A16" s="2">
        <v>18264</v>
      </c>
      <c r="B16" s="4">
        <v>2217.2600770325698</v>
      </c>
    </row>
    <row r="17" spans="1:2" x14ac:dyDescent="0.2">
      <c r="A17" s="2">
        <v>18354</v>
      </c>
      <c r="B17" s="4">
        <v>2246.7291843536882</v>
      </c>
    </row>
    <row r="18" spans="1:2" x14ac:dyDescent="0.2">
      <c r="A18" s="2">
        <v>18445</v>
      </c>
      <c r="B18" s="4">
        <v>2276.3688801677249</v>
      </c>
    </row>
    <row r="19" spans="1:2" x14ac:dyDescent="0.2">
      <c r="A19" s="2">
        <v>18537</v>
      </c>
      <c r="B19" s="4">
        <v>2307.3660523481108</v>
      </c>
    </row>
    <row r="20" spans="1:2" x14ac:dyDescent="0.2">
      <c r="A20" s="2">
        <v>18629</v>
      </c>
      <c r="B20" s="4">
        <v>2338.824974317999</v>
      </c>
    </row>
    <row r="21" spans="1:2" x14ac:dyDescent="0.2">
      <c r="A21" s="2">
        <v>18719</v>
      </c>
      <c r="B21" s="4">
        <v>2370.3227742937529</v>
      </c>
    </row>
    <row r="22" spans="1:2" x14ac:dyDescent="0.2">
      <c r="A22" s="2">
        <v>18810</v>
      </c>
      <c r="B22" s="4">
        <v>2403.1071314889027</v>
      </c>
    </row>
    <row r="23" spans="1:2" x14ac:dyDescent="0.2">
      <c r="A23" s="2">
        <v>18902</v>
      </c>
      <c r="B23" s="4">
        <v>2437.1607039870814</v>
      </c>
    </row>
    <row r="24" spans="1:2" x14ac:dyDescent="0.2">
      <c r="A24" s="2">
        <v>18994</v>
      </c>
      <c r="B24" s="4">
        <v>2471.4203313048511</v>
      </c>
    </row>
    <row r="25" spans="1:2" x14ac:dyDescent="0.2">
      <c r="A25" s="2">
        <v>19085</v>
      </c>
      <c r="B25" s="4">
        <v>2506.8817045991159</v>
      </c>
    </row>
    <row r="26" spans="1:2" x14ac:dyDescent="0.2">
      <c r="A26" s="2">
        <v>19176</v>
      </c>
      <c r="B26" s="4">
        <v>2539.801524959028</v>
      </c>
    </row>
    <row r="27" spans="1:2" x14ac:dyDescent="0.2">
      <c r="A27" s="2">
        <v>19268</v>
      </c>
      <c r="B27" s="4">
        <v>2570.749833620866</v>
      </c>
    </row>
    <row r="28" spans="1:2" x14ac:dyDescent="0.2">
      <c r="A28" s="2">
        <v>19360</v>
      </c>
      <c r="B28" s="4">
        <v>2598.6733697809577</v>
      </c>
    </row>
    <row r="29" spans="1:2" x14ac:dyDescent="0.2">
      <c r="A29" s="2">
        <v>19450</v>
      </c>
      <c r="B29" s="4">
        <v>2624.780519240981</v>
      </c>
    </row>
    <row r="30" spans="1:2" x14ac:dyDescent="0.2">
      <c r="A30" s="2">
        <v>19541</v>
      </c>
      <c r="B30" s="4">
        <v>2648.1778758336882</v>
      </c>
    </row>
    <row r="31" spans="1:2" x14ac:dyDescent="0.2">
      <c r="A31" s="2">
        <v>19633</v>
      </c>
      <c r="B31" s="4">
        <v>2669.1479324544839</v>
      </c>
    </row>
    <row r="32" spans="1:2" x14ac:dyDescent="0.2">
      <c r="A32" s="2">
        <v>19725</v>
      </c>
      <c r="B32" s="4">
        <v>2688.8794568418148</v>
      </c>
    </row>
    <row r="33" spans="1:2" x14ac:dyDescent="0.2">
      <c r="A33" s="2">
        <v>19815</v>
      </c>
      <c r="B33" s="4">
        <v>2706.70024003047</v>
      </c>
    </row>
    <row r="34" spans="1:2" x14ac:dyDescent="0.2">
      <c r="A34" s="2">
        <v>19906</v>
      </c>
      <c r="B34" s="4">
        <v>2723.5654665820334</v>
      </c>
    </row>
    <row r="35" spans="1:2" x14ac:dyDescent="0.2">
      <c r="A35" s="2">
        <v>19998</v>
      </c>
      <c r="B35" s="4">
        <v>2740.8014634802043</v>
      </c>
    </row>
    <row r="36" spans="1:2" x14ac:dyDescent="0.2">
      <c r="A36" s="2">
        <v>20090</v>
      </c>
      <c r="B36" s="4">
        <v>2757.5375440431012</v>
      </c>
    </row>
    <row r="37" spans="1:2" x14ac:dyDescent="0.2">
      <c r="A37" s="2">
        <v>20180</v>
      </c>
      <c r="B37" s="4">
        <v>2775.4869475741907</v>
      </c>
    </row>
    <row r="38" spans="1:2" x14ac:dyDescent="0.2">
      <c r="A38" s="2">
        <v>20271</v>
      </c>
      <c r="B38" s="4">
        <v>2793.0733686535968</v>
      </c>
    </row>
    <row r="39" spans="1:2" x14ac:dyDescent="0.2">
      <c r="A39" s="2">
        <v>20363</v>
      </c>
      <c r="B39" s="4">
        <v>2811.3068024724244</v>
      </c>
    </row>
    <row r="40" spans="1:2" x14ac:dyDescent="0.2">
      <c r="A40" s="2">
        <v>20455</v>
      </c>
      <c r="B40" s="4">
        <v>2829.9083660330025</v>
      </c>
    </row>
    <row r="41" spans="1:2" x14ac:dyDescent="0.2">
      <c r="A41" s="2">
        <v>20546</v>
      </c>
      <c r="B41" s="4">
        <v>2848.3138986517201</v>
      </c>
    </row>
    <row r="42" spans="1:2" x14ac:dyDescent="0.2">
      <c r="A42" s="2">
        <v>20637</v>
      </c>
      <c r="B42" s="4">
        <v>2867.5765173471364</v>
      </c>
    </row>
    <row r="43" spans="1:2" x14ac:dyDescent="0.2">
      <c r="A43" s="2">
        <v>20729</v>
      </c>
      <c r="B43" s="4">
        <v>2887.9829484712182</v>
      </c>
    </row>
    <row r="44" spans="1:2" x14ac:dyDescent="0.2">
      <c r="A44" s="2">
        <v>20821</v>
      </c>
      <c r="B44" s="4">
        <v>2909.9969305513891</v>
      </c>
    </row>
    <row r="45" spans="1:2" x14ac:dyDescent="0.2">
      <c r="A45" s="2">
        <v>20911</v>
      </c>
      <c r="B45" s="4">
        <v>2933.4487429378582</v>
      </c>
    </row>
    <row r="46" spans="1:2" x14ac:dyDescent="0.2">
      <c r="A46" s="2">
        <v>21002</v>
      </c>
      <c r="B46" s="4">
        <v>2957.9832377711718</v>
      </c>
    </row>
    <row r="47" spans="1:2" x14ac:dyDescent="0.2">
      <c r="A47" s="2">
        <v>21094</v>
      </c>
      <c r="B47" s="4">
        <v>2983.7254894424395</v>
      </c>
    </row>
    <row r="48" spans="1:2" x14ac:dyDescent="0.2">
      <c r="A48" s="2">
        <v>21186</v>
      </c>
      <c r="B48" s="4">
        <v>3009.6600859079999</v>
      </c>
    </row>
    <row r="49" spans="1:2" x14ac:dyDescent="0.2">
      <c r="A49" s="2">
        <v>21276</v>
      </c>
      <c r="B49" s="4">
        <v>3036.5506143045632</v>
      </c>
    </row>
    <row r="50" spans="1:2" x14ac:dyDescent="0.2">
      <c r="A50" s="2">
        <v>21367</v>
      </c>
      <c r="B50" s="4">
        <v>3063.9644464918269</v>
      </c>
    </row>
    <row r="51" spans="1:2" x14ac:dyDescent="0.2">
      <c r="A51" s="2">
        <v>21459</v>
      </c>
      <c r="B51" s="4">
        <v>3092.7923567087109</v>
      </c>
    </row>
    <row r="52" spans="1:2" x14ac:dyDescent="0.2">
      <c r="A52" s="2">
        <v>21551</v>
      </c>
      <c r="B52" s="4">
        <v>3122.0075482487209</v>
      </c>
    </row>
    <row r="53" spans="1:2" x14ac:dyDescent="0.2">
      <c r="A53" s="2">
        <v>21641</v>
      </c>
      <c r="B53" s="4">
        <v>3152.2324222597695</v>
      </c>
    </row>
    <row r="54" spans="1:2" x14ac:dyDescent="0.2">
      <c r="A54" s="2">
        <v>21732</v>
      </c>
      <c r="B54" s="4">
        <v>3184.1615883718819</v>
      </c>
    </row>
    <row r="55" spans="1:2" x14ac:dyDescent="0.2">
      <c r="A55" s="2">
        <v>21824</v>
      </c>
      <c r="B55" s="4">
        <v>3216.3037328204482</v>
      </c>
    </row>
    <row r="56" spans="1:2" x14ac:dyDescent="0.2">
      <c r="A56" s="2">
        <v>21916</v>
      </c>
      <c r="B56" s="4">
        <v>3249.2974710698613</v>
      </c>
    </row>
    <row r="57" spans="1:2" x14ac:dyDescent="0.2">
      <c r="A57" s="2">
        <v>22007</v>
      </c>
      <c r="B57" s="4">
        <v>3282.0234379535505</v>
      </c>
    </row>
    <row r="58" spans="1:2" x14ac:dyDescent="0.2">
      <c r="A58" s="2">
        <v>22098</v>
      </c>
      <c r="B58" s="4">
        <v>3314.9506298741976</v>
      </c>
    </row>
    <row r="59" spans="1:2" x14ac:dyDescent="0.2">
      <c r="A59" s="2">
        <v>22190</v>
      </c>
      <c r="B59" s="4">
        <v>3347.584030399802</v>
      </c>
    </row>
    <row r="60" spans="1:2" x14ac:dyDescent="0.2">
      <c r="A60" s="2">
        <v>22282</v>
      </c>
      <c r="B60" s="4">
        <v>3380.7232610634601</v>
      </c>
    </row>
    <row r="61" spans="1:2" x14ac:dyDescent="0.2">
      <c r="A61" s="2">
        <v>22372</v>
      </c>
      <c r="B61" s="4">
        <v>3413.0684845070759</v>
      </c>
    </row>
    <row r="62" spans="1:2" x14ac:dyDescent="0.2">
      <c r="A62" s="2">
        <v>22463</v>
      </c>
      <c r="B62" s="4">
        <v>3446.7717100392279</v>
      </c>
    </row>
    <row r="63" spans="1:2" x14ac:dyDescent="0.2">
      <c r="A63" s="2">
        <v>22555</v>
      </c>
      <c r="B63" s="4">
        <v>3480.82745673521</v>
      </c>
    </row>
    <row r="64" spans="1:2" x14ac:dyDescent="0.2">
      <c r="A64" s="2">
        <v>22647</v>
      </c>
      <c r="B64" s="4">
        <v>3515.9770354301386</v>
      </c>
    </row>
    <row r="65" spans="1:2" x14ac:dyDescent="0.2">
      <c r="A65" s="2">
        <v>22737</v>
      </c>
      <c r="B65" s="4">
        <v>3552.038330636884</v>
      </c>
    </row>
    <row r="66" spans="1:2" x14ac:dyDescent="0.2">
      <c r="A66" s="2">
        <v>22828</v>
      </c>
      <c r="B66" s="4">
        <v>3589.0123274612092</v>
      </c>
    </row>
    <row r="67" spans="1:2" x14ac:dyDescent="0.2">
      <c r="A67" s="2">
        <v>22920</v>
      </c>
      <c r="B67" s="4">
        <v>3626.7058077160223</v>
      </c>
    </row>
    <row r="68" spans="1:2" x14ac:dyDescent="0.2">
      <c r="A68" s="2">
        <v>23012</v>
      </c>
      <c r="B68" s="4">
        <v>3664.8476922812879</v>
      </c>
    </row>
    <row r="69" spans="1:2" x14ac:dyDescent="0.2">
      <c r="A69" s="2">
        <v>23102</v>
      </c>
      <c r="B69" s="4">
        <v>3703.8464662439696</v>
      </c>
    </row>
    <row r="70" spans="1:2" x14ac:dyDescent="0.2">
      <c r="A70" s="2">
        <v>23193</v>
      </c>
      <c r="B70" s="4">
        <v>3743.5306956821473</v>
      </c>
    </row>
    <row r="71" spans="1:2" x14ac:dyDescent="0.2">
      <c r="A71" s="2">
        <v>23285</v>
      </c>
      <c r="B71" s="4">
        <v>3784.0490300359229</v>
      </c>
    </row>
    <row r="72" spans="1:2" x14ac:dyDescent="0.2">
      <c r="A72" s="2">
        <v>23377</v>
      </c>
      <c r="B72" s="4">
        <v>3824.6709306809444</v>
      </c>
    </row>
    <row r="73" spans="1:2" x14ac:dyDescent="0.2">
      <c r="A73" s="2">
        <v>23468</v>
      </c>
      <c r="B73" s="4">
        <v>3866.1988451744733</v>
      </c>
    </row>
    <row r="74" spans="1:2" x14ac:dyDescent="0.2">
      <c r="A74" s="2">
        <v>23559</v>
      </c>
      <c r="B74" s="4">
        <v>3908.2547031718718</v>
      </c>
    </row>
    <row r="75" spans="1:2" x14ac:dyDescent="0.2">
      <c r="A75" s="2">
        <v>23651</v>
      </c>
      <c r="B75" s="4">
        <v>3950.3756456317346</v>
      </c>
    </row>
    <row r="76" spans="1:2" x14ac:dyDescent="0.2">
      <c r="A76" s="2">
        <v>23743</v>
      </c>
      <c r="B76" s="4">
        <v>3993.8515387704119</v>
      </c>
    </row>
    <row r="77" spans="1:2" x14ac:dyDescent="0.2">
      <c r="A77" s="2">
        <v>23833</v>
      </c>
      <c r="B77" s="4">
        <v>4036.6403234215163</v>
      </c>
    </row>
    <row r="78" spans="1:2" x14ac:dyDescent="0.2">
      <c r="A78" s="2">
        <v>23924</v>
      </c>
      <c r="B78" s="4">
        <v>4081.0984119166687</v>
      </c>
    </row>
    <row r="79" spans="1:2" x14ac:dyDescent="0.2">
      <c r="A79" s="2">
        <v>24016</v>
      </c>
      <c r="B79" s="4">
        <v>4126.1029229584574</v>
      </c>
    </row>
    <row r="80" spans="1:2" x14ac:dyDescent="0.2">
      <c r="A80" s="2">
        <v>24108</v>
      </c>
      <c r="B80" s="4">
        <v>4171.864801873141</v>
      </c>
    </row>
    <row r="81" spans="1:2" x14ac:dyDescent="0.2">
      <c r="A81" s="2">
        <v>24198</v>
      </c>
      <c r="B81" s="4">
        <v>4218.3113344869134</v>
      </c>
    </row>
    <row r="82" spans="1:2" x14ac:dyDescent="0.2">
      <c r="A82" s="2">
        <v>24289</v>
      </c>
      <c r="B82" s="4">
        <v>4265.476569621911</v>
      </c>
    </row>
    <row r="83" spans="1:2" x14ac:dyDescent="0.2">
      <c r="A83" s="2">
        <v>24381</v>
      </c>
      <c r="B83" s="4">
        <v>4312.4901469238812</v>
      </c>
    </row>
    <row r="84" spans="1:2" x14ac:dyDescent="0.2">
      <c r="A84" s="2">
        <v>24473</v>
      </c>
      <c r="B84" s="4">
        <v>4360.2718443482217</v>
      </c>
    </row>
    <row r="85" spans="1:2" x14ac:dyDescent="0.2">
      <c r="A85" s="2">
        <v>24563</v>
      </c>
      <c r="B85" s="4">
        <v>4408.3507763297466</v>
      </c>
    </row>
    <row r="86" spans="1:2" x14ac:dyDescent="0.2">
      <c r="A86" s="2">
        <v>24654</v>
      </c>
      <c r="B86" s="4">
        <v>4456.838540255495</v>
      </c>
    </row>
    <row r="87" spans="1:2" x14ac:dyDescent="0.2">
      <c r="A87" s="2">
        <v>24746</v>
      </c>
      <c r="B87" s="4">
        <v>4506.4596330451222</v>
      </c>
    </row>
    <row r="88" spans="1:2" x14ac:dyDescent="0.2">
      <c r="A88" s="2">
        <v>24838</v>
      </c>
      <c r="B88" s="4">
        <v>4556.6781445891665</v>
      </c>
    </row>
    <row r="89" spans="1:2" x14ac:dyDescent="0.2">
      <c r="A89" s="2">
        <v>24929</v>
      </c>
      <c r="B89" s="4">
        <v>4606.9935996451595</v>
      </c>
    </row>
    <row r="90" spans="1:2" x14ac:dyDescent="0.2">
      <c r="A90" s="2">
        <v>25020</v>
      </c>
      <c r="B90" s="4">
        <v>4658.5698621942338</v>
      </c>
    </row>
    <row r="91" spans="1:2" x14ac:dyDescent="0.2">
      <c r="A91" s="2">
        <v>25112</v>
      </c>
      <c r="B91" s="4">
        <v>4710.9814434292603</v>
      </c>
    </row>
    <row r="92" spans="1:2" x14ac:dyDescent="0.2">
      <c r="A92" s="2">
        <v>25204</v>
      </c>
      <c r="B92" s="4">
        <v>4761.7533944962815</v>
      </c>
    </row>
    <row r="93" spans="1:2" x14ac:dyDescent="0.2">
      <c r="A93" s="2">
        <v>25294</v>
      </c>
      <c r="B93" s="4">
        <v>4810.6971940107742</v>
      </c>
    </row>
    <row r="94" spans="1:2" x14ac:dyDescent="0.2">
      <c r="A94" s="2">
        <v>25385</v>
      </c>
      <c r="B94" s="4">
        <v>4857.3563611465243</v>
      </c>
    </row>
    <row r="95" spans="1:2" x14ac:dyDescent="0.2">
      <c r="A95" s="2">
        <v>25477</v>
      </c>
      <c r="B95" s="4">
        <v>4902.0821570520657</v>
      </c>
    </row>
    <row r="96" spans="1:2" x14ac:dyDescent="0.2">
      <c r="A96" s="2">
        <v>25569</v>
      </c>
      <c r="B96" s="4">
        <v>4945.1205625773937</v>
      </c>
    </row>
    <row r="97" spans="1:2" x14ac:dyDescent="0.2">
      <c r="A97" s="2">
        <v>25659</v>
      </c>
      <c r="B97" s="4">
        <v>4986.3386316339584</v>
      </c>
    </row>
    <row r="98" spans="1:2" x14ac:dyDescent="0.2">
      <c r="A98" s="2">
        <v>25750</v>
      </c>
      <c r="B98" s="4">
        <v>5026.205222434869</v>
      </c>
    </row>
    <row r="99" spans="1:2" x14ac:dyDescent="0.2">
      <c r="A99" s="2">
        <v>25842</v>
      </c>
      <c r="B99" s="4">
        <v>5065.0471924147278</v>
      </c>
    </row>
    <row r="100" spans="1:2" x14ac:dyDescent="0.2">
      <c r="A100" s="2">
        <v>25934</v>
      </c>
      <c r="B100" s="4">
        <v>5103.9317280148107</v>
      </c>
    </row>
    <row r="101" spans="1:2" x14ac:dyDescent="0.2">
      <c r="A101" s="2">
        <v>26024</v>
      </c>
      <c r="B101" s="4">
        <v>5143.6084225516443</v>
      </c>
    </row>
    <row r="102" spans="1:2" x14ac:dyDescent="0.2">
      <c r="A102" s="2">
        <v>26115</v>
      </c>
      <c r="B102" s="4">
        <v>5183.8731349287082</v>
      </c>
    </row>
    <row r="103" spans="1:2" x14ac:dyDescent="0.2">
      <c r="A103" s="2">
        <v>26207</v>
      </c>
      <c r="B103" s="4">
        <v>5224.7492393738794</v>
      </c>
    </row>
    <row r="104" spans="1:2" x14ac:dyDescent="0.2">
      <c r="A104" s="2">
        <v>26299</v>
      </c>
      <c r="B104" s="4">
        <v>5266.3945125314303</v>
      </c>
    </row>
    <row r="105" spans="1:2" x14ac:dyDescent="0.2">
      <c r="A105" s="2">
        <v>26390</v>
      </c>
      <c r="B105" s="4">
        <v>5308.6411597809929</v>
      </c>
    </row>
    <row r="106" spans="1:2" x14ac:dyDescent="0.2">
      <c r="A106" s="2">
        <v>26481</v>
      </c>
      <c r="B106" s="4">
        <v>5351.5745600038535</v>
      </c>
    </row>
    <row r="107" spans="1:2" x14ac:dyDescent="0.2">
      <c r="A107" s="2">
        <v>26573</v>
      </c>
      <c r="B107" s="4">
        <v>5395.2240924749485</v>
      </c>
    </row>
    <row r="108" spans="1:2" x14ac:dyDescent="0.2">
      <c r="A108" s="2">
        <v>26665</v>
      </c>
      <c r="B108" s="4">
        <v>5439.8896093113362</v>
      </c>
    </row>
    <row r="109" spans="1:2" x14ac:dyDescent="0.2">
      <c r="A109" s="2">
        <v>26755</v>
      </c>
      <c r="B109" s="4">
        <v>5486.6967271918456</v>
      </c>
    </row>
    <row r="110" spans="1:2" x14ac:dyDescent="0.2">
      <c r="A110" s="2">
        <v>26846</v>
      </c>
      <c r="B110" s="4">
        <v>5534.0687419894457</v>
      </c>
    </row>
    <row r="111" spans="1:2" x14ac:dyDescent="0.2">
      <c r="A111" s="2">
        <v>26938</v>
      </c>
      <c r="B111" s="4">
        <v>5582.5199418700595</v>
      </c>
    </row>
    <row r="112" spans="1:2" x14ac:dyDescent="0.2">
      <c r="A112" s="2">
        <v>27030</v>
      </c>
      <c r="B112" s="4">
        <v>5631.5986372492562</v>
      </c>
    </row>
    <row r="113" spans="1:2" x14ac:dyDescent="0.2">
      <c r="A113" s="2">
        <v>27120</v>
      </c>
      <c r="B113" s="4">
        <v>5680.9703933158871</v>
      </c>
    </row>
    <row r="114" spans="1:2" x14ac:dyDescent="0.2">
      <c r="A114" s="2">
        <v>27211</v>
      </c>
      <c r="B114" s="4">
        <v>5729.7526409153515</v>
      </c>
    </row>
    <row r="115" spans="1:2" x14ac:dyDescent="0.2">
      <c r="A115" s="2">
        <v>27303</v>
      </c>
      <c r="B115" s="4">
        <v>5777.8023181377257</v>
      </c>
    </row>
    <row r="116" spans="1:2" x14ac:dyDescent="0.2">
      <c r="A116" s="2">
        <v>27395</v>
      </c>
      <c r="B116" s="4">
        <v>5824.54309169916</v>
      </c>
    </row>
    <row r="117" spans="1:2" x14ac:dyDescent="0.2">
      <c r="A117" s="2">
        <v>27485</v>
      </c>
      <c r="B117" s="4">
        <v>5870.2552801004431</v>
      </c>
    </row>
    <row r="118" spans="1:2" x14ac:dyDescent="0.2">
      <c r="A118" s="2">
        <v>27576</v>
      </c>
      <c r="B118" s="4">
        <v>5915.5757723931138</v>
      </c>
    </row>
    <row r="119" spans="1:2" x14ac:dyDescent="0.2">
      <c r="A119" s="2">
        <v>27668</v>
      </c>
      <c r="B119" s="4">
        <v>5960.9479767300309</v>
      </c>
    </row>
    <row r="120" spans="1:2" x14ac:dyDescent="0.2">
      <c r="A120" s="2">
        <v>27760</v>
      </c>
      <c r="B120" s="4">
        <v>6006.2048743552077</v>
      </c>
    </row>
    <row r="121" spans="1:2" x14ac:dyDescent="0.2">
      <c r="A121" s="2">
        <v>27851</v>
      </c>
      <c r="B121" s="4">
        <v>6052.3239884306704</v>
      </c>
    </row>
    <row r="122" spans="1:2" x14ac:dyDescent="0.2">
      <c r="A122" s="2">
        <v>27942</v>
      </c>
      <c r="B122" s="4">
        <v>6099.8266336425477</v>
      </c>
    </row>
    <row r="123" spans="1:2" x14ac:dyDescent="0.2">
      <c r="A123" s="2">
        <v>28034</v>
      </c>
      <c r="B123" s="4">
        <v>6148.0796385168578</v>
      </c>
    </row>
    <row r="124" spans="1:2" x14ac:dyDescent="0.2">
      <c r="A124" s="2">
        <v>28126</v>
      </c>
      <c r="B124" s="4">
        <v>6197.9564118909657</v>
      </c>
    </row>
    <row r="125" spans="1:2" x14ac:dyDescent="0.2">
      <c r="A125" s="2">
        <v>28216</v>
      </c>
      <c r="B125" s="4">
        <v>6249.0098565838744</v>
      </c>
    </row>
    <row r="126" spans="1:2" x14ac:dyDescent="0.2">
      <c r="A126" s="2">
        <v>28307</v>
      </c>
      <c r="B126" s="4">
        <v>6300.8389050361147</v>
      </c>
    </row>
    <row r="127" spans="1:2" x14ac:dyDescent="0.2">
      <c r="A127" s="2">
        <v>28399</v>
      </c>
      <c r="B127" s="4">
        <v>6354.0846614467455</v>
      </c>
    </row>
    <row r="128" spans="1:2" x14ac:dyDescent="0.2">
      <c r="A128" s="2">
        <v>28491</v>
      </c>
      <c r="B128" s="4">
        <v>6408.7338634322459</v>
      </c>
    </row>
    <row r="129" spans="1:2" x14ac:dyDescent="0.2">
      <c r="A129" s="2">
        <v>28581</v>
      </c>
      <c r="B129" s="4">
        <v>6464.4701284451676</v>
      </c>
    </row>
    <row r="130" spans="1:2" x14ac:dyDescent="0.2">
      <c r="A130" s="2">
        <v>28672</v>
      </c>
      <c r="B130" s="4">
        <v>6521.7112657907546</v>
      </c>
    </row>
    <row r="131" spans="1:2" x14ac:dyDescent="0.2">
      <c r="A131" s="2">
        <v>28764</v>
      </c>
      <c r="B131" s="4">
        <v>6580.0271427013586</v>
      </c>
    </row>
    <row r="132" spans="1:2" x14ac:dyDescent="0.2">
      <c r="A132" s="2">
        <v>28856</v>
      </c>
      <c r="B132" s="4">
        <v>6639.9792119396707</v>
      </c>
    </row>
    <row r="133" spans="1:2" x14ac:dyDescent="0.2">
      <c r="A133" s="2">
        <v>28946</v>
      </c>
      <c r="B133" s="4">
        <v>6697.9386842055064</v>
      </c>
    </row>
    <row r="134" spans="1:2" x14ac:dyDescent="0.2">
      <c r="A134" s="2">
        <v>29037</v>
      </c>
      <c r="B134" s="4">
        <v>6757.0171027992556</v>
      </c>
    </row>
    <row r="135" spans="1:2" x14ac:dyDescent="0.2">
      <c r="A135" s="2">
        <v>29129</v>
      </c>
      <c r="B135" s="4">
        <v>6807.4313510180809</v>
      </c>
    </row>
    <row r="136" spans="1:2" x14ac:dyDescent="0.2">
      <c r="A136" s="2">
        <v>29221</v>
      </c>
      <c r="B136" s="4">
        <v>6853.9741011129672</v>
      </c>
    </row>
    <row r="137" spans="1:2" x14ac:dyDescent="0.2">
      <c r="A137" s="2">
        <v>29312</v>
      </c>
      <c r="B137" s="4">
        <v>6896.0535074943582</v>
      </c>
    </row>
    <row r="138" spans="1:2" x14ac:dyDescent="0.2">
      <c r="A138" s="2">
        <v>29403</v>
      </c>
      <c r="B138" s="4">
        <v>6933.6300333638792</v>
      </c>
    </row>
    <row r="139" spans="1:2" x14ac:dyDescent="0.2">
      <c r="A139" s="2">
        <v>29495</v>
      </c>
      <c r="B139" s="4">
        <v>6973.2987656064588</v>
      </c>
    </row>
    <row r="140" spans="1:2" x14ac:dyDescent="0.2">
      <c r="A140" s="2">
        <v>29587</v>
      </c>
      <c r="B140" s="4">
        <v>7017.0828500171647</v>
      </c>
    </row>
    <row r="141" spans="1:2" x14ac:dyDescent="0.2">
      <c r="A141" s="2">
        <v>29677</v>
      </c>
      <c r="B141" s="4">
        <v>7064.0682456619106</v>
      </c>
    </row>
    <row r="142" spans="1:2" x14ac:dyDescent="0.2">
      <c r="A142" s="2">
        <v>29768</v>
      </c>
      <c r="B142" s="4">
        <v>7113.6670908448905</v>
      </c>
    </row>
    <row r="143" spans="1:2" x14ac:dyDescent="0.2">
      <c r="A143" s="2">
        <v>29860</v>
      </c>
      <c r="B143" s="4">
        <v>7165.8462652086528</v>
      </c>
    </row>
    <row r="144" spans="1:2" x14ac:dyDescent="0.2">
      <c r="A144" s="2">
        <v>29952</v>
      </c>
      <c r="B144" s="4">
        <v>7219.8608180578012</v>
      </c>
    </row>
    <row r="145" spans="1:2" x14ac:dyDescent="0.2">
      <c r="A145" s="2">
        <v>30042</v>
      </c>
      <c r="B145" s="4">
        <v>7275.197650081851</v>
      </c>
    </row>
    <row r="146" spans="1:2" x14ac:dyDescent="0.2">
      <c r="A146" s="2">
        <v>30133</v>
      </c>
      <c r="B146" s="4">
        <v>7331.6461214548972</v>
      </c>
    </row>
    <row r="147" spans="1:2" x14ac:dyDescent="0.2">
      <c r="A147" s="2">
        <v>30225</v>
      </c>
      <c r="B147" s="4">
        <v>7389.1969403457151</v>
      </c>
    </row>
    <row r="148" spans="1:2" x14ac:dyDescent="0.2">
      <c r="A148" s="2">
        <v>30317</v>
      </c>
      <c r="B148" s="4">
        <v>7446.7071239615261</v>
      </c>
    </row>
    <row r="149" spans="1:2" x14ac:dyDescent="0.2">
      <c r="A149" s="2">
        <v>30407</v>
      </c>
      <c r="B149" s="4">
        <v>7505.60082845327</v>
      </c>
    </row>
    <row r="150" spans="1:2" x14ac:dyDescent="0.2">
      <c r="A150" s="2">
        <v>30498</v>
      </c>
      <c r="B150" s="4">
        <v>7566.2176795453452</v>
      </c>
    </row>
    <row r="151" spans="1:2" x14ac:dyDescent="0.2">
      <c r="A151" s="2">
        <v>30590</v>
      </c>
      <c r="B151" s="4">
        <v>7629.3461692703622</v>
      </c>
    </row>
    <row r="152" spans="1:2" x14ac:dyDescent="0.2">
      <c r="A152" s="2">
        <v>30682</v>
      </c>
      <c r="B152" s="4">
        <v>7701.1611494434828</v>
      </c>
    </row>
    <row r="153" spans="1:2" x14ac:dyDescent="0.2">
      <c r="A153" s="2">
        <v>30773</v>
      </c>
      <c r="B153" s="4">
        <v>7768.8625027496937</v>
      </c>
    </row>
    <row r="154" spans="1:2" x14ac:dyDescent="0.2">
      <c r="A154" s="2">
        <v>30864</v>
      </c>
      <c r="B154" s="4">
        <v>7838.0969875881265</v>
      </c>
    </row>
    <row r="155" spans="1:2" x14ac:dyDescent="0.2">
      <c r="A155" s="2">
        <v>30956</v>
      </c>
      <c r="B155" s="4">
        <v>7908.4099434033433</v>
      </c>
    </row>
    <row r="156" spans="1:2" x14ac:dyDescent="0.2">
      <c r="A156" s="2">
        <v>31048</v>
      </c>
      <c r="B156" s="4">
        <v>7978.984573539854</v>
      </c>
    </row>
    <row r="157" spans="1:2" x14ac:dyDescent="0.2">
      <c r="A157" s="2">
        <v>31138</v>
      </c>
      <c r="B157" s="4">
        <v>8049.7445001582082</v>
      </c>
    </row>
    <row r="158" spans="1:2" x14ac:dyDescent="0.2">
      <c r="A158" s="2">
        <v>31229</v>
      </c>
      <c r="B158" s="4">
        <v>8120.3593429614684</v>
      </c>
    </row>
    <row r="159" spans="1:2" x14ac:dyDescent="0.2">
      <c r="A159" s="2">
        <v>31321</v>
      </c>
      <c r="B159" s="4">
        <v>8190.5228259424503</v>
      </c>
    </row>
    <row r="160" spans="1:2" x14ac:dyDescent="0.2">
      <c r="A160" s="2">
        <v>31413</v>
      </c>
      <c r="B160" s="4">
        <v>8260.076011766696</v>
      </c>
    </row>
    <row r="161" spans="1:2" x14ac:dyDescent="0.2">
      <c r="A161" s="2">
        <v>31503</v>
      </c>
      <c r="B161" s="4">
        <v>8329.2904954461792</v>
      </c>
    </row>
    <row r="162" spans="1:2" x14ac:dyDescent="0.2">
      <c r="A162" s="2">
        <v>31594</v>
      </c>
      <c r="B162" s="4">
        <v>8398.3216831811478</v>
      </c>
    </row>
    <row r="163" spans="1:2" x14ac:dyDescent="0.2">
      <c r="A163" s="2">
        <v>31686</v>
      </c>
      <c r="B163" s="4">
        <v>8467.2808857141863</v>
      </c>
    </row>
    <row r="164" spans="1:2" x14ac:dyDescent="0.2">
      <c r="A164" s="2">
        <v>31778</v>
      </c>
      <c r="B164" s="4">
        <v>8535.8302989814347</v>
      </c>
    </row>
    <row r="165" spans="1:2" x14ac:dyDescent="0.2">
      <c r="A165" s="2">
        <v>31868</v>
      </c>
      <c r="B165" s="4">
        <v>8604.0968597470892</v>
      </c>
    </row>
    <row r="166" spans="1:2" x14ac:dyDescent="0.2">
      <c r="A166" s="2">
        <v>31959</v>
      </c>
      <c r="B166" s="4">
        <v>8672.0979568347848</v>
      </c>
    </row>
    <row r="167" spans="1:2" x14ac:dyDescent="0.2">
      <c r="A167" s="2">
        <v>32051</v>
      </c>
      <c r="B167" s="4">
        <v>8740.3552068610752</v>
      </c>
    </row>
    <row r="168" spans="1:2" x14ac:dyDescent="0.2">
      <c r="A168" s="2">
        <v>32143</v>
      </c>
      <c r="B168" s="4">
        <v>8808.2421613571478</v>
      </c>
    </row>
    <row r="169" spans="1:2" x14ac:dyDescent="0.2">
      <c r="A169" s="2">
        <v>32234</v>
      </c>
      <c r="B169" s="4">
        <v>8876.376261313615</v>
      </c>
    </row>
    <row r="170" spans="1:2" x14ac:dyDescent="0.2">
      <c r="A170" s="2">
        <v>32325</v>
      </c>
      <c r="B170" s="4">
        <v>8944.328493496283</v>
      </c>
    </row>
    <row r="171" spans="1:2" x14ac:dyDescent="0.2">
      <c r="A171" s="2">
        <v>32417</v>
      </c>
      <c r="B171" s="4">
        <v>9012.2245306484765</v>
      </c>
    </row>
    <row r="172" spans="1:2" x14ac:dyDescent="0.2">
      <c r="A172" s="2">
        <v>32509</v>
      </c>
      <c r="B172" s="4">
        <v>9079.7836473560128</v>
      </c>
    </row>
    <row r="173" spans="1:2" x14ac:dyDescent="0.2">
      <c r="A173" s="2">
        <v>32599</v>
      </c>
      <c r="B173" s="4">
        <v>9146.9440787370077</v>
      </c>
    </row>
    <row r="174" spans="1:2" x14ac:dyDescent="0.2">
      <c r="A174" s="2">
        <v>32690</v>
      </c>
      <c r="B174" s="4">
        <v>9213.6664133517279</v>
      </c>
    </row>
    <row r="175" spans="1:2" x14ac:dyDescent="0.2">
      <c r="A175" s="2">
        <v>32782</v>
      </c>
      <c r="B175" s="4">
        <v>9280.1171535497087</v>
      </c>
    </row>
    <row r="176" spans="1:2" x14ac:dyDescent="0.2">
      <c r="A176" s="2">
        <v>32874</v>
      </c>
      <c r="B176" s="4">
        <v>9345.7290623157678</v>
      </c>
    </row>
    <row r="177" spans="1:2" x14ac:dyDescent="0.2">
      <c r="A177" s="2">
        <v>32964</v>
      </c>
      <c r="B177" s="4">
        <v>9410.6982795089243</v>
      </c>
    </row>
    <row r="178" spans="1:2" x14ac:dyDescent="0.2">
      <c r="A178" s="2">
        <v>33055</v>
      </c>
      <c r="B178" s="4">
        <v>9474.2945262598969</v>
      </c>
    </row>
    <row r="179" spans="1:2" x14ac:dyDescent="0.2">
      <c r="A179" s="2">
        <v>33147</v>
      </c>
      <c r="B179" s="4">
        <v>9536.660733476574</v>
      </c>
    </row>
    <row r="180" spans="1:2" x14ac:dyDescent="0.2">
      <c r="A180" s="2">
        <v>33239</v>
      </c>
      <c r="B180" s="4">
        <v>9598.1338473710366</v>
      </c>
    </row>
    <row r="181" spans="1:2" x14ac:dyDescent="0.2">
      <c r="A181" s="2">
        <v>33329</v>
      </c>
      <c r="B181" s="4">
        <v>9658.7722615470957</v>
      </c>
    </row>
    <row r="182" spans="1:2" x14ac:dyDescent="0.2">
      <c r="A182" s="2">
        <v>33420</v>
      </c>
      <c r="B182" s="4">
        <v>9719.0522555075841</v>
      </c>
    </row>
    <row r="183" spans="1:2" x14ac:dyDescent="0.2">
      <c r="A183" s="2">
        <v>33512</v>
      </c>
      <c r="B183" s="4">
        <v>9779.6871218976157</v>
      </c>
    </row>
    <row r="184" spans="1:2" x14ac:dyDescent="0.2">
      <c r="A184" s="2">
        <v>33604</v>
      </c>
      <c r="B184" s="4">
        <v>9840.9573634024528</v>
      </c>
    </row>
    <row r="185" spans="1:2" x14ac:dyDescent="0.2">
      <c r="A185" s="2">
        <v>33695</v>
      </c>
      <c r="B185" s="4">
        <v>9903.2242187413394</v>
      </c>
    </row>
    <row r="186" spans="1:2" x14ac:dyDescent="0.2">
      <c r="A186" s="2">
        <v>33786</v>
      </c>
      <c r="B186" s="4">
        <v>9967.1892657039261</v>
      </c>
    </row>
    <row r="187" spans="1:2" x14ac:dyDescent="0.2">
      <c r="A187" s="2">
        <v>33878</v>
      </c>
      <c r="B187" s="4">
        <v>10032.212432261182</v>
      </c>
    </row>
    <row r="188" spans="1:2" x14ac:dyDescent="0.2">
      <c r="A188" s="2">
        <v>33970</v>
      </c>
      <c r="B188" s="4">
        <v>10098.289325064792</v>
      </c>
    </row>
    <row r="189" spans="1:2" x14ac:dyDescent="0.2">
      <c r="A189" s="2">
        <v>34060</v>
      </c>
      <c r="B189" s="4">
        <v>10165.978013877846</v>
      </c>
    </row>
    <row r="190" spans="1:2" x14ac:dyDescent="0.2">
      <c r="A190" s="2">
        <v>34151</v>
      </c>
      <c r="B190" s="4">
        <v>10234.681747642877</v>
      </c>
    </row>
    <row r="191" spans="1:2" x14ac:dyDescent="0.2">
      <c r="A191" s="2">
        <v>34243</v>
      </c>
      <c r="B191" s="4">
        <v>10304.221986156372</v>
      </c>
    </row>
    <row r="192" spans="1:2" x14ac:dyDescent="0.2">
      <c r="A192" s="2">
        <v>34335</v>
      </c>
      <c r="B192" s="4">
        <v>10374.320674633514</v>
      </c>
    </row>
    <row r="193" spans="1:2" x14ac:dyDescent="0.2">
      <c r="A193" s="2">
        <v>34425</v>
      </c>
      <c r="B193" s="4">
        <v>10444.871864873277</v>
      </c>
    </row>
    <row r="194" spans="1:2" x14ac:dyDescent="0.2">
      <c r="A194" s="2">
        <v>34516</v>
      </c>
      <c r="B194" s="4">
        <v>10516.403389013809</v>
      </c>
    </row>
    <row r="195" spans="1:2" x14ac:dyDescent="0.2">
      <c r="A195" s="2">
        <v>34608</v>
      </c>
      <c r="B195" s="4">
        <v>10588.510074911635</v>
      </c>
    </row>
    <row r="196" spans="1:2" x14ac:dyDescent="0.2">
      <c r="A196" s="2">
        <v>34700</v>
      </c>
      <c r="B196" s="4">
        <v>10660.851219949442</v>
      </c>
    </row>
    <row r="197" spans="1:2" x14ac:dyDescent="0.2">
      <c r="A197" s="2">
        <v>34790</v>
      </c>
      <c r="B197" s="4">
        <v>10733.924139214505</v>
      </c>
    </row>
    <row r="198" spans="1:2" x14ac:dyDescent="0.2">
      <c r="A198" s="2">
        <v>34881</v>
      </c>
      <c r="B198" s="4">
        <v>10807.235240138654</v>
      </c>
    </row>
    <row r="199" spans="1:2" x14ac:dyDescent="0.2">
      <c r="A199" s="2">
        <v>34973</v>
      </c>
      <c r="B199" s="4">
        <v>10882.147470119251</v>
      </c>
    </row>
    <row r="200" spans="1:2" x14ac:dyDescent="0.2">
      <c r="A200" s="2">
        <v>35065</v>
      </c>
      <c r="B200" s="4">
        <v>10958.237464467309</v>
      </c>
    </row>
    <row r="201" spans="1:2" x14ac:dyDescent="0.2">
      <c r="A201" s="2">
        <v>35156</v>
      </c>
      <c r="B201" s="4">
        <v>11038.993541699841</v>
      </c>
    </row>
    <row r="202" spans="1:2" x14ac:dyDescent="0.2">
      <c r="A202" s="2">
        <v>35247</v>
      </c>
      <c r="B202" s="4">
        <v>11125.463687112649</v>
      </c>
    </row>
    <row r="203" spans="1:2" x14ac:dyDescent="0.2">
      <c r="A203" s="2">
        <v>35339</v>
      </c>
      <c r="B203" s="4">
        <v>11217.550801330821</v>
      </c>
    </row>
    <row r="204" spans="1:2" x14ac:dyDescent="0.2">
      <c r="A204" s="2">
        <v>35431</v>
      </c>
      <c r="B204" s="4">
        <v>11315.116073823907</v>
      </c>
    </row>
    <row r="205" spans="1:2" x14ac:dyDescent="0.2">
      <c r="A205" s="2">
        <v>35521</v>
      </c>
      <c r="B205" s="4">
        <v>11417.51480091594</v>
      </c>
    </row>
    <row r="206" spans="1:2" x14ac:dyDescent="0.2">
      <c r="A206" s="2">
        <v>35612</v>
      </c>
      <c r="B206" s="4">
        <v>11525.073515106189</v>
      </c>
    </row>
    <row r="207" spans="1:2" x14ac:dyDescent="0.2">
      <c r="A207" s="2">
        <v>35704</v>
      </c>
      <c r="B207" s="4">
        <v>11636.524935911739</v>
      </c>
    </row>
    <row r="208" spans="1:2" x14ac:dyDescent="0.2">
      <c r="A208" s="2">
        <v>35796</v>
      </c>
      <c r="B208" s="4">
        <v>11751.276375893969</v>
      </c>
    </row>
    <row r="209" spans="1:2" x14ac:dyDescent="0.2">
      <c r="A209" s="2">
        <v>35886</v>
      </c>
      <c r="B209" s="4">
        <v>11869.776404278393</v>
      </c>
    </row>
    <row r="210" spans="1:2" x14ac:dyDescent="0.2">
      <c r="A210" s="2">
        <v>35977</v>
      </c>
      <c r="B210" s="4">
        <v>11990.428206739729</v>
      </c>
    </row>
    <row r="211" spans="1:2" x14ac:dyDescent="0.2">
      <c r="A211" s="2">
        <v>36069</v>
      </c>
      <c r="B211" s="4">
        <v>12113.249201767343</v>
      </c>
    </row>
    <row r="212" spans="1:2" x14ac:dyDescent="0.2">
      <c r="A212" s="2">
        <v>36161</v>
      </c>
      <c r="B212" s="4">
        <v>12238.511791399389</v>
      </c>
    </row>
    <row r="213" spans="1:2" x14ac:dyDescent="0.2">
      <c r="A213" s="2">
        <v>36251</v>
      </c>
      <c r="B213" s="4">
        <v>12365.28498989189</v>
      </c>
    </row>
    <row r="214" spans="1:2" x14ac:dyDescent="0.2">
      <c r="A214" s="2">
        <v>36342</v>
      </c>
      <c r="B214" s="4">
        <v>12493.703483561078</v>
      </c>
    </row>
    <row r="215" spans="1:2" x14ac:dyDescent="0.2">
      <c r="A215" s="2">
        <v>36434</v>
      </c>
      <c r="B215" s="4">
        <v>12624.339767514275</v>
      </c>
    </row>
    <row r="216" spans="1:2" x14ac:dyDescent="0.2">
      <c r="A216" s="2">
        <v>36526</v>
      </c>
      <c r="B216" s="4">
        <v>12756.197799291815</v>
      </c>
    </row>
    <row r="217" spans="1:2" x14ac:dyDescent="0.2">
      <c r="A217" s="2">
        <v>36617</v>
      </c>
      <c r="B217" s="4">
        <v>12885.549542919041</v>
      </c>
    </row>
    <row r="218" spans="1:2" x14ac:dyDescent="0.2">
      <c r="A218" s="2">
        <v>36708</v>
      </c>
      <c r="B218" s="4">
        <v>13010.047124107925</v>
      </c>
    </row>
    <row r="219" spans="1:2" x14ac:dyDescent="0.2">
      <c r="A219" s="2">
        <v>36800</v>
      </c>
      <c r="B219" s="4">
        <v>13129.144768063294</v>
      </c>
    </row>
    <row r="220" spans="1:2" x14ac:dyDescent="0.2">
      <c r="A220" s="2">
        <v>36892</v>
      </c>
      <c r="B220" s="4">
        <v>13242.626114221135</v>
      </c>
    </row>
    <row r="221" spans="1:2" x14ac:dyDescent="0.2">
      <c r="A221" s="2">
        <v>36982</v>
      </c>
      <c r="B221" s="4">
        <v>13350.399770501921</v>
      </c>
    </row>
    <row r="222" spans="1:2" x14ac:dyDescent="0.2">
      <c r="A222" s="2">
        <v>37073</v>
      </c>
      <c r="B222" s="4">
        <v>13452.504389530579</v>
      </c>
    </row>
    <row r="223" spans="1:2" x14ac:dyDescent="0.2">
      <c r="A223" s="2">
        <v>37165</v>
      </c>
      <c r="B223" s="4">
        <v>13549.578308347609</v>
      </c>
    </row>
    <row r="224" spans="1:2" x14ac:dyDescent="0.2">
      <c r="A224" s="2">
        <v>37257</v>
      </c>
      <c r="B224" s="4">
        <v>13642.026653665946</v>
      </c>
    </row>
    <row r="225" spans="1:2" x14ac:dyDescent="0.2">
      <c r="A225" s="2">
        <v>37347</v>
      </c>
      <c r="B225" s="4">
        <v>13731.527536916305</v>
      </c>
    </row>
    <row r="226" spans="1:2" x14ac:dyDescent="0.2">
      <c r="A226" s="2">
        <v>37438</v>
      </c>
      <c r="B226" s="4">
        <v>13819.421745281743</v>
      </c>
    </row>
    <row r="227" spans="1:2" x14ac:dyDescent="0.2">
      <c r="A227" s="2">
        <v>37530</v>
      </c>
      <c r="B227" s="4">
        <v>13906.073089248501</v>
      </c>
    </row>
    <row r="228" spans="1:2" x14ac:dyDescent="0.2">
      <c r="A228" s="2">
        <v>37622</v>
      </c>
      <c r="B228" s="4">
        <v>13992.484504845459</v>
      </c>
    </row>
    <row r="229" spans="1:2" x14ac:dyDescent="0.2">
      <c r="A229" s="2">
        <v>37712</v>
      </c>
      <c r="B229" s="4">
        <v>14079.71664749195</v>
      </c>
    </row>
    <row r="230" spans="1:2" x14ac:dyDescent="0.2">
      <c r="A230" s="2">
        <v>37803</v>
      </c>
      <c r="B230" s="4">
        <v>14166.968380640943</v>
      </c>
    </row>
    <row r="231" spans="1:2" x14ac:dyDescent="0.2">
      <c r="A231" s="2">
        <v>37895</v>
      </c>
      <c r="B231" s="4">
        <v>14255.295748528804</v>
      </c>
    </row>
    <row r="232" spans="1:2" x14ac:dyDescent="0.2">
      <c r="A232" s="2">
        <v>37987</v>
      </c>
      <c r="B232" s="4">
        <v>14345.471525215591</v>
      </c>
    </row>
    <row r="233" spans="1:2" x14ac:dyDescent="0.2">
      <c r="A233" s="2">
        <v>38078</v>
      </c>
      <c r="B233" s="4">
        <v>14436.967695131636</v>
      </c>
    </row>
    <row r="234" spans="1:2" x14ac:dyDescent="0.2">
      <c r="A234" s="2">
        <v>38169</v>
      </c>
      <c r="B234" s="4">
        <v>14530.657154778641</v>
      </c>
    </row>
    <row r="235" spans="1:2" x14ac:dyDescent="0.2">
      <c r="A235" s="2">
        <v>38261</v>
      </c>
      <c r="B235" s="4">
        <v>14625.540051760048</v>
      </c>
    </row>
    <row r="236" spans="1:2" x14ac:dyDescent="0.2">
      <c r="A236" s="2">
        <v>38353</v>
      </c>
      <c r="B236" s="4">
        <v>14718.907157195204</v>
      </c>
    </row>
    <row r="237" spans="1:2" x14ac:dyDescent="0.2">
      <c r="A237" s="2">
        <v>38443</v>
      </c>
      <c r="B237" s="4">
        <v>14809.966355594781</v>
      </c>
    </row>
    <row r="238" spans="1:2" x14ac:dyDescent="0.2">
      <c r="A238" s="2">
        <v>38534</v>
      </c>
      <c r="B238" s="4">
        <v>14899.764672396343</v>
      </c>
    </row>
    <row r="239" spans="1:2" x14ac:dyDescent="0.2">
      <c r="A239" s="2">
        <v>38626</v>
      </c>
      <c r="B239" s="4">
        <v>14987.734747776842</v>
      </c>
    </row>
    <row r="240" spans="1:2" x14ac:dyDescent="0.2">
      <c r="A240" s="2">
        <v>38718</v>
      </c>
      <c r="B240" s="4">
        <v>15073.664817058681</v>
      </c>
    </row>
    <row r="241" spans="1:2" x14ac:dyDescent="0.2">
      <c r="A241" s="2">
        <v>38808</v>
      </c>
      <c r="B241" s="4">
        <v>15158.023715379784</v>
      </c>
    </row>
    <row r="242" spans="1:2" x14ac:dyDescent="0.2">
      <c r="A242" s="2">
        <v>38899</v>
      </c>
      <c r="B242" s="4">
        <v>15239.103339568164</v>
      </c>
    </row>
    <row r="243" spans="1:2" x14ac:dyDescent="0.2">
      <c r="A243" s="2">
        <v>38991</v>
      </c>
      <c r="B243" s="4">
        <v>15316.914218297932</v>
      </c>
    </row>
    <row r="244" spans="1:2" x14ac:dyDescent="0.2">
      <c r="A244" s="2">
        <v>39083</v>
      </c>
      <c r="B244" s="4">
        <v>15394.59126299462</v>
      </c>
    </row>
    <row r="245" spans="1:2" x14ac:dyDescent="0.2">
      <c r="A245" s="2">
        <v>39173</v>
      </c>
      <c r="B245" s="4">
        <v>15472.772148648757</v>
      </c>
    </row>
    <row r="246" spans="1:2" x14ac:dyDescent="0.2">
      <c r="A246" s="2">
        <v>39264</v>
      </c>
      <c r="B246" s="4">
        <v>15551.685448278575</v>
      </c>
    </row>
    <row r="247" spans="1:2" x14ac:dyDescent="0.2">
      <c r="A247" s="2">
        <v>39356</v>
      </c>
      <c r="B247" s="4">
        <v>15630.164389951682</v>
      </c>
    </row>
    <row r="248" spans="1:2" x14ac:dyDescent="0.2">
      <c r="A248" s="2">
        <v>39448</v>
      </c>
      <c r="B248" s="4">
        <v>15707.896436018797</v>
      </c>
    </row>
    <row r="249" spans="1:2" x14ac:dyDescent="0.2">
      <c r="A249" s="2">
        <v>39539</v>
      </c>
      <c r="B249" s="4">
        <v>15782.945118773247</v>
      </c>
    </row>
    <row r="250" spans="1:2" x14ac:dyDescent="0.2">
      <c r="A250" s="2">
        <v>39630</v>
      </c>
      <c r="B250" s="4">
        <v>15854.479153554397</v>
      </c>
    </row>
    <row r="251" spans="1:2" x14ac:dyDescent="0.2">
      <c r="A251" s="2">
        <v>39722</v>
      </c>
      <c r="B251" s="4">
        <v>15921.647052393451</v>
      </c>
    </row>
    <row r="252" spans="1:2" x14ac:dyDescent="0.2">
      <c r="A252" s="2">
        <v>39814</v>
      </c>
      <c r="B252" s="4">
        <v>15983.298522700341</v>
      </c>
    </row>
    <row r="253" spans="1:2" x14ac:dyDescent="0.2">
      <c r="A253" s="2">
        <v>39904</v>
      </c>
      <c r="B253" s="4">
        <v>16040.702644623096</v>
      </c>
    </row>
    <row r="254" spans="1:2" x14ac:dyDescent="0.2">
      <c r="A254" s="2">
        <v>39995</v>
      </c>
      <c r="B254" s="4">
        <v>16094.741671790714</v>
      </c>
    </row>
    <row r="255" spans="1:2" x14ac:dyDescent="0.2">
      <c r="A255" s="2">
        <v>40087</v>
      </c>
      <c r="B255" s="4">
        <v>16147.063356892382</v>
      </c>
    </row>
    <row r="256" spans="1:2" x14ac:dyDescent="0.2">
      <c r="A256" s="2">
        <v>40179</v>
      </c>
      <c r="B256" s="4">
        <v>16199.710242322295</v>
      </c>
    </row>
    <row r="257" spans="1:2" x14ac:dyDescent="0.2">
      <c r="A257" s="2">
        <v>40269</v>
      </c>
      <c r="B257" s="4">
        <v>16253.716157120327</v>
      </c>
    </row>
    <row r="258" spans="1:2" x14ac:dyDescent="0.2">
      <c r="A258" s="2">
        <v>40360</v>
      </c>
      <c r="B258" s="4">
        <v>16310.447723810714</v>
      </c>
    </row>
    <row r="259" spans="1:2" x14ac:dyDescent="0.2">
      <c r="A259" s="2">
        <v>40452</v>
      </c>
      <c r="B259" s="4">
        <v>16369.305151435134</v>
      </c>
    </row>
    <row r="260" spans="1:2" x14ac:dyDescent="0.2">
      <c r="A260" s="2">
        <v>40544</v>
      </c>
      <c r="B260" s="4">
        <v>16430.464766780584</v>
      </c>
    </row>
    <row r="261" spans="1:2" x14ac:dyDescent="0.2">
      <c r="A261" s="2">
        <v>40634</v>
      </c>
      <c r="B261" s="4">
        <v>16494.124187380123</v>
      </c>
    </row>
    <row r="262" spans="1:2" x14ac:dyDescent="0.2">
      <c r="A262" s="2">
        <v>40725</v>
      </c>
      <c r="B262" s="4">
        <v>16560.109528317294</v>
      </c>
    </row>
    <row r="263" spans="1:2" x14ac:dyDescent="0.2">
      <c r="A263" s="2">
        <v>40817</v>
      </c>
      <c r="B263" s="4">
        <v>16627.891653548617</v>
      </c>
    </row>
    <row r="264" spans="1:2" x14ac:dyDescent="0.2">
      <c r="A264" s="2">
        <v>40909</v>
      </c>
      <c r="B264" s="4">
        <v>16697.390719924417</v>
      </c>
    </row>
    <row r="265" spans="1:2" x14ac:dyDescent="0.2">
      <c r="A265" s="2">
        <v>41000</v>
      </c>
      <c r="B265" s="4">
        <v>16768.971178461616</v>
      </c>
    </row>
    <row r="266" spans="1:2" x14ac:dyDescent="0.2">
      <c r="A266" s="2">
        <v>41091</v>
      </c>
      <c r="B266" s="4">
        <v>16842.160314521388</v>
      </c>
    </row>
    <row r="267" spans="1:2" x14ac:dyDescent="0.2">
      <c r="A267" s="2">
        <v>41183</v>
      </c>
      <c r="B267" s="4">
        <v>16916.653882648665</v>
      </c>
    </row>
    <row r="268" spans="1:2" x14ac:dyDescent="0.2">
      <c r="A268" s="2">
        <v>41275</v>
      </c>
      <c r="B268" s="4">
        <v>16992.571486427674</v>
      </c>
    </row>
    <row r="269" spans="1:2" x14ac:dyDescent="0.2">
      <c r="A269" s="2">
        <v>41365</v>
      </c>
      <c r="B269" s="4">
        <v>17069.566062011083</v>
      </c>
    </row>
    <row r="270" spans="1:2" x14ac:dyDescent="0.2">
      <c r="A270" s="2">
        <v>41456</v>
      </c>
      <c r="B270" s="4">
        <v>17147.150782277757</v>
      </c>
    </row>
    <row r="271" spans="1:2" x14ac:dyDescent="0.2">
      <c r="A271" s="2">
        <v>41548</v>
      </c>
      <c r="B271" s="4">
        <v>17225.802388399334</v>
      </c>
    </row>
    <row r="272" spans="1:2" x14ac:dyDescent="0.2">
      <c r="A272" s="2">
        <v>41640</v>
      </c>
      <c r="B272" s="4">
        <v>17305.419454168063</v>
      </c>
    </row>
    <row r="273" spans="1:2" x14ac:dyDescent="0.2">
      <c r="A273" s="2">
        <v>41730</v>
      </c>
      <c r="B273" s="4">
        <v>17385.710529393622</v>
      </c>
    </row>
    <row r="274" spans="1:2" x14ac:dyDescent="0.2">
      <c r="A274" s="2">
        <v>41821</v>
      </c>
      <c r="B274" s="4">
        <v>17467.54920948041</v>
      </c>
    </row>
    <row r="275" spans="1:2" x14ac:dyDescent="0.2">
      <c r="A275" s="2">
        <v>41913</v>
      </c>
      <c r="B275" s="4">
        <v>17550.014792008409</v>
      </c>
    </row>
    <row r="276" spans="1:2" x14ac:dyDescent="0.2">
      <c r="A276" s="2">
        <v>42005</v>
      </c>
      <c r="B276" s="4">
        <v>17632.760612537964</v>
      </c>
    </row>
    <row r="277" spans="1:2" x14ac:dyDescent="0.2">
      <c r="A277" s="2">
        <v>42095</v>
      </c>
      <c r="B277" s="4">
        <v>17715.601334992039</v>
      </c>
    </row>
    <row r="278" spans="1:2" x14ac:dyDescent="0.2">
      <c r="A278" s="2">
        <v>42186</v>
      </c>
      <c r="B278" s="4">
        <v>17797.91133893585</v>
      </c>
    </row>
    <row r="279" spans="1:2" x14ac:dyDescent="0.2">
      <c r="A279" s="2">
        <v>42278</v>
      </c>
      <c r="B279" s="4">
        <v>17879.075022707257</v>
      </c>
    </row>
    <row r="280" spans="1:2" x14ac:dyDescent="0.2">
      <c r="A280" s="2">
        <v>42370</v>
      </c>
      <c r="B280" s="4">
        <v>17959.524725668442</v>
      </c>
    </row>
    <row r="281" spans="1:2" x14ac:dyDescent="0.2">
      <c r="A281" s="2">
        <v>42461</v>
      </c>
      <c r="B281" s="4">
        <v>18039.058551483766</v>
      </c>
    </row>
    <row r="282" spans="1:2" x14ac:dyDescent="0.2">
      <c r="A282" s="2">
        <v>42552</v>
      </c>
      <c r="B282" s="4">
        <v>18117.649189862594</v>
      </c>
    </row>
    <row r="283" spans="1:2" x14ac:dyDescent="0.2">
      <c r="A283" s="2">
        <v>42644</v>
      </c>
      <c r="B283" s="4">
        <v>18195.876939707825</v>
      </c>
    </row>
    <row r="284" spans="1:2" x14ac:dyDescent="0.2">
      <c r="A284" s="2">
        <v>42736</v>
      </c>
      <c r="B284" s="4">
        <v>18274.532822062818</v>
      </c>
    </row>
    <row r="285" spans="1:2" x14ac:dyDescent="0.2">
      <c r="A285" s="2">
        <v>42826</v>
      </c>
      <c r="B285" s="4">
        <v>18352.950873578</v>
      </c>
    </row>
    <row r="286" spans="1:2" x14ac:dyDescent="0.2">
      <c r="A286" s="2">
        <v>42917</v>
      </c>
      <c r="B286" s="4">
        <v>18433.50352198413</v>
      </c>
    </row>
    <row r="287" spans="1:2" x14ac:dyDescent="0.2">
      <c r="A287" s="2">
        <v>43009</v>
      </c>
      <c r="B287" s="4">
        <v>18516.076051463522</v>
      </c>
    </row>
    <row r="288" spans="1:2" x14ac:dyDescent="0.2">
      <c r="A288" s="2">
        <v>43101</v>
      </c>
      <c r="B288" s="4">
        <v>18600.542516946021</v>
      </c>
    </row>
    <row r="289" spans="1:2" x14ac:dyDescent="0.2">
      <c r="A289" s="2">
        <v>43191</v>
      </c>
      <c r="B289" s="4">
        <v>18687.322097031873</v>
      </c>
    </row>
    <row r="290" spans="1:2" x14ac:dyDescent="0.2">
      <c r="A290" s="2">
        <v>43282</v>
      </c>
      <c r="B290" s="4">
        <v>18776.099110468444</v>
      </c>
    </row>
    <row r="291" spans="1:2" x14ac:dyDescent="0.2">
      <c r="A291" s="2">
        <v>43374</v>
      </c>
      <c r="B291" s="4">
        <v>18865.372897453119</v>
      </c>
    </row>
    <row r="292" spans="1:2" x14ac:dyDescent="0.2">
      <c r="A292" s="2">
        <v>43466</v>
      </c>
      <c r="B292" s="4">
        <v>18954.764599505463</v>
      </c>
    </row>
    <row r="293" spans="1:2" x14ac:dyDescent="0.2">
      <c r="A293" s="2">
        <v>43556</v>
      </c>
      <c r="B293" s="4">
        <v>19044.881460273402</v>
      </c>
    </row>
    <row r="294" spans="1:2" x14ac:dyDescent="0.2">
      <c r="A294" s="2">
        <v>43647</v>
      </c>
      <c r="B294" s="4">
        <v>19135.419343657588</v>
      </c>
    </row>
    <row r="295" spans="1:2" x14ac:dyDescent="0.2">
      <c r="A295" s="2">
        <v>43739</v>
      </c>
      <c r="B295" s="4">
        <v>19225.599085747494</v>
      </c>
    </row>
    <row r="296" spans="1:2" x14ac:dyDescent="0.2">
      <c r="A296" s="2">
        <v>43831</v>
      </c>
      <c r="B296" s="4">
        <v>19314.330228562518</v>
      </c>
    </row>
    <row r="297" spans="1:2" x14ac:dyDescent="0.2">
      <c r="A297" s="2">
        <v>43922</v>
      </c>
      <c r="B297" s="4">
        <v>19399.659424294787</v>
      </c>
    </row>
    <row r="298" spans="1:2" x14ac:dyDescent="0.2">
      <c r="A298" s="2">
        <v>44013</v>
      </c>
      <c r="B298" s="4">
        <v>19477.214282920206</v>
      </c>
    </row>
    <row r="299" spans="1:2" x14ac:dyDescent="0.2">
      <c r="A299" s="2">
        <v>44105</v>
      </c>
      <c r="B299" s="4">
        <v>19559.271259869762</v>
      </c>
    </row>
    <row r="300" spans="1:2" x14ac:dyDescent="0.2">
      <c r="A300" s="2">
        <v>44197</v>
      </c>
      <c r="B300" s="4">
        <v>19644.490000000002</v>
      </c>
    </row>
    <row r="301" spans="1:2" x14ac:dyDescent="0.2">
      <c r="A301" s="2">
        <v>44287</v>
      </c>
      <c r="B301" s="4">
        <v>19732.990000000002</v>
      </c>
    </row>
    <row r="302" spans="1:2" x14ac:dyDescent="0.2">
      <c r="A302" s="2">
        <v>44378</v>
      </c>
      <c r="B302" s="4">
        <v>19822.82</v>
      </c>
    </row>
    <row r="303" spans="1:2" x14ac:dyDescent="0.2">
      <c r="A303" s="2">
        <v>44470</v>
      </c>
      <c r="B303" s="4">
        <v>19914.29</v>
      </c>
    </row>
    <row r="304" spans="1:2" x14ac:dyDescent="0.2">
      <c r="A304" s="2">
        <v>44562</v>
      </c>
      <c r="B304" s="4">
        <v>20005.45</v>
      </c>
    </row>
    <row r="305" spans="1:2" x14ac:dyDescent="0.2">
      <c r="A305" s="2">
        <v>44652</v>
      </c>
      <c r="B305" s="4">
        <v>20101.18</v>
      </c>
    </row>
    <row r="306" spans="1:2" x14ac:dyDescent="0.2">
      <c r="A306" s="2">
        <v>44743</v>
      </c>
      <c r="B306" s="4">
        <v>20197.939999999999</v>
      </c>
    </row>
    <row r="307" spans="1:2" x14ac:dyDescent="0.2">
      <c r="A307" s="2">
        <v>44835</v>
      </c>
      <c r="B307" s="4">
        <v>20295.47</v>
      </c>
    </row>
    <row r="308" spans="1:2" x14ac:dyDescent="0.2">
      <c r="A308" s="2">
        <v>44927</v>
      </c>
      <c r="B308" s="4">
        <v>20393.62</v>
      </c>
    </row>
    <row r="309" spans="1:2" x14ac:dyDescent="0.2">
      <c r="A309" s="2">
        <v>45017</v>
      </c>
      <c r="B309" s="4">
        <v>20492.060000000001</v>
      </c>
    </row>
    <row r="310" spans="1:2" x14ac:dyDescent="0.2">
      <c r="A310" s="2">
        <v>45108</v>
      </c>
      <c r="B310" s="4">
        <v>20591.2</v>
      </c>
    </row>
    <row r="311" spans="1:2" x14ac:dyDescent="0.2">
      <c r="A311" s="2">
        <v>45200</v>
      </c>
      <c r="B311" s="4">
        <v>20690.79</v>
      </c>
    </row>
    <row r="312" spans="1:2" x14ac:dyDescent="0.2">
      <c r="A312" s="2">
        <v>45292</v>
      </c>
      <c r="B312" s="4">
        <v>20790.79</v>
      </c>
    </row>
    <row r="313" spans="1:2" x14ac:dyDescent="0.2">
      <c r="A313" s="2">
        <v>45383</v>
      </c>
      <c r="B313" s="4">
        <v>20890.48</v>
      </c>
    </row>
    <row r="314" spans="1:2" x14ac:dyDescent="0.2">
      <c r="A314" s="2">
        <v>45474</v>
      </c>
      <c r="B314" s="4">
        <v>20989.97</v>
      </c>
    </row>
    <row r="315" spans="1:2" x14ac:dyDescent="0.2">
      <c r="A315" s="2">
        <v>45566</v>
      </c>
      <c r="B315" s="4">
        <v>21089.27</v>
      </c>
    </row>
    <row r="316" spans="1:2" x14ac:dyDescent="0.2">
      <c r="A316" s="2">
        <v>45658</v>
      </c>
      <c r="B316" s="4">
        <v>21188.34</v>
      </c>
    </row>
    <row r="317" spans="1:2" x14ac:dyDescent="0.2">
      <c r="A317" s="2">
        <v>45748</v>
      </c>
      <c r="B317" s="4">
        <v>21287.1</v>
      </c>
    </row>
    <row r="318" spans="1:2" x14ac:dyDescent="0.2">
      <c r="A318" s="2">
        <v>45839</v>
      </c>
      <c r="B318" s="4">
        <v>21385.9</v>
      </c>
    </row>
    <row r="319" spans="1:2" x14ac:dyDescent="0.2">
      <c r="A319" s="2">
        <v>45931</v>
      </c>
      <c r="B319" s="4">
        <v>21484.639999999999</v>
      </c>
    </row>
    <row r="320" spans="1:2" x14ac:dyDescent="0.2">
      <c r="A320" s="2">
        <v>46023</v>
      </c>
      <c r="B320" s="4">
        <v>21583.279999999999</v>
      </c>
    </row>
    <row r="321" spans="1:2" x14ac:dyDescent="0.2">
      <c r="A321" s="2">
        <v>46113</v>
      </c>
      <c r="B321" s="4">
        <v>21681.52</v>
      </c>
    </row>
    <row r="322" spans="1:2" x14ac:dyDescent="0.2">
      <c r="A322" s="2">
        <v>46204</v>
      </c>
      <c r="B322" s="4">
        <v>21779.48</v>
      </c>
    </row>
    <row r="323" spans="1:2" x14ac:dyDescent="0.2">
      <c r="A323" s="2">
        <v>46296</v>
      </c>
      <c r="B323" s="4">
        <v>21877.360000000001</v>
      </c>
    </row>
    <row r="324" spans="1:2" x14ac:dyDescent="0.2">
      <c r="A324" s="2">
        <v>46388</v>
      </c>
      <c r="B324" s="4">
        <v>21975.23</v>
      </c>
    </row>
    <row r="325" spans="1:2" x14ac:dyDescent="0.2">
      <c r="A325" s="2">
        <v>46478</v>
      </c>
      <c r="B325" s="4">
        <v>22072.85</v>
      </c>
    </row>
    <row r="326" spans="1:2" x14ac:dyDescent="0.2">
      <c r="A326" s="2">
        <v>46569</v>
      </c>
      <c r="B326" s="4">
        <v>22170.42</v>
      </c>
    </row>
    <row r="327" spans="1:2" x14ac:dyDescent="0.2">
      <c r="A327" s="2">
        <v>46661</v>
      </c>
      <c r="B327" s="4">
        <v>22268.1</v>
      </c>
    </row>
    <row r="328" spans="1:2" x14ac:dyDescent="0.2">
      <c r="A328" s="2">
        <v>46753</v>
      </c>
      <c r="B328" s="4">
        <v>22365.98</v>
      </c>
    </row>
    <row r="329" spans="1:2" x14ac:dyDescent="0.2">
      <c r="A329" s="2">
        <v>46844</v>
      </c>
      <c r="B329" s="4">
        <v>22464.41</v>
      </c>
    </row>
    <row r="330" spans="1:2" x14ac:dyDescent="0.2">
      <c r="A330" s="2">
        <v>46935</v>
      </c>
      <c r="B330" s="4">
        <v>22563.27</v>
      </c>
    </row>
    <row r="331" spans="1:2" x14ac:dyDescent="0.2">
      <c r="A331" s="2">
        <v>47027</v>
      </c>
      <c r="B331" s="4">
        <v>22662.71</v>
      </c>
    </row>
    <row r="332" spans="1:2" x14ac:dyDescent="0.2">
      <c r="A332" s="2">
        <v>47119</v>
      </c>
      <c r="B332" s="4">
        <v>22762.78</v>
      </c>
    </row>
    <row r="333" spans="1:2" x14ac:dyDescent="0.2">
      <c r="A333" s="2">
        <v>47209</v>
      </c>
      <c r="B333" s="4">
        <v>22863.51</v>
      </c>
    </row>
    <row r="334" spans="1:2" x14ac:dyDescent="0.2">
      <c r="A334" s="2">
        <v>47300</v>
      </c>
      <c r="B334" s="4">
        <v>22964.27</v>
      </c>
    </row>
    <row r="335" spans="1:2" x14ac:dyDescent="0.2">
      <c r="A335" s="2">
        <v>47392</v>
      </c>
      <c r="B335" s="4">
        <v>23065.07</v>
      </c>
    </row>
    <row r="336" spans="1:2" x14ac:dyDescent="0.2">
      <c r="A336" s="2">
        <v>47484</v>
      </c>
      <c r="B336" s="4">
        <v>23165.98</v>
      </c>
    </row>
    <row r="337" spans="1:2" x14ac:dyDescent="0.2">
      <c r="A337" s="2">
        <v>47574</v>
      </c>
      <c r="B337" s="4">
        <v>23267.08</v>
      </c>
    </row>
    <row r="338" spans="1:2" x14ac:dyDescent="0.2">
      <c r="A338" s="2">
        <v>47665</v>
      </c>
      <c r="B338" s="4">
        <v>23368.31</v>
      </c>
    </row>
    <row r="339" spans="1:2" x14ac:dyDescent="0.2">
      <c r="A339" s="2">
        <v>47757</v>
      </c>
      <c r="B339" s="4">
        <v>23469.66</v>
      </c>
    </row>
    <row r="340" spans="1:2" x14ac:dyDescent="0.2">
      <c r="A340" s="2">
        <v>47849</v>
      </c>
      <c r="B340" s="4">
        <v>23571.200000000001</v>
      </c>
    </row>
    <row r="341" spans="1:2" x14ac:dyDescent="0.2">
      <c r="A341" s="2">
        <v>47939</v>
      </c>
      <c r="B341" s="4">
        <v>23672.91</v>
      </c>
    </row>
    <row r="342" spans="1:2" x14ac:dyDescent="0.2">
      <c r="A342" s="2">
        <v>48030</v>
      </c>
      <c r="B342" s="4">
        <v>23774.75</v>
      </c>
    </row>
    <row r="343" spans="1:2" x14ac:dyDescent="0.2">
      <c r="A343" s="2">
        <v>48122</v>
      </c>
      <c r="B343" s="4">
        <v>23876.74</v>
      </c>
    </row>
    <row r="344" spans="1:2" x14ac:dyDescent="0.2">
      <c r="A344" s="2">
        <v>48214</v>
      </c>
      <c r="B344" s="4">
        <v>23978.93</v>
      </c>
    </row>
    <row r="345" spans="1:2" x14ac:dyDescent="0.2">
      <c r="A345" s="2">
        <v>48305</v>
      </c>
      <c r="B345" s="4">
        <v>24081.32</v>
      </c>
    </row>
    <row r="346" spans="1:2" x14ac:dyDescent="0.2">
      <c r="A346" s="2">
        <v>48396</v>
      </c>
      <c r="B346" s="4">
        <v>24183.71</v>
      </c>
    </row>
    <row r="347" spans="1:2" x14ac:dyDescent="0.2">
      <c r="A347" s="2">
        <v>48488</v>
      </c>
      <c r="B347" s="4">
        <v>24286.07</v>
      </c>
    </row>
  </sheetData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GDP</vt:lpstr>
      <vt:lpstr>FRED Graph</vt:lpstr>
      <vt:lpstr>FRED Graph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Pinilla</dc:creator>
  <cp:lastModifiedBy>Alejandro Pinilla</cp:lastModifiedBy>
  <dcterms:created xsi:type="dcterms:W3CDTF">2022-09-07T19:43:23Z</dcterms:created>
  <dcterms:modified xsi:type="dcterms:W3CDTF">2023-08-24T15:26:05Z</dcterms:modified>
</cp:coreProperties>
</file>