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SGE\"/>
    </mc:Choice>
  </mc:AlternateContent>
  <xr:revisionPtr revIDLastSave="0" documentId="13_ncr:1_{325D5C36-FBA3-43A6-8D31-BDADD7E05065}" xr6:coauthVersionLast="47" xr6:coauthVersionMax="47" xr10:uidLastSave="{00000000-0000-0000-0000-000000000000}"/>
  <bookViews>
    <workbookView xWindow="-110" yWindow="-110" windowWidth="19420" windowHeight="10300" activeTab="1" xr2:uid="{C792972E-2462-4609-8F6F-AB308C54C25A}"/>
  </bookViews>
  <sheets>
    <sheet name="Data_base" sheetId="1" r:id="rId1"/>
    <sheet name="FBC" sheetId="4" r:id="rId2"/>
    <sheet name="Hoja2" sheetId="5" r:id="rId3"/>
    <sheet name="Months" sheetId="3" r:id="rId4"/>
    <sheet name="Population" sheetId="2" r:id="rId5"/>
  </sheets>
  <definedNames>
    <definedName name="_xlnm._FilterDatabase" localSheetId="2" hidden="1">Hoja2!$A$1:$E$285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" i="5"/>
  <c r="I3" i="4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2" i="4"/>
  <c r="I2" i="4"/>
  <c r="D58" i="4"/>
  <c r="D59" i="4" s="1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47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3" i="4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2" i="1"/>
  <c r="R2" i="1"/>
  <c r="Q2" i="1"/>
  <c r="P2" i="1"/>
  <c r="O2" i="1"/>
  <c r="N2" i="1"/>
  <c r="M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H59" i="4" l="1"/>
  <c r="E59" i="4"/>
  <c r="D60" i="4"/>
  <c r="I60" i="4"/>
  <c r="D61" i="4"/>
  <c r="E58" i="4"/>
  <c r="C31" i="2"/>
  <c r="C32" i="2"/>
  <c r="D32" i="2" s="1"/>
  <c r="D3" i="2"/>
  <c r="C4" i="2"/>
  <c r="D4" i="2" s="1"/>
  <c r="C5" i="2"/>
  <c r="C6" i="2"/>
  <c r="C7" i="2"/>
  <c r="D7" i="2" s="1"/>
  <c r="C8" i="2"/>
  <c r="C9" i="2"/>
  <c r="C10" i="2"/>
  <c r="C11" i="2"/>
  <c r="D11" i="2" s="1"/>
  <c r="C12" i="2"/>
  <c r="D12" i="2" s="1"/>
  <c r="C13" i="2"/>
  <c r="C14" i="2"/>
  <c r="C15" i="2"/>
  <c r="D15" i="2" s="1"/>
  <c r="C16" i="2"/>
  <c r="C17" i="2"/>
  <c r="C18" i="2"/>
  <c r="C19" i="2"/>
  <c r="D19" i="2" s="1"/>
  <c r="C20" i="2"/>
  <c r="D20" i="2" s="1"/>
  <c r="C21" i="2"/>
  <c r="C22" i="2"/>
  <c r="C23" i="2"/>
  <c r="D23" i="2" s="1"/>
  <c r="C24" i="2"/>
  <c r="C25" i="2"/>
  <c r="C26" i="2"/>
  <c r="C27" i="2"/>
  <c r="D27" i="2" s="1"/>
  <c r="C28" i="2"/>
  <c r="D28" i="2" s="1"/>
  <c r="C29" i="2"/>
  <c r="C30" i="2"/>
  <c r="D31" i="2"/>
  <c r="C3" i="2"/>
  <c r="D5" i="2"/>
  <c r="D6" i="2"/>
  <c r="D8" i="2"/>
  <c r="D9" i="2"/>
  <c r="D10" i="2"/>
  <c r="D13" i="2"/>
  <c r="D14" i="2"/>
  <c r="D16" i="2"/>
  <c r="D17" i="2"/>
  <c r="D18" i="2"/>
  <c r="D21" i="2"/>
  <c r="D22" i="2"/>
  <c r="D24" i="2"/>
  <c r="D25" i="2"/>
  <c r="D26" i="2"/>
  <c r="D29" i="2"/>
  <c r="D30" i="2"/>
  <c r="H61" i="4" l="1"/>
  <c r="E61" i="4"/>
  <c r="D62" i="4"/>
  <c r="E60" i="4"/>
  <c r="H60" i="4"/>
  <c r="I61" i="4" s="1"/>
  <c r="I62" i="4" s="1"/>
  <c r="D63" i="4" l="1"/>
  <c r="H62" i="4"/>
  <c r="E62" i="4"/>
  <c r="H63" i="4" l="1"/>
  <c r="D64" i="4"/>
  <c r="E63" i="4"/>
  <c r="I63" i="4"/>
  <c r="H64" i="4" l="1"/>
  <c r="E64" i="4"/>
  <c r="D65" i="4"/>
  <c r="I64" i="4"/>
  <c r="I65" i="4" s="1"/>
  <c r="H65" i="4" l="1"/>
  <c r="I66" i="4" s="1"/>
  <c r="E65" i="4"/>
  <c r="D66" i="4"/>
  <c r="H66" i="4" l="1"/>
  <c r="I67" i="4" s="1"/>
  <c r="D67" i="4"/>
  <c r="E66" i="4"/>
  <c r="H67" i="4" l="1"/>
  <c r="I68" i="4" s="1"/>
  <c r="E67" i="4"/>
  <c r="D68" i="4"/>
  <c r="H68" i="4" l="1"/>
  <c r="I69" i="4" s="1"/>
  <c r="E68" i="4"/>
  <c r="D69" i="4"/>
  <c r="H69" i="4" l="1"/>
  <c r="I70" i="4" s="1"/>
  <c r="E69" i="4"/>
  <c r="D70" i="4"/>
  <c r="H70" i="4" l="1"/>
  <c r="I71" i="4" s="1"/>
  <c r="D71" i="4"/>
  <c r="E70" i="4"/>
  <c r="H71" i="4" l="1"/>
  <c r="I72" i="4" s="1"/>
  <c r="E71" i="4"/>
  <c r="D72" i="4"/>
  <c r="H72" i="4" l="1"/>
  <c r="I73" i="4" s="1"/>
  <c r="D73" i="4"/>
  <c r="E72" i="4"/>
  <c r="H73" i="4" l="1"/>
  <c r="I74" i="4" s="1"/>
  <c r="E73" i="4"/>
  <c r="D74" i="4"/>
  <c r="H74" i="4" l="1"/>
  <c r="I75" i="4" s="1"/>
  <c r="D75" i="4"/>
  <c r="E74" i="4"/>
  <c r="H75" i="4" l="1"/>
  <c r="I76" i="4" s="1"/>
  <c r="E75" i="4"/>
  <c r="D76" i="4"/>
  <c r="I77" i="4" l="1"/>
  <c r="H76" i="4"/>
  <c r="E76" i="4"/>
  <c r="D77" i="4"/>
  <c r="H77" i="4" l="1"/>
  <c r="I78" i="4" s="1"/>
  <c r="E77" i="4"/>
  <c r="D78" i="4"/>
  <c r="I79" i="4" l="1"/>
  <c r="H78" i="4"/>
  <c r="D79" i="4"/>
  <c r="E78" i="4"/>
  <c r="I80" i="4" l="1"/>
  <c r="H79" i="4"/>
  <c r="D80" i="4"/>
  <c r="E79" i="4"/>
  <c r="H80" i="4" l="1"/>
  <c r="I81" i="4" s="1"/>
  <c r="E80" i="4"/>
  <c r="D81" i="4"/>
  <c r="I82" i="4" l="1"/>
  <c r="H81" i="4"/>
  <c r="D82" i="4"/>
  <c r="E81" i="4"/>
  <c r="I83" i="4" l="1"/>
  <c r="H82" i="4"/>
  <c r="E82" i="4"/>
  <c r="D83" i="4"/>
  <c r="H83" i="4" l="1"/>
  <c r="I84" i="4" s="1"/>
  <c r="D84" i="4"/>
  <c r="E83" i="4"/>
  <c r="H84" i="4" l="1"/>
  <c r="I85" i="4" s="1"/>
  <c r="D85" i="4"/>
  <c r="E84" i="4"/>
  <c r="H85" i="4" l="1"/>
  <c r="I86" i="4" s="1"/>
  <c r="E85" i="4"/>
  <c r="D86" i="4"/>
  <c r="H86" i="4" l="1"/>
  <c r="I87" i="4" s="1"/>
  <c r="D87" i="4"/>
  <c r="E86" i="4"/>
  <c r="H87" i="4" l="1"/>
  <c r="I88" i="4" s="1"/>
  <c r="E87" i="4"/>
  <c r="D88" i="4"/>
  <c r="H88" i="4" l="1"/>
  <c r="I89" i="4" s="1"/>
  <c r="E88" i="4"/>
  <c r="D89" i="4"/>
  <c r="H89" i="4" l="1"/>
  <c r="I90" i="4" s="1"/>
  <c r="E89" i="4"/>
  <c r="D90" i="4"/>
  <c r="H90" i="4" l="1"/>
  <c r="I91" i="4" s="1"/>
  <c r="D91" i="4"/>
  <c r="E90" i="4"/>
  <c r="H91" i="4" l="1"/>
  <c r="I92" i="4" s="1"/>
  <c r="D92" i="4"/>
  <c r="E91" i="4"/>
  <c r="H92" i="4" l="1"/>
  <c r="I93" i="4" s="1"/>
  <c r="E92" i="4"/>
  <c r="D93" i="4"/>
  <c r="H93" i="4" l="1"/>
  <c r="I94" i="4" s="1"/>
  <c r="E93" i="4"/>
  <c r="D94" i="4"/>
  <c r="H94" i="4" l="1"/>
  <c r="I95" i="4" s="1"/>
  <c r="D95" i="4"/>
  <c r="E94" i="4"/>
  <c r="H95" i="4" l="1"/>
  <c r="I96" i="4" s="1"/>
  <c r="E95" i="4"/>
  <c r="D96" i="4"/>
  <c r="H96" i="4" l="1"/>
  <c r="I97" i="4" s="1"/>
  <c r="E96" i="4"/>
  <c r="D97" i="4"/>
  <c r="H97" i="4" l="1"/>
  <c r="I98" i="4" s="1"/>
  <c r="E97" i="4"/>
  <c r="D98" i="4"/>
  <c r="H98" i="4" l="1"/>
  <c r="I99" i="4" s="1"/>
  <c r="D99" i="4"/>
  <c r="E98" i="4"/>
  <c r="H99" i="4" l="1"/>
  <c r="I100" i="4" s="1"/>
  <c r="D100" i="4"/>
  <c r="E99" i="4"/>
  <c r="H100" i="4" l="1"/>
  <c r="I101" i="4" s="1"/>
  <c r="E100" i="4"/>
  <c r="D101" i="4"/>
  <c r="H101" i="4" l="1"/>
  <c r="I102" i="4" s="1"/>
  <c r="E101" i="4"/>
  <c r="D102" i="4"/>
  <c r="H102" i="4" l="1"/>
  <c r="I103" i="4" s="1"/>
  <c r="D103" i="4"/>
  <c r="E102" i="4"/>
  <c r="H103" i="4" l="1"/>
  <c r="I104" i="4" s="1"/>
  <c r="E103" i="4"/>
  <c r="D104" i="4"/>
  <c r="H104" i="4" l="1"/>
  <c r="I105" i="4" s="1"/>
  <c r="E104" i="4"/>
  <c r="D105" i="4"/>
  <c r="H105" i="4" l="1"/>
  <c r="I106" i="4" s="1"/>
  <c r="D106" i="4"/>
  <c r="E105" i="4"/>
  <c r="H106" i="4" l="1"/>
  <c r="I107" i="4" s="1"/>
  <c r="D107" i="4"/>
  <c r="E106" i="4"/>
  <c r="H107" i="4" l="1"/>
  <c r="I108" i="4" s="1"/>
  <c r="D108" i="4"/>
  <c r="E107" i="4"/>
  <c r="I109" i="4" l="1"/>
  <c r="H108" i="4"/>
  <c r="D109" i="4"/>
  <c r="E108" i="4"/>
  <c r="H109" i="4" l="1"/>
  <c r="I110" i="4" s="1"/>
  <c r="E109" i="4"/>
  <c r="D110" i="4"/>
  <c r="H110" i="4" l="1"/>
  <c r="I111" i="4" s="1"/>
  <c r="E110" i="4"/>
  <c r="D111" i="4"/>
  <c r="H111" i="4" l="1"/>
  <c r="I112" i="4" s="1"/>
  <c r="E111" i="4"/>
  <c r="D112" i="4"/>
  <c r="H112" i="4" l="1"/>
  <c r="I113" i="4" s="1"/>
  <c r="E112" i="4"/>
  <c r="D113" i="4"/>
  <c r="H113" i="4" l="1"/>
  <c r="I114" i="4" s="1"/>
  <c r="D114" i="4"/>
  <c r="E113" i="4"/>
  <c r="H114" i="4" l="1"/>
  <c r="I115" i="4" s="1"/>
  <c r="D115" i="4"/>
  <c r="E114" i="4"/>
  <c r="H115" i="4" l="1"/>
  <c r="I116" i="4" s="1"/>
  <c r="E115" i="4"/>
  <c r="D116" i="4"/>
  <c r="H116" i="4" l="1"/>
  <c r="I117" i="4" s="1"/>
  <c r="E116" i="4"/>
  <c r="D117" i="4"/>
  <c r="E117" i="4" l="1"/>
  <c r="H117" i="4"/>
</calcChain>
</file>

<file path=xl/sharedStrings.xml><?xml version="1.0" encoding="utf-8"?>
<sst xmlns="http://schemas.openxmlformats.org/spreadsheetml/2006/main" count="40" uniqueCount="32">
  <si>
    <t>Year</t>
  </si>
  <si>
    <t>Quarter</t>
  </si>
  <si>
    <t>GDP_1994</t>
  </si>
  <si>
    <t>Weekly_hours_f</t>
  </si>
  <si>
    <t>Weekly_hours_i</t>
  </si>
  <si>
    <t>Population</t>
  </si>
  <si>
    <t>Growth</t>
  </si>
  <si>
    <t>Quarterly growth</t>
  </si>
  <si>
    <t>GDPpc_1994</t>
  </si>
  <si>
    <t>Consumption_1994</t>
  </si>
  <si>
    <t>Consumptionpc_1994</t>
  </si>
  <si>
    <t>Manufactura_1999</t>
  </si>
  <si>
    <t>Minorista_1999</t>
  </si>
  <si>
    <t>Month</t>
  </si>
  <si>
    <t>lny</t>
  </si>
  <si>
    <t>lnc</t>
  </si>
  <si>
    <t>lnw_i</t>
  </si>
  <si>
    <t>lnw_f</t>
  </si>
  <si>
    <t>lnn_f</t>
  </si>
  <si>
    <t>lnn_i</t>
  </si>
  <si>
    <t>Wmarkup</t>
  </si>
  <si>
    <t>FBC_1994</t>
  </si>
  <si>
    <t>Var %</t>
  </si>
  <si>
    <t>FBC_2015</t>
  </si>
  <si>
    <t>Depreciación</t>
  </si>
  <si>
    <t>Capital</t>
  </si>
  <si>
    <t>Trabajo</t>
  </si>
  <si>
    <t>Poblacion</t>
  </si>
  <si>
    <t>Empleo</t>
  </si>
  <si>
    <t>Trimestre</t>
  </si>
  <si>
    <t>Filtro</t>
  </si>
  <si>
    <t>Tasa 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</si>
</sst>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000_);_(* \(#,##0.000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0" fontId="0" fillId="0" borderId="0" xfId="2" applyNumberFormat="1" applyFont="1"/>
    <xf numFmtId="165" fontId="0" fillId="0" borderId="0" xfId="0" applyNumberFormat="1"/>
    <xf numFmtId="0" fontId="0" fillId="0" borderId="0" xfId="0" applyBorder="1"/>
    <xf numFmtId="3" fontId="2" fillId="0" borderId="0" xfId="0" applyNumberFormat="1" applyFont="1" applyBorder="1"/>
    <xf numFmtId="3" fontId="3" fillId="0" borderId="0" xfId="0" applyNumberFormat="1" applyFont="1" applyBorder="1"/>
    <xf numFmtId="10" fontId="2" fillId="0" borderId="0" xfId="2" applyNumberFormat="1" applyFont="1" applyBorder="1"/>
    <xf numFmtId="164" fontId="0" fillId="2" borderId="0" xfId="1" applyNumberFormat="1" applyFont="1" applyFill="1" applyBorder="1"/>
    <xf numFmtId="10" fontId="2" fillId="2" borderId="0" xfId="2" applyNumberFormat="1" applyFont="1" applyFill="1" applyBorder="1"/>
    <xf numFmtId="3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5A50-D366-43ED-A42A-AE2381191219}">
  <dimension ref="A1:S117"/>
  <sheetViews>
    <sheetView workbookViewId="0">
      <selection activeCell="D3" sqref="D3"/>
    </sheetView>
  </sheetViews>
  <sheetFormatPr baseColWidth="10" defaultRowHeight="14.5" x14ac:dyDescent="0.35"/>
  <cols>
    <col min="4" max="4" width="13.54296875" bestFit="1" customWidth="1"/>
    <col min="5" max="5" width="17.1796875" bestFit="1" customWidth="1"/>
    <col min="6" max="6" width="14.36328125" bestFit="1" customWidth="1"/>
    <col min="7" max="7" width="14.1796875" bestFit="1" customWidth="1"/>
    <col min="8" max="8" width="14.54296875" bestFit="1" customWidth="1"/>
    <col min="9" max="9" width="11.26953125" bestFit="1" customWidth="1"/>
    <col min="10" max="10" width="19" bestFit="1" customWidth="1"/>
    <col min="11" max="12" width="16.7265625" bestFit="1" customWidth="1"/>
    <col min="13" max="13" width="15.26953125" bestFit="1" customWidth="1"/>
    <col min="14" max="14" width="15.08984375" bestFit="1" customWidth="1"/>
    <col min="17" max="17" width="11.1796875" bestFit="1" customWidth="1"/>
  </cols>
  <sheetData>
    <row r="1" spans="1:19" x14ac:dyDescent="0.35">
      <c r="A1" t="s">
        <v>0</v>
      </c>
      <c r="B1" t="s">
        <v>1</v>
      </c>
      <c r="C1" t="s">
        <v>13</v>
      </c>
      <c r="D1" t="s">
        <v>2</v>
      </c>
      <c r="E1" t="s">
        <v>9</v>
      </c>
      <c r="F1" t="s">
        <v>3</v>
      </c>
      <c r="G1" t="s">
        <v>4</v>
      </c>
      <c r="H1" t="s">
        <v>5</v>
      </c>
      <c r="I1" t="s">
        <v>8</v>
      </c>
      <c r="J1" t="s">
        <v>10</v>
      </c>
      <c r="K1" t="s">
        <v>12</v>
      </c>
      <c r="L1" t="s">
        <v>11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</row>
    <row r="2" spans="1:19" x14ac:dyDescent="0.35">
      <c r="A2">
        <v>1994</v>
      </c>
      <c r="B2">
        <v>1</v>
      </c>
      <c r="C2">
        <v>3</v>
      </c>
      <c r="D2" s="1">
        <v>16483795</v>
      </c>
      <c r="E2" s="1">
        <v>10898334</v>
      </c>
      <c r="F2">
        <v>48</v>
      </c>
      <c r="G2">
        <v>46</v>
      </c>
      <c r="H2" s="1">
        <v>35180580.507035635</v>
      </c>
      <c r="I2" s="2">
        <v>468548.124062463</v>
      </c>
      <c r="J2" s="2">
        <v>309782.66540600383</v>
      </c>
      <c r="K2">
        <v>49.712099413002136</v>
      </c>
      <c r="L2">
        <v>111.21</v>
      </c>
      <c r="M2">
        <f>+LN(I2)</f>
        <v>13.057394094835628</v>
      </c>
      <c r="N2">
        <f>+LN(J2)</f>
        <v>12.643626251254817</v>
      </c>
      <c r="O2" s="4">
        <f>+LN(K2)</f>
        <v>3.9062483524274603</v>
      </c>
      <c r="P2">
        <f>+LN(L2)</f>
        <v>4.7114203058307504</v>
      </c>
      <c r="Q2">
        <f>+LN(F2)</f>
        <v>3.8712010109078911</v>
      </c>
      <c r="R2">
        <f>+LN(G2)</f>
        <v>3.8286413964890951</v>
      </c>
      <c r="S2">
        <f>+P2-0.1*N2-Q2</f>
        <v>-0.42414333020262251</v>
      </c>
    </row>
    <row r="3" spans="1:19" x14ac:dyDescent="0.35">
      <c r="A3">
        <v>1994</v>
      </c>
      <c r="B3">
        <v>2</v>
      </c>
      <c r="C3">
        <v>6</v>
      </c>
      <c r="D3" s="1">
        <v>16770334</v>
      </c>
      <c r="E3" s="1">
        <v>11041838</v>
      </c>
      <c r="F3">
        <v>48</v>
      </c>
      <c r="G3">
        <v>46</v>
      </c>
      <c r="H3" s="1">
        <v>35329480.570107341</v>
      </c>
      <c r="I3" s="2">
        <v>474683.85408953798</v>
      </c>
      <c r="J3" s="2">
        <v>312538.92844783625</v>
      </c>
      <c r="K3">
        <v>64.652833688006382</v>
      </c>
      <c r="L3">
        <v>110.92</v>
      </c>
      <c r="M3">
        <f t="shared" ref="M3:M66" si="0">+LN(I3)</f>
        <v>13.070404291088698</v>
      </c>
      <c r="N3">
        <f t="shared" ref="N3:N66" si="1">+LN(J3)</f>
        <v>12.652484311433343</v>
      </c>
      <c r="O3" s="4">
        <f t="shared" ref="O3:O66" si="2">+LN(K3)</f>
        <v>4.1690319354716356</v>
      </c>
      <c r="P3">
        <f t="shared" ref="P3:P66" si="3">+LN(L3)</f>
        <v>4.7088092207475771</v>
      </c>
      <c r="Q3">
        <f t="shared" ref="Q3:Q66" si="4">+LN(F3)</f>
        <v>3.8712010109078911</v>
      </c>
      <c r="R3">
        <f t="shared" ref="R3:R66" si="5">+LN(G3)</f>
        <v>3.8286413964890951</v>
      </c>
      <c r="S3">
        <f t="shared" ref="S3:S66" si="6">+P3-0.1*N3-Q3</f>
        <v>-0.42764022130364809</v>
      </c>
    </row>
    <row r="4" spans="1:19" x14ac:dyDescent="0.35">
      <c r="A4">
        <v>1994</v>
      </c>
      <c r="B4">
        <v>3</v>
      </c>
      <c r="C4">
        <v>9</v>
      </c>
      <c r="D4" s="1">
        <v>17108890</v>
      </c>
      <c r="E4" s="1">
        <v>11161623</v>
      </c>
      <c r="F4">
        <v>48</v>
      </c>
      <c r="G4">
        <v>46</v>
      </c>
      <c r="H4" s="1">
        <v>35479010.84531492</v>
      </c>
      <c r="I4" s="2">
        <v>482225.67631868651</v>
      </c>
      <c r="J4" s="2">
        <v>314597.91956048616</v>
      </c>
      <c r="K4">
        <v>54.292910155073244</v>
      </c>
      <c r="L4">
        <v>111.7</v>
      </c>
      <c r="M4">
        <f t="shared" si="0"/>
        <v>13.086167491587567</v>
      </c>
      <c r="N4">
        <f t="shared" si="1"/>
        <v>12.659050656617145</v>
      </c>
      <c r="O4" s="4">
        <f t="shared" si="2"/>
        <v>3.9943936503686071</v>
      </c>
      <c r="P4">
        <f t="shared" si="3"/>
        <v>4.715816706075155</v>
      </c>
      <c r="Q4">
        <f t="shared" si="4"/>
        <v>3.8712010109078911</v>
      </c>
      <c r="R4">
        <f t="shared" si="5"/>
        <v>3.8286413964890951</v>
      </c>
      <c r="S4">
        <f t="shared" si="6"/>
        <v>-0.42128937049445048</v>
      </c>
    </row>
    <row r="5" spans="1:19" x14ac:dyDescent="0.35">
      <c r="A5">
        <v>1994</v>
      </c>
      <c r="B5">
        <v>4</v>
      </c>
      <c r="C5">
        <v>12</v>
      </c>
      <c r="D5" s="1">
        <v>17169843</v>
      </c>
      <c r="E5" s="1">
        <v>11244801</v>
      </c>
      <c r="F5">
        <v>48</v>
      </c>
      <c r="G5">
        <v>46</v>
      </c>
      <c r="H5" s="1">
        <v>35629174.000000007</v>
      </c>
      <c r="I5" s="2">
        <v>481904.04301822989</v>
      </c>
      <c r="J5" s="2">
        <v>315606.55882732495</v>
      </c>
      <c r="K5">
        <v>89.852047936257762</v>
      </c>
      <c r="L5">
        <v>107.4</v>
      </c>
      <c r="M5">
        <f t="shared" si="0"/>
        <v>13.085500292338468</v>
      </c>
      <c r="N5">
        <f t="shared" si="1"/>
        <v>12.662251649827027</v>
      </c>
      <c r="O5" s="4">
        <f t="shared" si="2"/>
        <v>4.4981644058051824</v>
      </c>
      <c r="P5">
        <f t="shared" si="3"/>
        <v>4.6765601820747644</v>
      </c>
      <c r="Q5">
        <f t="shared" si="4"/>
        <v>3.8712010109078911</v>
      </c>
      <c r="R5">
        <f t="shared" si="5"/>
        <v>3.8286413964890951</v>
      </c>
      <c r="S5">
        <f t="shared" si="6"/>
        <v>-0.46086599381582927</v>
      </c>
    </row>
    <row r="6" spans="1:19" x14ac:dyDescent="0.35">
      <c r="A6">
        <v>1995</v>
      </c>
      <c r="B6">
        <v>1</v>
      </c>
      <c r="C6">
        <v>3</v>
      </c>
      <c r="D6" s="1">
        <v>17502275</v>
      </c>
      <c r="E6" s="1">
        <v>11445383</v>
      </c>
      <c r="F6">
        <v>48</v>
      </c>
      <c r="G6">
        <v>45</v>
      </c>
      <c r="H6" s="1">
        <v>35778397.899094298</v>
      </c>
      <c r="I6" s="2">
        <v>489185.54288991948</v>
      </c>
      <c r="J6" s="2">
        <v>319896.46468462271</v>
      </c>
      <c r="K6">
        <v>61.869476019121649</v>
      </c>
      <c r="L6">
        <v>114.97</v>
      </c>
      <c r="M6">
        <f t="shared" si="0"/>
        <v>13.100497129803113</v>
      </c>
      <c r="N6">
        <f t="shared" si="1"/>
        <v>12.675752674562453</v>
      </c>
      <c r="O6" s="4">
        <f t="shared" si="2"/>
        <v>4.1250269404448341</v>
      </c>
      <c r="P6">
        <f t="shared" si="3"/>
        <v>4.7446712247656491</v>
      </c>
      <c r="Q6">
        <f t="shared" si="4"/>
        <v>3.8712010109078911</v>
      </c>
      <c r="R6">
        <f t="shared" si="5"/>
        <v>3.8066624897703196</v>
      </c>
      <c r="S6">
        <f t="shared" si="6"/>
        <v>-0.39410505359848758</v>
      </c>
    </row>
    <row r="7" spans="1:19" x14ac:dyDescent="0.35">
      <c r="A7">
        <v>1995</v>
      </c>
      <c r="B7">
        <v>2</v>
      </c>
      <c r="C7">
        <v>6</v>
      </c>
      <c r="D7" s="1">
        <v>17701107</v>
      </c>
      <c r="E7" s="1">
        <v>11613385</v>
      </c>
      <c r="F7">
        <v>48</v>
      </c>
      <c r="G7">
        <v>45</v>
      </c>
      <c r="H7" s="1">
        <v>35928246.785230421</v>
      </c>
      <c r="I7" s="2">
        <v>492679.39807395969</v>
      </c>
      <c r="J7" s="2">
        <v>323238.28850936564</v>
      </c>
      <c r="K7">
        <v>79.002342216715633</v>
      </c>
      <c r="L7">
        <v>113.22</v>
      </c>
      <c r="M7">
        <f t="shared" si="0"/>
        <v>13.107613933316344</v>
      </c>
      <c r="N7">
        <f t="shared" si="1"/>
        <v>12.686145065534967</v>
      </c>
      <c r="O7" s="4">
        <f t="shared" si="2"/>
        <v>4.3694775003403752</v>
      </c>
      <c r="P7">
        <f t="shared" si="3"/>
        <v>4.7293328286085137</v>
      </c>
      <c r="Q7">
        <f t="shared" si="4"/>
        <v>3.8712010109078911</v>
      </c>
      <c r="R7">
        <f t="shared" si="5"/>
        <v>3.8066624897703196</v>
      </c>
      <c r="S7">
        <f t="shared" si="6"/>
        <v>-0.41048268885287431</v>
      </c>
    </row>
    <row r="8" spans="1:19" x14ac:dyDescent="0.35">
      <c r="A8">
        <v>1995</v>
      </c>
      <c r="B8">
        <v>3</v>
      </c>
      <c r="C8">
        <v>9</v>
      </c>
      <c r="D8" s="1">
        <v>17774801</v>
      </c>
      <c r="E8" s="1">
        <v>11701709</v>
      </c>
      <c r="F8">
        <v>48</v>
      </c>
      <c r="G8">
        <v>45</v>
      </c>
      <c r="H8" s="1">
        <v>36078723.276010543</v>
      </c>
      <c r="I8" s="2">
        <v>492667.12860149395</v>
      </c>
      <c r="J8" s="2">
        <v>324338.22312611318</v>
      </c>
      <c r="K8">
        <v>66.583431433280637</v>
      </c>
      <c r="L8">
        <v>113.78</v>
      </c>
      <c r="M8">
        <f t="shared" si="0"/>
        <v>13.107589029443171</v>
      </c>
      <c r="N8">
        <f t="shared" si="1"/>
        <v>12.689542148828664</v>
      </c>
      <c r="O8" s="4">
        <f t="shared" si="2"/>
        <v>4.1984557693180751</v>
      </c>
      <c r="P8">
        <f t="shared" si="3"/>
        <v>4.7342667593225016</v>
      </c>
      <c r="Q8">
        <f t="shared" si="4"/>
        <v>3.8712010109078911</v>
      </c>
      <c r="R8">
        <f t="shared" si="5"/>
        <v>3.8066624897703196</v>
      </c>
      <c r="S8">
        <f t="shared" si="6"/>
        <v>-0.40588846646825605</v>
      </c>
    </row>
    <row r="9" spans="1:19" x14ac:dyDescent="0.35">
      <c r="A9">
        <v>1995</v>
      </c>
      <c r="B9">
        <v>4</v>
      </c>
      <c r="C9">
        <v>12</v>
      </c>
      <c r="D9" s="1">
        <v>18068034</v>
      </c>
      <c r="E9" s="1">
        <v>11824135</v>
      </c>
      <c r="F9">
        <v>48</v>
      </c>
      <c r="G9">
        <v>45</v>
      </c>
      <c r="H9" s="1">
        <v>36229830.000000007</v>
      </c>
      <c r="I9" s="2">
        <v>498706.01104117784</v>
      </c>
      <c r="J9" s="2">
        <v>326364.62826350541</v>
      </c>
      <c r="K9">
        <v>111.10922885733582</v>
      </c>
      <c r="L9">
        <v>109.63</v>
      </c>
      <c r="M9">
        <f t="shared" si="0"/>
        <v>13.119772044882822</v>
      </c>
      <c r="N9">
        <f t="shared" si="1"/>
        <v>12.695770526908982</v>
      </c>
      <c r="O9" s="4">
        <f t="shared" si="2"/>
        <v>4.7105137612184516</v>
      </c>
      <c r="P9">
        <f t="shared" si="3"/>
        <v>4.6971110596864483</v>
      </c>
      <c r="Q9">
        <f t="shared" si="4"/>
        <v>3.8712010109078911</v>
      </c>
      <c r="R9">
        <f t="shared" si="5"/>
        <v>3.8066624897703196</v>
      </c>
      <c r="S9">
        <f t="shared" si="6"/>
        <v>-0.44366700391234115</v>
      </c>
    </row>
    <row r="10" spans="1:19" x14ac:dyDescent="0.35">
      <c r="A10">
        <v>1996</v>
      </c>
      <c r="B10">
        <v>1</v>
      </c>
      <c r="C10">
        <v>3</v>
      </c>
      <c r="D10" s="1">
        <v>18022771</v>
      </c>
      <c r="E10" s="1">
        <v>11709732</v>
      </c>
      <c r="F10">
        <v>48</v>
      </c>
      <c r="G10">
        <v>44</v>
      </c>
      <c r="H10" s="1">
        <v>36379091.066626266</v>
      </c>
      <c r="I10" s="2">
        <v>495415.64870305051</v>
      </c>
      <c r="J10" s="2">
        <v>321880.82925310812</v>
      </c>
      <c r="K10">
        <v>75.865517144549997</v>
      </c>
      <c r="L10">
        <v>119.21</v>
      </c>
      <c r="M10">
        <f t="shared" si="0"/>
        <v>13.113152383554352</v>
      </c>
      <c r="N10">
        <f t="shared" si="1"/>
        <v>12.681936660537067</v>
      </c>
      <c r="O10" s="4">
        <f t="shared" si="2"/>
        <v>4.3289622615960326</v>
      </c>
      <c r="P10">
        <f t="shared" si="3"/>
        <v>4.78088664372991</v>
      </c>
      <c r="Q10">
        <f t="shared" si="4"/>
        <v>3.8712010109078911</v>
      </c>
      <c r="R10">
        <f t="shared" si="5"/>
        <v>3.784189633918261</v>
      </c>
      <c r="S10">
        <f t="shared" si="6"/>
        <v>-0.35850803323168767</v>
      </c>
    </row>
    <row r="11" spans="1:19" x14ac:dyDescent="0.35">
      <c r="A11">
        <v>1996</v>
      </c>
      <c r="B11">
        <v>2</v>
      </c>
      <c r="C11">
        <v>6</v>
      </c>
      <c r="D11" s="1">
        <v>18101677</v>
      </c>
      <c r="E11" s="1">
        <v>11703828</v>
      </c>
      <c r="F11">
        <v>48</v>
      </c>
      <c r="G11">
        <v>44</v>
      </c>
      <c r="H11" s="1">
        <v>36528967.064816117</v>
      </c>
      <c r="I11" s="2">
        <v>495543.08414691332</v>
      </c>
      <c r="J11" s="2">
        <v>320398.54779449443</v>
      </c>
      <c r="K11">
        <v>95.515451666852982</v>
      </c>
      <c r="L11">
        <v>116.62</v>
      </c>
      <c r="M11">
        <f t="shared" si="0"/>
        <v>13.113409579823664</v>
      </c>
      <c r="N11">
        <f t="shared" si="1"/>
        <v>12.67732096168946</v>
      </c>
      <c r="O11" s="4">
        <f t="shared" si="2"/>
        <v>4.5592880319575411</v>
      </c>
      <c r="P11">
        <f t="shared" si="3"/>
        <v>4.7589207857940101</v>
      </c>
      <c r="Q11">
        <f t="shared" si="4"/>
        <v>3.8712010109078911</v>
      </c>
      <c r="R11">
        <f t="shared" si="5"/>
        <v>3.784189633918261</v>
      </c>
      <c r="S11">
        <f t="shared" si="6"/>
        <v>-0.38001232128282725</v>
      </c>
    </row>
    <row r="12" spans="1:19" x14ac:dyDescent="0.35">
      <c r="A12">
        <v>1996</v>
      </c>
      <c r="B12">
        <v>3</v>
      </c>
      <c r="C12">
        <v>9</v>
      </c>
      <c r="D12" s="1">
        <v>18166476</v>
      </c>
      <c r="E12" s="1">
        <v>11797861</v>
      </c>
      <c r="F12">
        <v>48</v>
      </c>
      <c r="G12">
        <v>44</v>
      </c>
      <c r="H12" s="1">
        <v>36679460.52798859</v>
      </c>
      <c r="I12" s="2">
        <v>495276.53183824522</v>
      </c>
      <c r="J12" s="2">
        <v>321647.61504596111</v>
      </c>
      <c r="K12">
        <v>77.271461479573233</v>
      </c>
      <c r="L12">
        <v>116.07</v>
      </c>
      <c r="M12">
        <f t="shared" si="0"/>
        <v>13.112871535742181</v>
      </c>
      <c r="N12">
        <f t="shared" si="1"/>
        <v>12.681211862062586</v>
      </c>
      <c r="O12" s="4">
        <f t="shared" si="2"/>
        <v>4.3473246956992426</v>
      </c>
      <c r="P12">
        <f t="shared" si="3"/>
        <v>4.7541934573805316</v>
      </c>
      <c r="Q12">
        <f t="shared" si="4"/>
        <v>3.8712010109078911</v>
      </c>
      <c r="R12">
        <f t="shared" si="5"/>
        <v>3.784189633918261</v>
      </c>
      <c r="S12">
        <f t="shared" si="6"/>
        <v>-0.38512873973361827</v>
      </c>
    </row>
    <row r="13" spans="1:19" x14ac:dyDescent="0.35">
      <c r="A13">
        <v>1996</v>
      </c>
      <c r="B13">
        <v>4</v>
      </c>
      <c r="C13">
        <v>12</v>
      </c>
      <c r="D13" s="1">
        <v>18215900</v>
      </c>
      <c r="E13" s="1">
        <v>11868986</v>
      </c>
      <c r="F13">
        <v>48</v>
      </c>
      <c r="G13">
        <v>44</v>
      </c>
      <c r="H13" s="1">
        <v>36830574.000000015</v>
      </c>
      <c r="I13" s="2">
        <v>494586.37272392202</v>
      </c>
      <c r="J13" s="2">
        <v>322259.05575080082</v>
      </c>
      <c r="K13">
        <v>120.83830025347169</v>
      </c>
      <c r="L13">
        <v>109.12</v>
      </c>
      <c r="M13">
        <f t="shared" si="0"/>
        <v>13.111477081574888</v>
      </c>
      <c r="N13">
        <f t="shared" si="1"/>
        <v>12.683111022038245</v>
      </c>
      <c r="O13" s="4">
        <f t="shared" si="2"/>
        <v>4.7944532903277821</v>
      </c>
      <c r="P13">
        <f t="shared" si="3"/>
        <v>4.6924481940951521</v>
      </c>
      <c r="Q13">
        <f t="shared" si="4"/>
        <v>3.8712010109078911</v>
      </c>
      <c r="R13">
        <f t="shared" si="5"/>
        <v>3.784189633918261</v>
      </c>
      <c r="S13">
        <f t="shared" si="6"/>
        <v>-0.44706391901656373</v>
      </c>
    </row>
    <row r="14" spans="1:19" x14ac:dyDescent="0.35">
      <c r="A14">
        <v>1997</v>
      </c>
      <c r="B14">
        <v>1</v>
      </c>
      <c r="C14">
        <v>3</v>
      </c>
      <c r="D14" s="1">
        <v>18166262</v>
      </c>
      <c r="E14" s="1">
        <v>11896858</v>
      </c>
      <c r="F14">
        <v>47</v>
      </c>
      <c r="G14">
        <v>44</v>
      </c>
      <c r="H14" s="1">
        <v>36978667.886101589</v>
      </c>
      <c r="I14" s="2">
        <v>491263.28876838146</v>
      </c>
      <c r="J14" s="2">
        <v>321722.18957815476</v>
      </c>
      <c r="K14">
        <v>89.745849209711523</v>
      </c>
      <c r="L14">
        <v>122.14</v>
      </c>
      <c r="M14">
        <f t="shared" si="0"/>
        <v>13.104735492727741</v>
      </c>
      <c r="N14">
        <f t="shared" si="1"/>
        <v>12.681443686845133</v>
      </c>
      <c r="O14" s="4">
        <f t="shared" si="2"/>
        <v>4.4969817779391397</v>
      </c>
      <c r="P14">
        <f t="shared" si="3"/>
        <v>4.8051679277949884</v>
      </c>
      <c r="Q14">
        <f t="shared" si="4"/>
        <v>3.8501476017100584</v>
      </c>
      <c r="R14">
        <f t="shared" si="5"/>
        <v>3.784189633918261</v>
      </c>
      <c r="S14">
        <f t="shared" si="6"/>
        <v>-0.3131240425995836</v>
      </c>
    </row>
    <row r="15" spans="1:19" x14ac:dyDescent="0.35">
      <c r="A15">
        <v>1997</v>
      </c>
      <c r="B15">
        <v>2</v>
      </c>
      <c r="C15">
        <v>6</v>
      </c>
      <c r="D15" s="1">
        <v>18787973</v>
      </c>
      <c r="E15" s="1">
        <v>12110500</v>
      </c>
      <c r="F15">
        <v>47</v>
      </c>
      <c r="G15">
        <v>44</v>
      </c>
      <c r="H15" s="1">
        <v>37127357.250272579</v>
      </c>
      <c r="I15" s="2">
        <v>506041.21573619574</v>
      </c>
      <c r="J15" s="2">
        <v>326188.04291304864</v>
      </c>
      <c r="K15">
        <v>100.97913838931635</v>
      </c>
      <c r="L15">
        <v>122.03</v>
      </c>
      <c r="M15">
        <f t="shared" si="0"/>
        <v>13.134373398976505</v>
      </c>
      <c r="N15">
        <f t="shared" si="1"/>
        <v>12.695229312804537</v>
      </c>
      <c r="O15" s="4">
        <f t="shared" si="2"/>
        <v>4.6149139449059184</v>
      </c>
      <c r="P15">
        <f t="shared" si="3"/>
        <v>4.8042669161437486</v>
      </c>
      <c r="Q15">
        <f t="shared" si="4"/>
        <v>3.8501476017100584</v>
      </c>
      <c r="R15">
        <f t="shared" si="5"/>
        <v>3.784189633918261</v>
      </c>
      <c r="S15">
        <f t="shared" si="6"/>
        <v>-0.31540361684676377</v>
      </c>
    </row>
    <row r="16" spans="1:19" x14ac:dyDescent="0.35">
      <c r="A16">
        <v>1997</v>
      </c>
      <c r="B16">
        <v>3</v>
      </c>
      <c r="C16">
        <v>9</v>
      </c>
      <c r="D16" s="1">
        <v>18934847</v>
      </c>
      <c r="E16" s="1">
        <v>12093688</v>
      </c>
      <c r="F16">
        <v>47</v>
      </c>
      <c r="G16">
        <v>44</v>
      </c>
      <c r="H16" s="1">
        <v>37276644.486900352</v>
      </c>
      <c r="I16" s="2">
        <v>507954.70624117012</v>
      </c>
      <c r="J16" s="2">
        <v>324430.70363401208</v>
      </c>
      <c r="K16">
        <v>87.005288042569305</v>
      </c>
      <c r="L16">
        <v>120.63</v>
      </c>
      <c r="M16">
        <f t="shared" si="0"/>
        <v>13.138147561642967</v>
      </c>
      <c r="N16">
        <f t="shared" si="1"/>
        <v>12.689827244198405</v>
      </c>
      <c r="O16" s="4">
        <f t="shared" si="2"/>
        <v>4.465968898905925</v>
      </c>
      <c r="P16">
        <f t="shared" si="3"/>
        <v>4.7927280095772922</v>
      </c>
      <c r="Q16">
        <f t="shared" si="4"/>
        <v>3.8501476017100584</v>
      </c>
      <c r="R16">
        <f t="shared" si="5"/>
        <v>3.784189633918261</v>
      </c>
      <c r="S16">
        <f t="shared" si="6"/>
        <v>-0.3264023165526071</v>
      </c>
    </row>
    <row r="17" spans="1:19" x14ac:dyDescent="0.35">
      <c r="A17">
        <v>1997</v>
      </c>
      <c r="B17">
        <v>4</v>
      </c>
      <c r="C17">
        <v>12</v>
      </c>
      <c r="D17" s="1">
        <v>19104939</v>
      </c>
      <c r="E17" s="1">
        <v>12084892</v>
      </c>
      <c r="F17">
        <v>47</v>
      </c>
      <c r="G17">
        <v>44</v>
      </c>
      <c r="H17" s="1">
        <v>37426532</v>
      </c>
      <c r="I17" s="2">
        <v>510465.11603052082</v>
      </c>
      <c r="J17" s="2">
        <v>322896.38804899156</v>
      </c>
      <c r="K17">
        <v>137.96324117296521</v>
      </c>
      <c r="L17">
        <v>115.74</v>
      </c>
      <c r="M17">
        <f t="shared" si="0"/>
        <v>13.143077581304984</v>
      </c>
      <c r="N17">
        <f t="shared" si="1"/>
        <v>12.685086770709791</v>
      </c>
      <c r="O17" s="4">
        <f t="shared" si="2"/>
        <v>4.9269872813630187</v>
      </c>
      <c r="P17">
        <f t="shared" si="3"/>
        <v>4.7513462961456927</v>
      </c>
      <c r="Q17">
        <f t="shared" si="4"/>
        <v>3.8501476017100584</v>
      </c>
      <c r="R17">
        <f t="shared" si="5"/>
        <v>3.784189633918261</v>
      </c>
      <c r="S17">
        <f t="shared" si="6"/>
        <v>-0.3673099826353452</v>
      </c>
    </row>
    <row r="18" spans="1:19" x14ac:dyDescent="0.35">
      <c r="A18">
        <v>1998</v>
      </c>
      <c r="B18">
        <v>1</v>
      </c>
      <c r="C18">
        <v>3</v>
      </c>
      <c r="D18" s="1">
        <v>19189485</v>
      </c>
      <c r="E18" s="1">
        <v>12172101</v>
      </c>
      <c r="F18">
        <v>47</v>
      </c>
      <c r="G18">
        <v>43</v>
      </c>
      <c r="H18" s="1">
        <v>37572136.848521359</v>
      </c>
      <c r="I18" s="2">
        <v>510737.12089801446</v>
      </c>
      <c r="J18" s="2">
        <v>323966.16271983553</v>
      </c>
      <c r="K18">
        <v>94.052445329506398</v>
      </c>
      <c r="L18">
        <v>124.66</v>
      </c>
      <c r="M18">
        <f t="shared" si="0"/>
        <v>13.14361029630323</v>
      </c>
      <c r="N18">
        <f t="shared" si="1"/>
        <v>12.688394353270752</v>
      </c>
      <c r="O18" s="4">
        <f t="shared" si="2"/>
        <v>4.5438525557227685</v>
      </c>
      <c r="P18">
        <f t="shared" si="3"/>
        <v>4.8255900313807043</v>
      </c>
      <c r="Q18">
        <f t="shared" si="4"/>
        <v>3.8501476017100584</v>
      </c>
      <c r="R18">
        <f t="shared" si="5"/>
        <v>3.7612001156935624</v>
      </c>
      <c r="S18">
        <f t="shared" si="6"/>
        <v>-0.29339700565642968</v>
      </c>
    </row>
    <row r="19" spans="1:19" x14ac:dyDescent="0.35">
      <c r="A19">
        <v>1998</v>
      </c>
      <c r="B19">
        <v>2</v>
      </c>
      <c r="C19">
        <v>6</v>
      </c>
      <c r="D19" s="1">
        <v>19206928</v>
      </c>
      <c r="E19" s="1">
        <v>12095453</v>
      </c>
      <c r="F19">
        <v>47</v>
      </c>
      <c r="G19">
        <v>43</v>
      </c>
      <c r="H19" s="1">
        <v>37718308.160745874</v>
      </c>
      <c r="I19" s="2">
        <v>509220.29477422312</v>
      </c>
      <c r="J19" s="2">
        <v>320678.56671758031</v>
      </c>
      <c r="K19">
        <v>116.99454037474418</v>
      </c>
      <c r="L19">
        <v>119.52</v>
      </c>
      <c r="M19">
        <f t="shared" si="0"/>
        <v>13.140636001065619</v>
      </c>
      <c r="N19">
        <f t="shared" si="1"/>
        <v>12.678194550637047</v>
      </c>
      <c r="O19" s="4">
        <f t="shared" si="2"/>
        <v>4.7621272702452577</v>
      </c>
      <c r="P19">
        <f t="shared" si="3"/>
        <v>4.7834837213845072</v>
      </c>
      <c r="Q19">
        <f t="shared" si="4"/>
        <v>3.8501476017100584</v>
      </c>
      <c r="R19">
        <f t="shared" si="5"/>
        <v>3.7612001156935624</v>
      </c>
      <c r="S19">
        <f t="shared" si="6"/>
        <v>-0.33448333538925601</v>
      </c>
    </row>
    <row r="20" spans="1:19" x14ac:dyDescent="0.35">
      <c r="A20">
        <v>1998</v>
      </c>
      <c r="B20">
        <v>3</v>
      </c>
      <c r="C20">
        <v>9</v>
      </c>
      <c r="D20" s="1">
        <v>18756143</v>
      </c>
      <c r="E20" s="1">
        <v>11893798</v>
      </c>
      <c r="F20">
        <v>47</v>
      </c>
      <c r="G20">
        <v>43</v>
      </c>
      <c r="H20" s="1">
        <v>37865048.140454039</v>
      </c>
      <c r="I20" s="2">
        <v>495341.8500995228</v>
      </c>
      <c r="J20" s="2">
        <v>314110.20410912868</v>
      </c>
      <c r="K20">
        <v>91.443443778831963</v>
      </c>
      <c r="L20">
        <v>121.47</v>
      </c>
      <c r="M20">
        <f t="shared" si="0"/>
        <v>13.11300340945372</v>
      </c>
      <c r="N20">
        <f t="shared" si="1"/>
        <v>12.657499171815763</v>
      </c>
      <c r="O20" s="4">
        <f t="shared" si="2"/>
        <v>4.515720680400646</v>
      </c>
      <c r="P20">
        <f t="shared" si="3"/>
        <v>4.7996673187121797</v>
      </c>
      <c r="Q20">
        <f t="shared" si="4"/>
        <v>3.8501476017100584</v>
      </c>
      <c r="R20">
        <f t="shared" si="5"/>
        <v>3.7612001156935624</v>
      </c>
      <c r="S20">
        <f t="shared" si="6"/>
        <v>-0.31623020017945525</v>
      </c>
    </row>
    <row r="21" spans="1:19" x14ac:dyDescent="0.35">
      <c r="A21">
        <v>1998</v>
      </c>
      <c r="B21">
        <v>4</v>
      </c>
      <c r="C21">
        <v>12</v>
      </c>
      <c r="D21" s="1">
        <v>18268769</v>
      </c>
      <c r="E21" s="1">
        <v>11612117</v>
      </c>
      <c r="F21">
        <v>47</v>
      </c>
      <c r="G21">
        <v>43</v>
      </c>
      <c r="H21" s="1">
        <v>38012359.000000022</v>
      </c>
      <c r="I21" s="2">
        <v>480600.76987066201</v>
      </c>
      <c r="J21" s="2">
        <v>305482.67209619883</v>
      </c>
      <c r="K21">
        <v>144.31297398706096</v>
      </c>
      <c r="L21">
        <v>115.47</v>
      </c>
      <c r="M21">
        <f t="shared" si="0"/>
        <v>13.082792204178066</v>
      </c>
      <c r="N21">
        <f t="shared" si="1"/>
        <v>12.629648336169115</v>
      </c>
      <c r="O21" s="4">
        <f t="shared" si="2"/>
        <v>4.9719843715584222</v>
      </c>
      <c r="P21">
        <f t="shared" si="3"/>
        <v>4.7490107559637647</v>
      </c>
      <c r="Q21">
        <f t="shared" si="4"/>
        <v>3.8501476017100584</v>
      </c>
      <c r="R21">
        <f t="shared" si="5"/>
        <v>3.7612001156935624</v>
      </c>
      <c r="S21">
        <f t="shared" si="6"/>
        <v>-0.36410167936320548</v>
      </c>
    </row>
    <row r="22" spans="1:19" x14ac:dyDescent="0.35">
      <c r="A22">
        <v>1999</v>
      </c>
      <c r="B22">
        <v>1</v>
      </c>
      <c r="C22">
        <v>3</v>
      </c>
      <c r="D22" s="1">
        <v>18054608</v>
      </c>
      <c r="E22" s="1">
        <v>11300793</v>
      </c>
      <c r="F22">
        <v>46</v>
      </c>
      <c r="G22">
        <v>43</v>
      </c>
      <c r="H22" s="1">
        <v>38154721.495112449</v>
      </c>
      <c r="I22" s="2">
        <v>473194.59538743494</v>
      </c>
      <c r="J22" s="2">
        <v>296183.34395253315</v>
      </c>
      <c r="K22">
        <v>99.297491679454154</v>
      </c>
      <c r="L22">
        <v>126.19</v>
      </c>
      <c r="M22">
        <f t="shared" si="0"/>
        <v>13.067261989608285</v>
      </c>
      <c r="N22">
        <f t="shared" si="1"/>
        <v>12.598733946798991</v>
      </c>
      <c r="O22" s="4">
        <f t="shared" si="2"/>
        <v>4.5981203107064488</v>
      </c>
      <c r="P22">
        <f t="shared" si="3"/>
        <v>4.8377887076648189</v>
      </c>
      <c r="Q22">
        <f t="shared" si="4"/>
        <v>3.8286413964890951</v>
      </c>
      <c r="R22">
        <f t="shared" si="5"/>
        <v>3.7612001156935624</v>
      </c>
      <c r="S22">
        <f t="shared" si="6"/>
        <v>-0.25072608350417536</v>
      </c>
    </row>
    <row r="23" spans="1:19" x14ac:dyDescent="0.35">
      <c r="A23">
        <v>1999</v>
      </c>
      <c r="B23">
        <v>2</v>
      </c>
      <c r="C23">
        <v>6</v>
      </c>
      <c r="D23" s="1">
        <v>17897182</v>
      </c>
      <c r="E23" s="1">
        <v>11264182</v>
      </c>
      <c r="F23">
        <v>46</v>
      </c>
      <c r="G23">
        <v>43</v>
      </c>
      <c r="H23" s="1">
        <v>38297617.161029018</v>
      </c>
      <c r="I23" s="2">
        <v>467318.42152863386</v>
      </c>
      <c r="J23" s="2">
        <v>294122.26751961565</v>
      </c>
      <c r="K23">
        <v>100.79045513609759</v>
      </c>
      <c r="L23">
        <v>127.34</v>
      </c>
      <c r="M23">
        <f t="shared" si="0"/>
        <v>13.054766149115533</v>
      </c>
      <c r="N23">
        <f t="shared" si="1"/>
        <v>12.591750835785458</v>
      </c>
      <c r="O23" s="4">
        <f t="shared" si="2"/>
        <v>4.6130436600436395</v>
      </c>
      <c r="P23">
        <f t="shared" si="3"/>
        <v>4.8468606745888794</v>
      </c>
      <c r="Q23">
        <f t="shared" si="4"/>
        <v>3.8286413964890951</v>
      </c>
      <c r="R23">
        <f t="shared" si="5"/>
        <v>3.7612001156935624</v>
      </c>
      <c r="S23">
        <f t="shared" si="6"/>
        <v>-0.2409558054787615</v>
      </c>
    </row>
    <row r="24" spans="1:19" x14ac:dyDescent="0.35">
      <c r="A24">
        <v>1999</v>
      </c>
      <c r="B24">
        <v>3</v>
      </c>
      <c r="C24">
        <v>9</v>
      </c>
      <c r="D24" s="1">
        <v>18158139</v>
      </c>
      <c r="E24" s="1">
        <v>11271780</v>
      </c>
      <c r="F24">
        <v>46</v>
      </c>
      <c r="G24">
        <v>43</v>
      </c>
      <c r="H24" s="1">
        <v>38441047.994561486</v>
      </c>
      <c r="I24" s="2">
        <v>472363.2665417695</v>
      </c>
      <c r="J24" s="2">
        <v>293222.4949120715</v>
      </c>
      <c r="K24">
        <v>99.080785633484609</v>
      </c>
      <c r="L24">
        <v>128.51</v>
      </c>
      <c r="M24">
        <f t="shared" si="0"/>
        <v>13.065503601056218</v>
      </c>
      <c r="N24">
        <f t="shared" si="1"/>
        <v>12.588686968125559</v>
      </c>
      <c r="O24" s="4">
        <f t="shared" si="2"/>
        <v>4.5959355338739831</v>
      </c>
      <c r="P24">
        <f t="shared" si="3"/>
        <v>4.8560067223190497</v>
      </c>
      <c r="Q24">
        <f t="shared" si="4"/>
        <v>3.8286413964890951</v>
      </c>
      <c r="R24">
        <f t="shared" si="5"/>
        <v>3.7612001156935624</v>
      </c>
      <c r="S24">
        <f t="shared" si="6"/>
        <v>-0.2315033709826011</v>
      </c>
    </row>
    <row r="25" spans="1:19" x14ac:dyDescent="0.35">
      <c r="A25">
        <v>1999</v>
      </c>
      <c r="B25">
        <v>4</v>
      </c>
      <c r="C25">
        <v>12</v>
      </c>
      <c r="D25" s="1">
        <v>18140672</v>
      </c>
      <c r="E25" s="1">
        <v>11311564</v>
      </c>
      <c r="F25">
        <v>46</v>
      </c>
      <c r="G25">
        <v>43</v>
      </c>
      <c r="H25" s="1">
        <v>38585016.000000015</v>
      </c>
      <c r="I25" s="2">
        <v>470148.10101413442</v>
      </c>
      <c r="J25" s="2">
        <v>293159.50005048577</v>
      </c>
      <c r="K25">
        <v>106.04673465904288</v>
      </c>
      <c r="L25">
        <v>124.66</v>
      </c>
      <c r="M25">
        <f t="shared" si="0"/>
        <v>13.060803032590684</v>
      </c>
      <c r="N25">
        <f t="shared" si="1"/>
        <v>12.588472108657264</v>
      </c>
      <c r="O25" s="4">
        <f t="shared" si="2"/>
        <v>4.6638798899571414</v>
      </c>
      <c r="P25">
        <f t="shared" si="3"/>
        <v>4.8255900313807043</v>
      </c>
      <c r="Q25">
        <f t="shared" si="4"/>
        <v>3.8286413964890951</v>
      </c>
      <c r="R25">
        <f t="shared" si="5"/>
        <v>3.7612001156935624</v>
      </c>
      <c r="S25">
        <f t="shared" si="6"/>
        <v>-0.26189857597411725</v>
      </c>
    </row>
    <row r="26" spans="1:19" x14ac:dyDescent="0.35">
      <c r="A26">
        <v>2000</v>
      </c>
      <c r="B26">
        <v>1</v>
      </c>
      <c r="C26">
        <v>3</v>
      </c>
      <c r="D26" s="1">
        <v>18502920</v>
      </c>
      <c r="E26" s="1">
        <v>11386129</v>
      </c>
      <c r="F26">
        <v>46</v>
      </c>
      <c r="G26">
        <v>42</v>
      </c>
      <c r="H26" s="1">
        <v>38723039.639423639</v>
      </c>
      <c r="I26" s="2">
        <v>477827.15851578745</v>
      </c>
      <c r="J26" s="2">
        <v>294040.16590701381</v>
      </c>
      <c r="K26">
        <v>104.93810614622694</v>
      </c>
      <c r="L26">
        <v>130.88</v>
      </c>
      <c r="M26">
        <f t="shared" si="0"/>
        <v>13.077004353019852</v>
      </c>
      <c r="N26">
        <f t="shared" si="1"/>
        <v>12.591471655720669</v>
      </c>
      <c r="O26" s="4">
        <f t="shared" si="2"/>
        <v>4.6533707110805356</v>
      </c>
      <c r="P26">
        <f t="shared" si="3"/>
        <v>4.8742808728544365</v>
      </c>
      <c r="Q26">
        <f t="shared" si="4"/>
        <v>3.8286413964890951</v>
      </c>
      <c r="R26">
        <f t="shared" si="5"/>
        <v>3.7376696182833684</v>
      </c>
      <c r="S26">
        <f t="shared" si="6"/>
        <v>-0.21350768920672536</v>
      </c>
    </row>
    <row r="27" spans="1:19" x14ac:dyDescent="0.35">
      <c r="A27">
        <v>2000</v>
      </c>
      <c r="B27">
        <v>2</v>
      </c>
      <c r="C27">
        <v>6</v>
      </c>
      <c r="D27" s="1">
        <v>18446610</v>
      </c>
      <c r="E27" s="1">
        <v>11442376</v>
      </c>
      <c r="F27">
        <v>46</v>
      </c>
      <c r="G27">
        <v>42</v>
      </c>
      <c r="H27" s="1">
        <v>38861557.007424183</v>
      </c>
      <c r="I27" s="2">
        <v>474675.0110006124</v>
      </c>
      <c r="J27" s="2">
        <v>294439.46360188368</v>
      </c>
      <c r="K27">
        <v>107.54357875611871</v>
      </c>
      <c r="L27">
        <v>131.21</v>
      </c>
      <c r="M27">
        <f t="shared" si="0"/>
        <v>13.070385661486656</v>
      </c>
      <c r="N27">
        <f t="shared" si="1"/>
        <v>12.592828704414034</v>
      </c>
      <c r="O27" s="4">
        <f t="shared" si="2"/>
        <v>4.6778961491997615</v>
      </c>
      <c r="P27">
        <f t="shared" si="3"/>
        <v>4.8767990931176248</v>
      </c>
      <c r="Q27">
        <f t="shared" si="4"/>
        <v>3.8286413964890951</v>
      </c>
      <c r="R27">
        <f t="shared" si="5"/>
        <v>3.7376696182833684</v>
      </c>
      <c r="S27">
        <f t="shared" si="6"/>
        <v>-0.21112517381287343</v>
      </c>
    </row>
    <row r="28" spans="1:19" x14ac:dyDescent="0.35">
      <c r="A28">
        <v>2000</v>
      </c>
      <c r="B28">
        <v>3</v>
      </c>
      <c r="C28">
        <v>9</v>
      </c>
      <c r="D28" s="1">
        <v>18674390</v>
      </c>
      <c r="E28" s="1">
        <v>11632794</v>
      </c>
      <c r="F28">
        <v>46</v>
      </c>
      <c r="G28">
        <v>42</v>
      </c>
      <c r="H28" s="1">
        <v>39000569.870133221</v>
      </c>
      <c r="I28" s="2">
        <v>478823.51622510306</v>
      </c>
      <c r="J28" s="2">
        <v>298272.41085798689</v>
      </c>
      <c r="K28">
        <v>104.56926906004078</v>
      </c>
      <c r="L28">
        <v>132.93</v>
      </c>
      <c r="M28">
        <f t="shared" si="0"/>
        <v>13.079087366382796</v>
      </c>
      <c r="N28">
        <f t="shared" si="1"/>
        <v>12.605762478320733</v>
      </c>
      <c r="O28" s="4">
        <f t="shared" si="2"/>
        <v>4.649849713627578</v>
      </c>
      <c r="P28">
        <f t="shared" si="3"/>
        <v>4.8898226738795083</v>
      </c>
      <c r="Q28">
        <f t="shared" si="4"/>
        <v>3.8286413964890951</v>
      </c>
      <c r="R28">
        <f t="shared" si="5"/>
        <v>3.7376696182833684</v>
      </c>
      <c r="S28">
        <f t="shared" si="6"/>
        <v>-0.19939497044166021</v>
      </c>
    </row>
    <row r="29" spans="1:19" x14ac:dyDescent="0.35">
      <c r="A29">
        <v>2000</v>
      </c>
      <c r="B29">
        <v>4</v>
      </c>
      <c r="C29">
        <v>12</v>
      </c>
      <c r="D29" s="1">
        <v>18739911</v>
      </c>
      <c r="E29" s="1">
        <v>11580157</v>
      </c>
      <c r="F29">
        <v>46</v>
      </c>
      <c r="G29">
        <v>42</v>
      </c>
      <c r="H29" s="1">
        <v>39140079.999999993</v>
      </c>
      <c r="I29" s="2">
        <v>478790.82004942256</v>
      </c>
      <c r="J29" s="2">
        <v>295864.41826383601</v>
      </c>
      <c r="K29">
        <v>112.77402342625606</v>
      </c>
      <c r="L29">
        <v>130.08000000000001</v>
      </c>
      <c r="M29">
        <f t="shared" si="0"/>
        <v>13.079019079653046</v>
      </c>
      <c r="N29">
        <f t="shared" si="1"/>
        <v>12.597656581964939</v>
      </c>
      <c r="O29" s="4">
        <f t="shared" si="2"/>
        <v>4.7253860237691017</v>
      </c>
      <c r="P29">
        <f t="shared" si="3"/>
        <v>4.8681496457995008</v>
      </c>
      <c r="Q29">
        <f t="shared" si="4"/>
        <v>3.8286413964890951</v>
      </c>
      <c r="R29">
        <f t="shared" si="5"/>
        <v>3.7376696182833684</v>
      </c>
      <c r="S29">
        <f t="shared" si="6"/>
        <v>-0.22025740888608825</v>
      </c>
    </row>
    <row r="30" spans="1:19" x14ac:dyDescent="0.35">
      <c r="A30">
        <v>2001</v>
      </c>
      <c r="B30">
        <v>1</v>
      </c>
      <c r="C30">
        <v>3</v>
      </c>
      <c r="D30" s="1">
        <v>18840355</v>
      </c>
      <c r="E30" s="1">
        <v>11697461</v>
      </c>
      <c r="F30">
        <v>46</v>
      </c>
      <c r="G30">
        <v>41</v>
      </c>
      <c r="H30" s="1">
        <v>39273083.268310122</v>
      </c>
      <c r="I30" s="2">
        <v>479726.91299240279</v>
      </c>
      <c r="J30" s="2">
        <v>297849.31628830906</v>
      </c>
      <c r="K30">
        <v>111.91685167438581</v>
      </c>
      <c r="L30">
        <v>132.87</v>
      </c>
      <c r="M30">
        <f t="shared" si="0"/>
        <v>13.080972289715444</v>
      </c>
      <c r="N30">
        <f t="shared" si="1"/>
        <v>12.604342987564218</v>
      </c>
      <c r="O30" s="4">
        <f t="shared" si="2"/>
        <v>4.7177561998184796</v>
      </c>
      <c r="P30">
        <f t="shared" si="3"/>
        <v>4.8893712066032169</v>
      </c>
      <c r="Q30">
        <f t="shared" si="4"/>
        <v>3.8286413964890951</v>
      </c>
      <c r="R30">
        <f t="shared" si="5"/>
        <v>3.713572066704308</v>
      </c>
      <c r="S30">
        <f t="shared" si="6"/>
        <v>-0.19970448864230006</v>
      </c>
    </row>
    <row r="31" spans="1:19" x14ac:dyDescent="0.35">
      <c r="A31">
        <v>2001</v>
      </c>
      <c r="B31">
        <v>2</v>
      </c>
      <c r="C31">
        <v>6</v>
      </c>
      <c r="D31" s="1">
        <v>18767510</v>
      </c>
      <c r="E31" s="1">
        <v>11775124</v>
      </c>
      <c r="F31">
        <v>46</v>
      </c>
      <c r="G31">
        <v>41</v>
      </c>
      <c r="H31" s="1">
        <v>39406538.499656118</v>
      </c>
      <c r="I31" s="2">
        <v>476253.70597226586</v>
      </c>
      <c r="J31" s="2">
        <v>298811.42694384983</v>
      </c>
      <c r="K31">
        <v>115.88747086370263</v>
      </c>
      <c r="L31">
        <v>130.4</v>
      </c>
      <c r="M31">
        <f t="shared" si="0"/>
        <v>13.073705986961834</v>
      </c>
      <c r="N31">
        <f t="shared" si="1"/>
        <v>12.607567974293531</v>
      </c>
      <c r="O31" s="4">
        <f t="shared" si="2"/>
        <v>4.7526196415142588</v>
      </c>
      <c r="P31">
        <f t="shared" si="3"/>
        <v>4.8706066494925526</v>
      </c>
      <c r="Q31">
        <f t="shared" si="4"/>
        <v>3.8286413964890951</v>
      </c>
      <c r="R31">
        <f t="shared" si="5"/>
        <v>3.713572066704308</v>
      </c>
      <c r="S31">
        <f t="shared" si="6"/>
        <v>-0.21879154442589588</v>
      </c>
    </row>
    <row r="32" spans="1:19" x14ac:dyDescent="0.35">
      <c r="A32">
        <v>2001</v>
      </c>
      <c r="B32">
        <v>3</v>
      </c>
      <c r="C32">
        <v>9</v>
      </c>
      <c r="D32" s="1">
        <v>18876485</v>
      </c>
      <c r="E32" s="1">
        <v>11848151</v>
      </c>
      <c r="F32">
        <v>46</v>
      </c>
      <c r="G32">
        <v>41</v>
      </c>
      <c r="H32" s="1">
        <v>39540447.229869314</v>
      </c>
      <c r="I32" s="2">
        <v>477396.85113476618</v>
      </c>
      <c r="J32" s="2">
        <v>299646.35784518311</v>
      </c>
      <c r="K32">
        <v>114.41785225324412</v>
      </c>
      <c r="L32">
        <v>131.11000000000001</v>
      </c>
      <c r="M32">
        <f t="shared" si="0"/>
        <v>13.076103397001615</v>
      </c>
      <c r="N32">
        <f t="shared" si="1"/>
        <v>12.610358251115926</v>
      </c>
      <c r="O32" s="4">
        <f t="shared" si="2"/>
        <v>4.7398571179357027</v>
      </c>
      <c r="P32">
        <f t="shared" si="3"/>
        <v>4.876036665511311</v>
      </c>
      <c r="Q32">
        <f t="shared" si="4"/>
        <v>3.8286413964890951</v>
      </c>
      <c r="R32">
        <f t="shared" si="5"/>
        <v>3.713572066704308</v>
      </c>
      <c r="S32">
        <f t="shared" si="6"/>
        <v>-0.21364055608937704</v>
      </c>
    </row>
    <row r="33" spans="1:19" x14ac:dyDescent="0.35">
      <c r="A33">
        <v>2001</v>
      </c>
      <c r="B33">
        <v>4</v>
      </c>
      <c r="C33">
        <v>12</v>
      </c>
      <c r="D33" s="1">
        <v>18973758</v>
      </c>
      <c r="E33" s="1">
        <v>11956736</v>
      </c>
      <c r="F33">
        <v>46</v>
      </c>
      <c r="G33">
        <v>41</v>
      </c>
      <c r="H33" s="1">
        <v>39674810.999999985</v>
      </c>
      <c r="I33" s="2">
        <v>478231.84337286459</v>
      </c>
      <c r="J33" s="2">
        <v>301368.44256170507</v>
      </c>
      <c r="K33">
        <v>121.20352404780441</v>
      </c>
      <c r="L33">
        <v>126.12</v>
      </c>
      <c r="M33">
        <f t="shared" si="0"/>
        <v>13.077850921862249</v>
      </c>
      <c r="N33">
        <f t="shared" si="1"/>
        <v>12.616088856845112</v>
      </c>
      <c r="O33" s="4">
        <f t="shared" si="2"/>
        <v>4.7974711495145232</v>
      </c>
      <c r="P33">
        <f t="shared" si="3"/>
        <v>4.8372338346768604</v>
      </c>
      <c r="Q33">
        <f t="shared" si="4"/>
        <v>3.8286413964890951</v>
      </c>
      <c r="R33">
        <f t="shared" si="5"/>
        <v>3.713572066704308</v>
      </c>
      <c r="S33">
        <f t="shared" si="6"/>
        <v>-0.25301644749674601</v>
      </c>
    </row>
    <row r="34" spans="1:19" x14ac:dyDescent="0.35">
      <c r="A34">
        <v>2002</v>
      </c>
      <c r="B34">
        <v>1</v>
      </c>
      <c r="C34">
        <v>3</v>
      </c>
      <c r="D34" s="1">
        <v>18941666</v>
      </c>
      <c r="E34" s="1">
        <v>12061461</v>
      </c>
      <c r="F34">
        <v>45</v>
      </c>
      <c r="G34">
        <v>41</v>
      </c>
      <c r="H34" s="1">
        <v>39803153.896805108</v>
      </c>
      <c r="I34" s="2">
        <v>475883.54553784232</v>
      </c>
      <c r="J34" s="2">
        <v>303027.77089652041</v>
      </c>
      <c r="K34">
        <v>117.75490611801089</v>
      </c>
      <c r="L34">
        <v>135.19692443919718</v>
      </c>
      <c r="M34">
        <f t="shared" si="0"/>
        <v>13.072928451049894</v>
      </c>
      <c r="N34">
        <f t="shared" si="1"/>
        <v>12.621579733415444</v>
      </c>
      <c r="O34" s="4">
        <f t="shared" si="2"/>
        <v>4.7686053975742828</v>
      </c>
      <c r="P34">
        <f t="shared" si="3"/>
        <v>4.906732415119329</v>
      </c>
      <c r="Q34">
        <f t="shared" si="4"/>
        <v>3.8066624897703196</v>
      </c>
      <c r="R34">
        <f t="shared" si="5"/>
        <v>3.713572066704308</v>
      </c>
      <c r="S34">
        <f t="shared" si="6"/>
        <v>-0.16208804799253507</v>
      </c>
    </row>
    <row r="35" spans="1:19" x14ac:dyDescent="0.35">
      <c r="A35">
        <v>2002</v>
      </c>
      <c r="B35">
        <v>2</v>
      </c>
      <c r="C35">
        <v>6</v>
      </c>
      <c r="D35" s="1">
        <v>19230503</v>
      </c>
      <c r="E35" s="1">
        <v>12158996</v>
      </c>
      <c r="F35">
        <v>45</v>
      </c>
      <c r="G35">
        <v>41</v>
      </c>
      <c r="H35" s="1">
        <v>39931911.966329247</v>
      </c>
      <c r="I35" s="2">
        <v>481582.32483872148</v>
      </c>
      <c r="J35" s="2">
        <v>304493.20859598502</v>
      </c>
      <c r="K35">
        <v>121.08434605219978</v>
      </c>
      <c r="L35">
        <v>134.88127872127873</v>
      </c>
      <c r="M35">
        <f t="shared" si="0"/>
        <v>13.084832471386978</v>
      </c>
      <c r="N35">
        <f t="shared" si="1"/>
        <v>12.626404062421901</v>
      </c>
      <c r="O35" s="4">
        <f t="shared" si="2"/>
        <v>4.7964873775645103</v>
      </c>
      <c r="P35">
        <f t="shared" si="3"/>
        <v>4.9043949746451334</v>
      </c>
      <c r="Q35">
        <f t="shared" si="4"/>
        <v>3.8066624897703196</v>
      </c>
      <c r="R35">
        <f t="shared" si="5"/>
        <v>3.713572066704308</v>
      </c>
      <c r="S35">
        <f t="shared" si="6"/>
        <v>-0.16490792136737653</v>
      </c>
    </row>
    <row r="36" spans="1:19" x14ac:dyDescent="0.35">
      <c r="A36">
        <v>2002</v>
      </c>
      <c r="B36">
        <v>3</v>
      </c>
      <c r="C36">
        <v>9</v>
      </c>
      <c r="D36" s="1">
        <v>19285022</v>
      </c>
      <c r="E36" s="1">
        <v>12232330</v>
      </c>
      <c r="F36">
        <v>45</v>
      </c>
      <c r="G36">
        <v>41</v>
      </c>
      <c r="H36" s="1">
        <v>40061086.551602639</v>
      </c>
      <c r="I36" s="2">
        <v>481390.388030514</v>
      </c>
      <c r="J36" s="2">
        <v>305341.94284130435</v>
      </c>
      <c r="K36">
        <v>123.02747546285921</v>
      </c>
      <c r="L36">
        <v>135.29062084036954</v>
      </c>
      <c r="M36">
        <f t="shared" si="0"/>
        <v>13.084433837431551</v>
      </c>
      <c r="N36">
        <f t="shared" si="1"/>
        <v>12.629187551669135</v>
      </c>
      <c r="O36" s="4">
        <f t="shared" si="2"/>
        <v>4.8124077081741463</v>
      </c>
      <c r="P36">
        <f t="shared" si="3"/>
        <v>4.9074252115645267</v>
      </c>
      <c r="Q36">
        <f t="shared" si="4"/>
        <v>3.8066624897703196</v>
      </c>
      <c r="R36">
        <f t="shared" si="5"/>
        <v>3.713572066704308</v>
      </c>
      <c r="S36">
        <f t="shared" si="6"/>
        <v>-0.16215603337270679</v>
      </c>
    </row>
    <row r="37" spans="1:19" x14ac:dyDescent="0.35">
      <c r="A37">
        <v>2002</v>
      </c>
      <c r="B37">
        <v>4</v>
      </c>
      <c r="C37">
        <v>12</v>
      </c>
      <c r="D37" s="1">
        <v>19460031</v>
      </c>
      <c r="E37" s="1">
        <v>12259478</v>
      </c>
      <c r="F37">
        <v>45</v>
      </c>
      <c r="G37">
        <v>41</v>
      </c>
      <c r="H37" s="1">
        <v>40190679</v>
      </c>
      <c r="I37" s="2">
        <v>484192.64078618825</v>
      </c>
      <c r="J37" s="2">
        <v>305032.86595381977</v>
      </c>
      <c r="K37">
        <v>129.95173479581638</v>
      </c>
      <c r="L37">
        <v>127.40574606116776</v>
      </c>
      <c r="M37">
        <f t="shared" si="0"/>
        <v>13.090238124663836</v>
      </c>
      <c r="N37">
        <f t="shared" si="1"/>
        <v>12.628174807009794</v>
      </c>
      <c r="O37" s="4">
        <f t="shared" si="2"/>
        <v>4.8671631107161026</v>
      </c>
      <c r="P37">
        <f t="shared" si="3"/>
        <v>4.8473768446419152</v>
      </c>
      <c r="Q37">
        <f t="shared" si="4"/>
        <v>3.8066624897703196</v>
      </c>
      <c r="R37">
        <f t="shared" si="5"/>
        <v>3.713572066704308</v>
      </c>
      <c r="S37">
        <f t="shared" si="6"/>
        <v>-0.22210312582938396</v>
      </c>
    </row>
    <row r="38" spans="1:19" x14ac:dyDescent="0.35">
      <c r="A38">
        <v>2003</v>
      </c>
      <c r="B38">
        <v>1</v>
      </c>
      <c r="C38">
        <v>3</v>
      </c>
      <c r="D38" s="1">
        <v>19516429</v>
      </c>
      <c r="E38" s="1">
        <v>12240317</v>
      </c>
      <c r="F38">
        <v>45</v>
      </c>
      <c r="G38">
        <v>40</v>
      </c>
      <c r="H38" s="1">
        <v>40315737.831541859</v>
      </c>
      <c r="I38" s="2">
        <v>484089.59006402991</v>
      </c>
      <c r="J38" s="2">
        <v>303611.38499178184</v>
      </c>
      <c r="K38">
        <v>127.49102049789596</v>
      </c>
      <c r="L38">
        <v>135.86362750885479</v>
      </c>
      <c r="M38">
        <f t="shared" si="0"/>
        <v>13.090025272007319</v>
      </c>
      <c r="N38">
        <f t="shared" si="1"/>
        <v>12.623503823773436</v>
      </c>
      <c r="O38" s="4">
        <f t="shared" si="2"/>
        <v>4.8480459346508677</v>
      </c>
      <c r="P38">
        <f t="shared" si="3"/>
        <v>4.9116516437515836</v>
      </c>
      <c r="Q38">
        <f t="shared" si="4"/>
        <v>3.8066624897703196</v>
      </c>
      <c r="R38">
        <f t="shared" si="5"/>
        <v>3.6888794541139363</v>
      </c>
      <c r="S38">
        <f t="shared" si="6"/>
        <v>-0.15736122839607969</v>
      </c>
    </row>
    <row r="39" spans="1:19" x14ac:dyDescent="0.35">
      <c r="A39">
        <v>2003</v>
      </c>
      <c r="B39">
        <v>2</v>
      </c>
      <c r="C39">
        <v>6</v>
      </c>
      <c r="D39" s="1">
        <v>19715978</v>
      </c>
      <c r="E39" s="1">
        <v>12347615</v>
      </c>
      <c r="F39">
        <v>45</v>
      </c>
      <c r="G39">
        <v>40</v>
      </c>
      <c r="H39" s="1">
        <v>40441185.800857343</v>
      </c>
      <c r="I39" s="2">
        <v>487522.25261362211</v>
      </c>
      <c r="J39" s="2">
        <v>305322.77319470275</v>
      </c>
      <c r="K39">
        <v>128.80178685855773</v>
      </c>
      <c r="L39">
        <v>133.59160839160839</v>
      </c>
      <c r="M39">
        <f t="shared" si="0"/>
        <v>13.097091214765191</v>
      </c>
      <c r="N39">
        <f t="shared" si="1"/>
        <v>12.629124768783193</v>
      </c>
      <c r="O39" s="4">
        <f t="shared" si="2"/>
        <v>4.8582746866994704</v>
      </c>
      <c r="P39">
        <f t="shared" si="3"/>
        <v>4.894787447689767</v>
      </c>
      <c r="Q39">
        <f t="shared" si="4"/>
        <v>3.8066624897703196</v>
      </c>
      <c r="R39">
        <f t="shared" si="5"/>
        <v>3.6888794541139363</v>
      </c>
      <c r="S39">
        <f t="shared" si="6"/>
        <v>-0.17478751895887168</v>
      </c>
    </row>
    <row r="40" spans="1:19" x14ac:dyDescent="0.35">
      <c r="A40">
        <v>2003</v>
      </c>
      <c r="B40">
        <v>3</v>
      </c>
      <c r="C40">
        <v>9</v>
      </c>
      <c r="D40" s="1">
        <v>20172853</v>
      </c>
      <c r="E40" s="1">
        <v>12539076</v>
      </c>
      <c r="F40">
        <v>45</v>
      </c>
      <c r="G40">
        <v>40</v>
      </c>
      <c r="H40" s="1">
        <v>40567024.11880222</v>
      </c>
      <c r="I40" s="2">
        <v>497272.19184042094</v>
      </c>
      <c r="J40" s="2">
        <v>309095.28791855159</v>
      </c>
      <c r="K40">
        <v>128.29587605819052</v>
      </c>
      <c r="L40">
        <v>134.78269494387604</v>
      </c>
      <c r="M40">
        <f t="shared" si="0"/>
        <v>13.116892824861486</v>
      </c>
      <c r="N40">
        <f t="shared" si="1"/>
        <v>12.641404883482986</v>
      </c>
      <c r="O40" s="4">
        <f t="shared" si="2"/>
        <v>4.8543391281446713</v>
      </c>
      <c r="P40">
        <f t="shared" si="3"/>
        <v>4.9036638144500602</v>
      </c>
      <c r="Q40">
        <f t="shared" si="4"/>
        <v>3.8066624897703196</v>
      </c>
      <c r="R40">
        <f t="shared" si="5"/>
        <v>3.6888794541139363</v>
      </c>
      <c r="S40">
        <f t="shared" si="6"/>
        <v>-0.16713916366855841</v>
      </c>
    </row>
    <row r="41" spans="1:19" x14ac:dyDescent="0.35">
      <c r="A41">
        <v>2003</v>
      </c>
      <c r="B41">
        <v>4</v>
      </c>
      <c r="C41">
        <v>12</v>
      </c>
      <c r="D41" s="1">
        <v>20479230</v>
      </c>
      <c r="E41" s="1">
        <v>12739022</v>
      </c>
      <c r="F41">
        <v>45</v>
      </c>
      <c r="G41">
        <v>40</v>
      </c>
      <c r="H41" s="1">
        <v>40693253.999999993</v>
      </c>
      <c r="I41" s="2">
        <v>503258.59907885472</v>
      </c>
      <c r="J41" s="2">
        <v>313049.97137854848</v>
      </c>
      <c r="K41">
        <v>135.05422839260274</v>
      </c>
      <c r="L41">
        <v>127.86030274945939</v>
      </c>
      <c r="M41">
        <f t="shared" si="0"/>
        <v>13.128859430447669</v>
      </c>
      <c r="N41">
        <f t="shared" si="1"/>
        <v>12.65411810974572</v>
      </c>
      <c r="O41" s="4">
        <f t="shared" si="2"/>
        <v>4.9056763895789359</v>
      </c>
      <c r="P41">
        <f t="shared" si="3"/>
        <v>4.8509382831557319</v>
      </c>
      <c r="Q41">
        <f t="shared" si="4"/>
        <v>3.8066624897703196</v>
      </c>
      <c r="R41">
        <f t="shared" si="5"/>
        <v>3.6888794541139363</v>
      </c>
      <c r="S41">
        <f t="shared" si="6"/>
        <v>-0.22113601758915991</v>
      </c>
    </row>
    <row r="42" spans="1:19" x14ac:dyDescent="0.35">
      <c r="A42">
        <v>2004</v>
      </c>
      <c r="B42">
        <v>1</v>
      </c>
      <c r="C42">
        <v>3</v>
      </c>
      <c r="D42" s="1">
        <v>20563042</v>
      </c>
      <c r="E42" s="1">
        <v>13035098</v>
      </c>
      <c r="F42">
        <v>44</v>
      </c>
      <c r="G42">
        <v>40</v>
      </c>
      <c r="H42" s="1">
        <v>40816403.591704324</v>
      </c>
      <c r="I42" s="2">
        <v>503793.57783935941</v>
      </c>
      <c r="J42" s="2">
        <v>319359.2980506813</v>
      </c>
      <c r="K42">
        <v>143.33130141693943</v>
      </c>
      <c r="L42">
        <v>137.70686540731995</v>
      </c>
      <c r="M42">
        <f t="shared" si="0"/>
        <v>13.129921895378667</v>
      </c>
      <c r="N42">
        <f t="shared" si="1"/>
        <v>12.674072074115225</v>
      </c>
      <c r="O42" s="4">
        <f t="shared" si="2"/>
        <v>4.9651587437581277</v>
      </c>
      <c r="P42">
        <f t="shared" si="3"/>
        <v>4.9251272622064963</v>
      </c>
      <c r="Q42">
        <f t="shared" si="4"/>
        <v>3.784189633918261</v>
      </c>
      <c r="R42">
        <f t="shared" si="5"/>
        <v>3.6888794541139363</v>
      </c>
      <c r="S42">
        <f t="shared" si="6"/>
        <v>-0.12646957912328727</v>
      </c>
    </row>
    <row r="43" spans="1:19" x14ac:dyDescent="0.35">
      <c r="A43">
        <v>2004</v>
      </c>
      <c r="B43">
        <v>2</v>
      </c>
      <c r="C43">
        <v>6</v>
      </c>
      <c r="D43" s="1">
        <v>20703543</v>
      </c>
      <c r="E43" s="1">
        <v>13115039</v>
      </c>
      <c r="F43">
        <v>44</v>
      </c>
      <c r="G43">
        <v>40</v>
      </c>
      <c r="H43" s="1">
        <v>40939925.869798802</v>
      </c>
      <c r="I43" s="2">
        <v>505705.43449061079</v>
      </c>
      <c r="J43" s="2">
        <v>320348.38171690254</v>
      </c>
      <c r="K43">
        <v>146.04875825113328</v>
      </c>
      <c r="L43">
        <v>136.39240759240761</v>
      </c>
      <c r="M43">
        <f t="shared" si="0"/>
        <v>13.133709633481779</v>
      </c>
      <c r="N43">
        <f t="shared" si="1"/>
        <v>12.677164375444926</v>
      </c>
      <c r="O43" s="4">
        <f t="shared" si="2"/>
        <v>4.9839405265801</v>
      </c>
      <c r="P43">
        <f t="shared" si="3"/>
        <v>4.9155360810478692</v>
      </c>
      <c r="Q43">
        <f t="shared" si="4"/>
        <v>3.784189633918261</v>
      </c>
      <c r="R43">
        <f t="shared" si="5"/>
        <v>3.6888794541139363</v>
      </c>
      <c r="S43">
        <f t="shared" si="6"/>
        <v>-0.13636999041488451</v>
      </c>
    </row>
    <row r="44" spans="1:19" x14ac:dyDescent="0.35">
      <c r="A44">
        <v>2004</v>
      </c>
      <c r="B44">
        <v>3</v>
      </c>
      <c r="C44">
        <v>9</v>
      </c>
      <c r="D44" s="1">
        <v>20875786</v>
      </c>
      <c r="E44" s="1">
        <v>13228197</v>
      </c>
      <c r="F44">
        <v>44</v>
      </c>
      <c r="G44">
        <v>40</v>
      </c>
      <c r="H44" s="1">
        <v>41063821.962140575</v>
      </c>
      <c r="I44" s="2">
        <v>508374.16008784453</v>
      </c>
      <c r="J44" s="2">
        <v>322137.50128266047</v>
      </c>
      <c r="K44">
        <v>147.31527907742341</v>
      </c>
      <c r="L44">
        <v>137.46558557663656</v>
      </c>
      <c r="M44">
        <f t="shared" si="0"/>
        <v>13.138972991057376</v>
      </c>
      <c r="N44">
        <f t="shared" si="1"/>
        <v>12.682733755995294</v>
      </c>
      <c r="O44" s="4">
        <f t="shared" si="2"/>
        <v>4.9925750457024414</v>
      </c>
      <c r="P44">
        <f t="shared" si="3"/>
        <v>4.9233735990643082</v>
      </c>
      <c r="Q44">
        <f t="shared" si="4"/>
        <v>3.784189633918261</v>
      </c>
      <c r="R44">
        <f t="shared" si="5"/>
        <v>3.6888794541139363</v>
      </c>
      <c r="S44">
        <f t="shared" si="6"/>
        <v>-0.12908941045348232</v>
      </c>
    </row>
    <row r="45" spans="1:19" x14ac:dyDescent="0.35">
      <c r="A45">
        <v>2004</v>
      </c>
      <c r="B45">
        <v>4</v>
      </c>
      <c r="C45">
        <v>12</v>
      </c>
      <c r="D45" s="1">
        <v>21630062</v>
      </c>
      <c r="E45" s="1">
        <v>13501333</v>
      </c>
      <c r="F45">
        <v>44</v>
      </c>
      <c r="G45">
        <v>40</v>
      </c>
      <c r="H45" s="1">
        <v>41188092.999999985</v>
      </c>
      <c r="I45" s="2">
        <v>525153.27670062345</v>
      </c>
      <c r="J45" s="2">
        <v>327796.99220354785</v>
      </c>
      <c r="K45">
        <v>156.53950990018703</v>
      </c>
      <c r="L45">
        <v>130.34088353413657</v>
      </c>
      <c r="M45">
        <f t="shared" si="0"/>
        <v>13.171445454583248</v>
      </c>
      <c r="N45">
        <f t="shared" si="1"/>
        <v>12.700149769543692</v>
      </c>
      <c r="O45" s="4">
        <f t="shared" si="2"/>
        <v>5.0533084375438051</v>
      </c>
      <c r="P45">
        <f t="shared" si="3"/>
        <v>4.8701531995688194</v>
      </c>
      <c r="Q45">
        <f t="shared" si="4"/>
        <v>3.784189633918261</v>
      </c>
      <c r="R45">
        <f t="shared" si="5"/>
        <v>3.6888794541139363</v>
      </c>
      <c r="S45">
        <f t="shared" si="6"/>
        <v>-0.1840514113038112</v>
      </c>
    </row>
    <row r="46" spans="1:19" x14ac:dyDescent="0.35">
      <c r="A46">
        <v>2005</v>
      </c>
      <c r="B46">
        <v>1</v>
      </c>
      <c r="C46">
        <v>3</v>
      </c>
      <c r="D46" s="1">
        <v>21630062</v>
      </c>
      <c r="E46" s="1">
        <v>13501333</v>
      </c>
      <c r="F46">
        <v>44</v>
      </c>
      <c r="G46">
        <v>39</v>
      </c>
      <c r="H46" s="1">
        <v>41308510.144249842</v>
      </c>
      <c r="I46" s="2">
        <v>523622.41883010417</v>
      </c>
      <c r="J46" s="2">
        <v>326841.44145729713</v>
      </c>
      <c r="K46">
        <v>152.66857543130632</v>
      </c>
      <c r="L46">
        <v>138.38664108618656</v>
      </c>
      <c r="M46">
        <f t="shared" si="0"/>
        <v>13.168526128812701</v>
      </c>
      <c r="N46">
        <f t="shared" si="1"/>
        <v>12.697230443773147</v>
      </c>
      <c r="O46" s="4">
        <f t="shared" si="2"/>
        <v>5.028269398193066</v>
      </c>
      <c r="P46">
        <f t="shared" si="3"/>
        <v>4.9300515145810948</v>
      </c>
      <c r="Q46">
        <f t="shared" si="4"/>
        <v>3.784189633918261</v>
      </c>
      <c r="R46">
        <f t="shared" si="5"/>
        <v>3.6635616461296463</v>
      </c>
      <c r="S46">
        <f t="shared" si="6"/>
        <v>-0.1238611637144813</v>
      </c>
    </row>
    <row r="47" spans="1:19" x14ac:dyDescent="0.35">
      <c r="A47">
        <v>2005</v>
      </c>
      <c r="B47">
        <v>2</v>
      </c>
      <c r="C47">
        <v>6</v>
      </c>
      <c r="D47" s="1">
        <v>22100946.757989336</v>
      </c>
      <c r="E47" s="1">
        <v>13781971.389941972</v>
      </c>
      <c r="F47">
        <v>44</v>
      </c>
      <c r="G47">
        <v>39</v>
      </c>
      <c r="H47" s="1">
        <v>41429279.338997126</v>
      </c>
      <c r="I47" s="2">
        <v>533462.0131126889</v>
      </c>
      <c r="J47" s="2">
        <v>332662.59055993491</v>
      </c>
      <c r="K47">
        <v>157.01218935256114</v>
      </c>
      <c r="L47">
        <v>138.09894105894108</v>
      </c>
      <c r="M47">
        <f t="shared" si="0"/>
        <v>13.187143144026159</v>
      </c>
      <c r="N47">
        <f t="shared" si="1"/>
        <v>12.714884013724578</v>
      </c>
      <c r="O47" s="4">
        <f t="shared" si="2"/>
        <v>5.0563234415228298</v>
      </c>
      <c r="P47">
        <f t="shared" si="3"/>
        <v>4.927970392456384</v>
      </c>
      <c r="Q47">
        <f t="shared" si="4"/>
        <v>3.784189633918261</v>
      </c>
      <c r="R47">
        <f t="shared" si="5"/>
        <v>3.6635616461296463</v>
      </c>
      <c r="S47">
        <f t="shared" si="6"/>
        <v>-0.12770764283433467</v>
      </c>
    </row>
    <row r="48" spans="1:19" x14ac:dyDescent="0.35">
      <c r="A48">
        <v>2005</v>
      </c>
      <c r="B48">
        <v>3</v>
      </c>
      <c r="C48">
        <v>9</v>
      </c>
      <c r="D48" s="1">
        <v>22054331.870989233</v>
      </c>
      <c r="E48" s="1">
        <v>13818541.448602729</v>
      </c>
      <c r="F48">
        <v>44</v>
      </c>
      <c r="G48">
        <v>39</v>
      </c>
      <c r="H48" s="1">
        <v>41550401.613493569</v>
      </c>
      <c r="I48" s="2">
        <v>530785.04694469785</v>
      </c>
      <c r="J48" s="2">
        <v>332572.99356921576</v>
      </c>
      <c r="K48">
        <v>156.56595084959136</v>
      </c>
      <c r="L48">
        <v>138.32515247839476</v>
      </c>
      <c r="M48">
        <f t="shared" si="0"/>
        <v>13.182112410253442</v>
      </c>
      <c r="N48">
        <f t="shared" si="1"/>
        <v>12.714614644516439</v>
      </c>
      <c r="O48" s="4">
        <f t="shared" si="2"/>
        <v>5.0534773323909521</v>
      </c>
      <c r="P48">
        <f t="shared" si="3"/>
        <v>4.9296070911034269</v>
      </c>
      <c r="Q48">
        <f t="shared" si="4"/>
        <v>3.784189633918261</v>
      </c>
      <c r="R48">
        <f t="shared" si="5"/>
        <v>3.6635616461296463</v>
      </c>
      <c r="S48">
        <f t="shared" si="6"/>
        <v>-0.12604400726647791</v>
      </c>
    </row>
    <row r="49" spans="1:19" x14ac:dyDescent="0.35">
      <c r="A49">
        <v>2005</v>
      </c>
      <c r="B49">
        <v>4</v>
      </c>
      <c r="C49">
        <v>12</v>
      </c>
      <c r="D49" s="1">
        <v>22509862.384769004</v>
      </c>
      <c r="E49" s="1">
        <v>14089578.974848611</v>
      </c>
      <c r="F49">
        <v>44</v>
      </c>
      <c r="G49">
        <v>39</v>
      </c>
      <c r="H49" s="1">
        <v>41671878</v>
      </c>
      <c r="I49" s="2">
        <v>540169.13720012817</v>
      </c>
      <c r="J49" s="2">
        <v>338107.60760166869</v>
      </c>
      <c r="K49">
        <v>164.4863517196726</v>
      </c>
      <c r="L49">
        <v>133.58771702193391</v>
      </c>
      <c r="M49">
        <f t="shared" si="0"/>
        <v>13.199637586535516</v>
      </c>
      <c r="N49">
        <f t="shared" si="1"/>
        <v>12.731119489482966</v>
      </c>
      <c r="O49" s="4">
        <f t="shared" si="2"/>
        <v>5.102827598493902</v>
      </c>
      <c r="P49">
        <f t="shared" si="3"/>
        <v>4.8947583184173675</v>
      </c>
      <c r="Q49">
        <f t="shared" si="4"/>
        <v>3.784189633918261</v>
      </c>
      <c r="R49">
        <f t="shared" si="5"/>
        <v>3.6635616461296463</v>
      </c>
      <c r="S49">
        <f t="shared" si="6"/>
        <v>-0.16254326444919043</v>
      </c>
    </row>
    <row r="50" spans="1:19" x14ac:dyDescent="0.35">
      <c r="A50">
        <v>2006</v>
      </c>
      <c r="B50">
        <v>1</v>
      </c>
      <c r="C50">
        <v>3</v>
      </c>
      <c r="D50" s="1">
        <v>23020589.340590164</v>
      </c>
      <c r="E50" s="1">
        <v>14322501.407677704</v>
      </c>
      <c r="F50">
        <v>44</v>
      </c>
      <c r="G50">
        <v>38</v>
      </c>
      <c r="H50" s="1">
        <v>41795885.36849013</v>
      </c>
      <c r="I50" s="2">
        <v>550786.01966750913</v>
      </c>
      <c r="J50" s="2">
        <v>342677.30618467584</v>
      </c>
      <c r="K50">
        <v>166.40563029707133</v>
      </c>
      <c r="L50">
        <v>144.34775088547818</v>
      </c>
      <c r="M50">
        <f t="shared" si="0"/>
        <v>13.219101663647244</v>
      </c>
      <c r="N50">
        <f t="shared" si="1"/>
        <v>12.744544485024191</v>
      </c>
      <c r="O50" s="4">
        <f t="shared" si="2"/>
        <v>5.1144283637345858</v>
      </c>
      <c r="P50">
        <f t="shared" si="3"/>
        <v>4.9722253250071518</v>
      </c>
      <c r="Q50">
        <f t="shared" si="4"/>
        <v>3.784189633918261</v>
      </c>
      <c r="R50">
        <f t="shared" si="5"/>
        <v>3.6375861597263857</v>
      </c>
      <c r="S50">
        <f t="shared" si="6"/>
        <v>-8.6418757413528446E-2</v>
      </c>
    </row>
    <row r="51" spans="1:19" x14ac:dyDescent="0.35">
      <c r="A51">
        <v>2006</v>
      </c>
      <c r="B51">
        <v>2</v>
      </c>
      <c r="C51">
        <v>6</v>
      </c>
      <c r="D51" s="1">
        <v>23273296.220990319</v>
      </c>
      <c r="E51" s="1">
        <v>14656506.513547426</v>
      </c>
      <c r="F51">
        <v>44</v>
      </c>
      <c r="G51">
        <v>38</v>
      </c>
      <c r="H51" s="1">
        <v>41920261.758684538</v>
      </c>
      <c r="I51" s="2">
        <v>555180.12637811922</v>
      </c>
      <c r="J51" s="2">
        <v>349628.22030831111</v>
      </c>
      <c r="K51">
        <v>169.95936244956874</v>
      </c>
      <c r="L51">
        <v>143.89594405594406</v>
      </c>
      <c r="M51">
        <f t="shared" si="0"/>
        <v>13.227047892105601</v>
      </c>
      <c r="N51">
        <f t="shared" si="1"/>
        <v>12.764625641211392</v>
      </c>
      <c r="O51" s="4">
        <f t="shared" si="2"/>
        <v>5.1355593640602901</v>
      </c>
      <c r="P51">
        <f t="shared" si="3"/>
        <v>4.969090427644419</v>
      </c>
      <c r="Q51">
        <f t="shared" si="4"/>
        <v>3.784189633918261</v>
      </c>
      <c r="R51">
        <f t="shared" si="5"/>
        <v>3.6375861597263857</v>
      </c>
      <c r="S51">
        <f t="shared" si="6"/>
        <v>-9.156177039498159E-2</v>
      </c>
    </row>
    <row r="52" spans="1:19" x14ac:dyDescent="0.35">
      <c r="A52">
        <v>2006</v>
      </c>
      <c r="B52">
        <v>3</v>
      </c>
      <c r="C52">
        <v>9</v>
      </c>
      <c r="D52" s="1">
        <v>23745940.528886352</v>
      </c>
      <c r="E52" s="1">
        <v>14778304.386882121</v>
      </c>
      <c r="F52">
        <v>44</v>
      </c>
      <c r="G52">
        <v>38</v>
      </c>
      <c r="H52" s="1">
        <v>42045008.268719725</v>
      </c>
      <c r="I52" s="2">
        <v>564774.30988050601</v>
      </c>
      <c r="J52" s="2">
        <v>351487.72697178309</v>
      </c>
      <c r="K52">
        <v>172.88549104583103</v>
      </c>
      <c r="L52">
        <v>144.48538194099535</v>
      </c>
      <c r="M52">
        <f t="shared" si="0"/>
        <v>13.244181478787633</v>
      </c>
      <c r="N52">
        <f t="shared" si="1"/>
        <v>12.769930073469029</v>
      </c>
      <c r="O52" s="4">
        <f t="shared" si="2"/>
        <v>5.1526294738751064</v>
      </c>
      <c r="P52">
        <f t="shared" si="3"/>
        <v>4.9731783393970668</v>
      </c>
      <c r="Q52">
        <f t="shared" si="4"/>
        <v>3.784189633918261</v>
      </c>
      <c r="R52">
        <f t="shared" si="5"/>
        <v>3.6375861597263857</v>
      </c>
      <c r="S52">
        <f t="shared" si="6"/>
        <v>-8.8004301868096935E-2</v>
      </c>
    </row>
    <row r="53" spans="1:19" x14ac:dyDescent="0.35">
      <c r="A53">
        <v>2006</v>
      </c>
      <c r="B53">
        <v>4</v>
      </c>
      <c r="C53">
        <v>12</v>
      </c>
      <c r="D53" s="1">
        <v>24186049.797991924</v>
      </c>
      <c r="E53" s="1">
        <v>14949362.837891642</v>
      </c>
      <c r="F53">
        <v>44</v>
      </c>
      <c r="G53">
        <v>38</v>
      </c>
      <c r="H53" s="1">
        <v>42170126.00000003</v>
      </c>
      <c r="I53" s="2">
        <v>573535.15609585587</v>
      </c>
      <c r="J53" s="2">
        <v>354501.2608663211</v>
      </c>
      <c r="K53">
        <v>182.93332635171882</v>
      </c>
      <c r="L53">
        <v>138.40601791782518</v>
      </c>
      <c r="M53">
        <f t="shared" si="0"/>
        <v>13.259574514624534</v>
      </c>
      <c r="N53">
        <f t="shared" si="1"/>
        <v>12.77846718169361</v>
      </c>
      <c r="O53" s="4">
        <f t="shared" si="2"/>
        <v>5.2091217495787623</v>
      </c>
      <c r="P53">
        <f t="shared" si="3"/>
        <v>4.9301915243034626</v>
      </c>
      <c r="Q53">
        <f t="shared" si="4"/>
        <v>3.784189633918261</v>
      </c>
      <c r="R53">
        <f t="shared" si="5"/>
        <v>3.6375861597263857</v>
      </c>
      <c r="S53">
        <f t="shared" si="6"/>
        <v>-0.13184482778415951</v>
      </c>
    </row>
    <row r="54" spans="1:19" x14ac:dyDescent="0.35">
      <c r="A54">
        <v>2007</v>
      </c>
      <c r="B54">
        <v>1</v>
      </c>
      <c r="C54">
        <v>3</v>
      </c>
      <c r="D54" s="1">
        <v>24581061.833671987</v>
      </c>
      <c r="E54" s="1">
        <v>15287859.56226621</v>
      </c>
      <c r="F54">
        <v>43</v>
      </c>
      <c r="G54">
        <v>38</v>
      </c>
      <c r="H54" s="1">
        <v>42291725.035584331</v>
      </c>
      <c r="I54" s="2">
        <v>581226.27566005965</v>
      </c>
      <c r="J54" s="2">
        <v>361485.83557192283</v>
      </c>
      <c r="K54">
        <v>182.4585118185139</v>
      </c>
      <c r="L54">
        <v>144.97523612750891</v>
      </c>
      <c r="M54">
        <f t="shared" si="0"/>
        <v>13.272895418981991</v>
      </c>
      <c r="N54">
        <f t="shared" si="1"/>
        <v>12.79797813743965</v>
      </c>
      <c r="O54" s="4">
        <f t="shared" si="2"/>
        <v>5.2065228146773022</v>
      </c>
      <c r="P54">
        <f t="shared" si="3"/>
        <v>4.9765629425075746</v>
      </c>
      <c r="Q54">
        <f t="shared" si="4"/>
        <v>3.7612001156935624</v>
      </c>
      <c r="R54">
        <f t="shared" si="5"/>
        <v>3.6375861597263857</v>
      </c>
      <c r="S54">
        <f t="shared" si="6"/>
        <v>-6.4434986929952753E-2</v>
      </c>
    </row>
    <row r="55" spans="1:19" x14ac:dyDescent="0.35">
      <c r="A55">
        <v>2007</v>
      </c>
      <c r="B55">
        <v>2</v>
      </c>
      <c r="C55">
        <v>6</v>
      </c>
      <c r="D55" s="1">
        <v>24845253.531260755</v>
      </c>
      <c r="E55" s="1">
        <v>15531035.59282366</v>
      </c>
      <c r="F55">
        <v>43</v>
      </c>
      <c r="G55">
        <v>38</v>
      </c>
      <c r="H55" s="1">
        <v>42413674.706247509</v>
      </c>
      <c r="I55" s="2">
        <v>585784.0355342062</v>
      </c>
      <c r="J55" s="2">
        <v>366179.91014430887</v>
      </c>
      <c r="K55">
        <v>182.41583555272078</v>
      </c>
      <c r="L55">
        <v>142.87984015984017</v>
      </c>
      <c r="M55">
        <f t="shared" si="0"/>
        <v>13.280706460587561</v>
      </c>
      <c r="N55">
        <f t="shared" si="1"/>
        <v>12.810880049379895</v>
      </c>
      <c r="O55" s="4">
        <f t="shared" si="2"/>
        <v>5.2062888915950403</v>
      </c>
      <c r="P55">
        <f t="shared" si="3"/>
        <v>4.9620039984254367</v>
      </c>
      <c r="Q55">
        <f t="shared" si="4"/>
        <v>3.7612001156935624</v>
      </c>
      <c r="R55">
        <f t="shared" si="5"/>
        <v>3.6375861597263857</v>
      </c>
      <c r="S55">
        <f t="shared" si="6"/>
        <v>-8.0284122206115249E-2</v>
      </c>
    </row>
    <row r="56" spans="1:19" x14ac:dyDescent="0.35">
      <c r="A56">
        <v>2007</v>
      </c>
      <c r="B56">
        <v>3</v>
      </c>
      <c r="C56">
        <v>9</v>
      </c>
      <c r="D56" s="1">
        <v>25376320.949490853</v>
      </c>
      <c r="E56" s="1">
        <v>15793570.476122806</v>
      </c>
      <c r="F56">
        <v>43</v>
      </c>
      <c r="G56">
        <v>38</v>
      </c>
      <c r="H56" s="1">
        <v>42535976.023058072</v>
      </c>
      <c r="I56" s="2">
        <v>596584.89876274974</v>
      </c>
      <c r="J56" s="2">
        <v>371299.12024497485</v>
      </c>
      <c r="K56">
        <v>189.07396739949871</v>
      </c>
      <c r="L56">
        <v>144.66771431409558</v>
      </c>
      <c r="M56">
        <f t="shared" si="0"/>
        <v>13.298976838578078</v>
      </c>
      <c r="N56">
        <f t="shared" si="1"/>
        <v>12.824763270770969</v>
      </c>
      <c r="O56" s="4">
        <f t="shared" si="2"/>
        <v>5.2421383003996578</v>
      </c>
      <c r="P56">
        <f t="shared" si="3"/>
        <v>4.9744394872085778</v>
      </c>
      <c r="Q56">
        <f t="shared" si="4"/>
        <v>3.7612001156935624</v>
      </c>
      <c r="R56">
        <f t="shared" si="5"/>
        <v>3.6375861597263857</v>
      </c>
      <c r="S56">
        <f t="shared" si="6"/>
        <v>-6.9236955562081537E-2</v>
      </c>
    </row>
    <row r="57" spans="1:19" x14ac:dyDescent="0.35">
      <c r="A57">
        <v>2007</v>
      </c>
      <c r="B57">
        <v>4</v>
      </c>
      <c r="C57">
        <v>12</v>
      </c>
      <c r="D57" s="1">
        <v>25772362.540614147</v>
      </c>
      <c r="E57" s="1">
        <v>15941170.880374104</v>
      </c>
      <c r="F57">
        <v>43</v>
      </c>
      <c r="G57">
        <v>38</v>
      </c>
      <c r="H57" s="1">
        <v>42658629.999999993</v>
      </c>
      <c r="I57" s="2">
        <v>604153.54502979002</v>
      </c>
      <c r="J57" s="2">
        <v>373691.58082137437</v>
      </c>
      <c r="K57">
        <v>196.2425696966622</v>
      </c>
      <c r="L57">
        <v>136.88649984553604</v>
      </c>
      <c r="M57">
        <f t="shared" si="0"/>
        <v>13.311583658235623</v>
      </c>
      <c r="N57">
        <f t="shared" si="1"/>
        <v>12.831186085975405</v>
      </c>
      <c r="O57" s="4">
        <f t="shared" si="2"/>
        <v>5.2793514945274742</v>
      </c>
      <c r="P57">
        <f t="shared" si="3"/>
        <v>4.9191521141778596</v>
      </c>
      <c r="Q57">
        <f t="shared" si="4"/>
        <v>3.7612001156935624</v>
      </c>
      <c r="R57">
        <f t="shared" si="5"/>
        <v>3.6375861597263857</v>
      </c>
      <c r="S57">
        <f t="shared" si="6"/>
        <v>-0.12516661011324315</v>
      </c>
    </row>
    <row r="58" spans="1:19" x14ac:dyDescent="0.35">
      <c r="A58">
        <v>2008</v>
      </c>
      <c r="B58">
        <v>1</v>
      </c>
      <c r="C58">
        <v>3</v>
      </c>
      <c r="D58" s="1">
        <v>25839578.566994485</v>
      </c>
      <c r="E58" s="1">
        <v>16016449.806432772</v>
      </c>
      <c r="F58">
        <v>43</v>
      </c>
      <c r="G58">
        <v>37</v>
      </c>
      <c r="H58" s="1">
        <v>42776983.294322297</v>
      </c>
      <c r="I58" s="2">
        <v>604053.31505515764</v>
      </c>
      <c r="J58" s="2">
        <v>374417.46876429697</v>
      </c>
      <c r="K58">
        <v>193.89738690779603</v>
      </c>
      <c r="L58">
        <v>143.68104781582059</v>
      </c>
      <c r="M58">
        <f t="shared" si="0"/>
        <v>13.311417742980259</v>
      </c>
      <c r="N58">
        <f t="shared" si="1"/>
        <v>12.833126680521421</v>
      </c>
      <c r="O58" s="4">
        <f t="shared" si="2"/>
        <v>5.2673290856637074</v>
      </c>
      <c r="P58">
        <f t="shared" si="3"/>
        <v>4.9675958972320622</v>
      </c>
      <c r="Q58">
        <f t="shared" si="4"/>
        <v>3.7612001156935624</v>
      </c>
      <c r="R58">
        <f t="shared" si="5"/>
        <v>3.6109179126442243</v>
      </c>
      <c r="S58">
        <f t="shared" si="6"/>
        <v>-7.6916886513642257E-2</v>
      </c>
    </row>
    <row r="59" spans="1:19" x14ac:dyDescent="0.35">
      <c r="A59">
        <v>2008</v>
      </c>
      <c r="B59">
        <v>2</v>
      </c>
      <c r="C59">
        <v>6</v>
      </c>
      <c r="D59" s="1">
        <v>25969259.654850896</v>
      </c>
      <c r="E59" s="1">
        <v>16178559.110721994</v>
      </c>
      <c r="F59">
        <v>43</v>
      </c>
      <c r="G59">
        <v>37</v>
      </c>
      <c r="H59" s="1">
        <v>42895664.951329403</v>
      </c>
      <c r="I59" s="2">
        <v>605405.22414832201</v>
      </c>
      <c r="J59" s="2">
        <v>377160.70211473887</v>
      </c>
      <c r="K59">
        <v>194.18840010456796</v>
      </c>
      <c r="L59">
        <v>140.8346053946054</v>
      </c>
      <c r="M59">
        <f t="shared" si="0"/>
        <v>13.313653304783138</v>
      </c>
      <c r="N59">
        <f t="shared" si="1"/>
        <v>12.840426641161132</v>
      </c>
      <c r="O59" s="4">
        <f t="shared" si="2"/>
        <v>5.2688288223768609</v>
      </c>
      <c r="P59">
        <f t="shared" si="3"/>
        <v>4.9475861904760574</v>
      </c>
      <c r="Q59">
        <f t="shared" si="4"/>
        <v>3.7612001156935624</v>
      </c>
      <c r="R59">
        <f t="shared" si="5"/>
        <v>3.6109179126442243</v>
      </c>
      <c r="S59">
        <f t="shared" si="6"/>
        <v>-9.7656589333618538E-2</v>
      </c>
    </row>
    <row r="60" spans="1:19" x14ac:dyDescent="0.35">
      <c r="A60">
        <v>2008</v>
      </c>
      <c r="B60">
        <v>3</v>
      </c>
      <c r="C60">
        <v>9</v>
      </c>
      <c r="D60" s="1">
        <v>26212153.074036863</v>
      </c>
      <c r="E60" s="1">
        <v>16386943.921308201</v>
      </c>
      <c r="F60">
        <v>43</v>
      </c>
      <c r="G60">
        <v>37</v>
      </c>
      <c r="H60" s="1">
        <v>43014675.882039919</v>
      </c>
      <c r="I60" s="2">
        <v>609376.97510307922</v>
      </c>
      <c r="J60" s="2">
        <v>380961.69703211228</v>
      </c>
      <c r="K60">
        <v>197.26008376905733</v>
      </c>
      <c r="L60">
        <v>141.99784742227081</v>
      </c>
      <c r="M60">
        <f t="shared" si="0"/>
        <v>13.320192361923793</v>
      </c>
      <c r="N60">
        <f t="shared" si="1"/>
        <v>12.850454116330971</v>
      </c>
      <c r="O60" s="4">
        <f t="shared" si="2"/>
        <v>5.2845230801889294</v>
      </c>
      <c r="P60">
        <f t="shared" si="3"/>
        <v>4.9558118984882693</v>
      </c>
      <c r="Q60">
        <f t="shared" si="4"/>
        <v>3.7612001156935624</v>
      </c>
      <c r="R60">
        <f t="shared" si="5"/>
        <v>3.6109179126442243</v>
      </c>
      <c r="S60">
        <f t="shared" si="6"/>
        <v>-9.0433628838390234E-2</v>
      </c>
    </row>
    <row r="61" spans="1:19" x14ac:dyDescent="0.35">
      <c r="A61">
        <v>2008</v>
      </c>
      <c r="B61">
        <v>4</v>
      </c>
      <c r="C61">
        <v>12</v>
      </c>
      <c r="D61" s="1">
        <v>25856333.523296941</v>
      </c>
      <c r="E61" s="1">
        <v>16545767.374427462</v>
      </c>
      <c r="F61">
        <v>43</v>
      </c>
      <c r="G61">
        <v>37</v>
      </c>
      <c r="H61" s="1">
        <v>43134017</v>
      </c>
      <c r="I61" s="2">
        <v>599441.81696077459</v>
      </c>
      <c r="J61" s="2">
        <v>383589.76337463449</v>
      </c>
      <c r="K61">
        <v>203.1667805168604</v>
      </c>
      <c r="L61">
        <v>132.44483163422927</v>
      </c>
      <c r="M61">
        <f t="shared" si="0"/>
        <v>13.30375419613058</v>
      </c>
      <c r="N61">
        <f t="shared" si="1"/>
        <v>12.857328935959217</v>
      </c>
      <c r="O61" s="4">
        <f t="shared" si="2"/>
        <v>5.3140272206313712</v>
      </c>
      <c r="P61">
        <f t="shared" si="3"/>
        <v>4.8861661936976075</v>
      </c>
      <c r="Q61">
        <f t="shared" si="4"/>
        <v>3.7612001156935624</v>
      </c>
      <c r="R61">
        <f t="shared" si="5"/>
        <v>3.6109179126442243</v>
      </c>
      <c r="S61">
        <f t="shared" si="6"/>
        <v>-0.16076681559187689</v>
      </c>
    </row>
    <row r="62" spans="1:19" x14ac:dyDescent="0.35">
      <c r="A62">
        <v>2009</v>
      </c>
      <c r="B62">
        <v>1</v>
      </c>
      <c r="C62">
        <v>3</v>
      </c>
      <c r="D62" s="1">
        <v>25873448.482298061</v>
      </c>
      <c r="E62" s="1">
        <v>16473324.354349816</v>
      </c>
      <c r="F62">
        <v>42</v>
      </c>
      <c r="G62">
        <v>37</v>
      </c>
      <c r="H62" s="1">
        <v>43252183.781014904</v>
      </c>
      <c r="I62" s="2">
        <v>598199.81837899575</v>
      </c>
      <c r="J62" s="2">
        <v>380866.88149097824</v>
      </c>
      <c r="K62">
        <v>202.3958709211486</v>
      </c>
      <c r="L62">
        <v>144.43925914994102</v>
      </c>
      <c r="M62">
        <f t="shared" si="0"/>
        <v>13.301680121565427</v>
      </c>
      <c r="N62">
        <f t="shared" si="1"/>
        <v>12.850205200644957</v>
      </c>
      <c r="O62" s="4">
        <f t="shared" si="2"/>
        <v>5.3102255366180051</v>
      </c>
      <c r="P62">
        <f t="shared" si="3"/>
        <v>4.9728590672763371</v>
      </c>
      <c r="Q62">
        <f t="shared" si="4"/>
        <v>3.7376696182833684</v>
      </c>
      <c r="R62">
        <f t="shared" si="5"/>
        <v>3.6109179126442243</v>
      </c>
      <c r="S62">
        <f t="shared" si="6"/>
        <v>-4.9831071071527067E-2</v>
      </c>
    </row>
    <row r="63" spans="1:19" x14ac:dyDescent="0.35">
      <c r="A63">
        <v>2009</v>
      </c>
      <c r="B63">
        <v>2</v>
      </c>
      <c r="C63">
        <v>6</v>
      </c>
      <c r="D63" s="1">
        <v>26103755.815996692</v>
      </c>
      <c r="E63" s="1">
        <v>16527068.934183011</v>
      </c>
      <c r="F63">
        <v>42</v>
      </c>
      <c r="G63">
        <v>37</v>
      </c>
      <c r="H63" s="1">
        <v>43370674.283053406</v>
      </c>
      <c r="I63" s="2">
        <v>601875.72011524928</v>
      </c>
      <c r="J63" s="2">
        <v>381065.52889450401</v>
      </c>
      <c r="K63">
        <v>204.22927493914881</v>
      </c>
      <c r="L63">
        <v>143.1143256743257</v>
      </c>
      <c r="M63">
        <f t="shared" si="0"/>
        <v>13.307806257986977</v>
      </c>
      <c r="N63">
        <f t="shared" si="1"/>
        <v>12.850726631169028</v>
      </c>
      <c r="O63" s="4">
        <f t="shared" si="2"/>
        <v>5.3192432595056012</v>
      </c>
      <c r="P63">
        <f t="shared" si="3"/>
        <v>4.9636437910858522</v>
      </c>
      <c r="Q63">
        <f t="shared" si="4"/>
        <v>3.7376696182833684</v>
      </c>
      <c r="R63">
        <f t="shared" si="5"/>
        <v>3.6109179126442243</v>
      </c>
      <c r="S63">
        <f t="shared" si="6"/>
        <v>-5.9098490314419383E-2</v>
      </c>
    </row>
    <row r="64" spans="1:19" x14ac:dyDescent="0.35">
      <c r="A64">
        <v>2009</v>
      </c>
      <c r="B64">
        <v>3</v>
      </c>
      <c r="C64">
        <v>9</v>
      </c>
      <c r="D64" s="1">
        <v>26397031.394681901</v>
      </c>
      <c r="E64" s="1">
        <v>16532702.019139811</v>
      </c>
      <c r="F64">
        <v>42</v>
      </c>
      <c r="G64">
        <v>37</v>
      </c>
      <c r="H64" s="1">
        <v>43489489.392957829</v>
      </c>
      <c r="I64" s="2">
        <v>606974.96712748997</v>
      </c>
      <c r="J64" s="2">
        <v>380153.9693822416</v>
      </c>
      <c r="K64">
        <v>202.30684916226244</v>
      </c>
      <c r="L64">
        <v>145.07145028310325</v>
      </c>
      <c r="M64">
        <f t="shared" si="0"/>
        <v>13.31624282887408</v>
      </c>
      <c r="N64">
        <f t="shared" si="1"/>
        <v>12.848331632223118</v>
      </c>
      <c r="O64" s="4">
        <f t="shared" si="2"/>
        <v>5.3097856000625816</v>
      </c>
      <c r="P64">
        <f t="shared" si="3"/>
        <v>4.9772263816270774</v>
      </c>
      <c r="Q64">
        <f t="shared" si="4"/>
        <v>3.7376696182833684</v>
      </c>
      <c r="R64">
        <f t="shared" si="5"/>
        <v>3.6109179126442243</v>
      </c>
      <c r="S64">
        <f t="shared" si="6"/>
        <v>-4.5276399878602991E-2</v>
      </c>
    </row>
    <row r="65" spans="1:19" x14ac:dyDescent="0.35">
      <c r="A65">
        <v>2009</v>
      </c>
      <c r="B65">
        <v>4</v>
      </c>
      <c r="C65">
        <v>12</v>
      </c>
      <c r="D65" s="1">
        <v>26686925.651466161</v>
      </c>
      <c r="E65" s="1">
        <v>16707186.136091704</v>
      </c>
      <c r="F65">
        <v>42</v>
      </c>
      <c r="G65">
        <v>37</v>
      </c>
      <c r="H65" s="1">
        <v>43608630.000000007</v>
      </c>
      <c r="I65" s="2">
        <v>611964.32108658669</v>
      </c>
      <c r="J65" s="2">
        <v>383116.51010572223</v>
      </c>
      <c r="K65">
        <v>212.7338244673179</v>
      </c>
      <c r="L65">
        <v>138.80862527031206</v>
      </c>
      <c r="M65">
        <f t="shared" si="0"/>
        <v>13.324429260916892</v>
      </c>
      <c r="N65">
        <f t="shared" si="1"/>
        <v>12.856094425833538</v>
      </c>
      <c r="O65" s="4">
        <f t="shared" si="2"/>
        <v>5.360041733857094</v>
      </c>
      <c r="P65">
        <f t="shared" si="3"/>
        <v>4.9330961878589337</v>
      </c>
      <c r="Q65">
        <f t="shared" si="4"/>
        <v>3.7376696182833684</v>
      </c>
      <c r="R65">
        <f t="shared" si="5"/>
        <v>3.6109179126442243</v>
      </c>
      <c r="S65">
        <f t="shared" si="6"/>
        <v>-9.0182873007788711E-2</v>
      </c>
    </row>
    <row r="66" spans="1:19" x14ac:dyDescent="0.35">
      <c r="A66">
        <v>2010</v>
      </c>
      <c r="B66">
        <v>1</v>
      </c>
      <c r="C66">
        <v>3</v>
      </c>
      <c r="D66" s="1">
        <v>26869310.127617165</v>
      </c>
      <c r="E66" s="1">
        <v>17081522.702415895</v>
      </c>
      <c r="F66">
        <v>42</v>
      </c>
      <c r="G66">
        <v>36</v>
      </c>
      <c r="H66" s="1">
        <v>43727558.109273531</v>
      </c>
      <c r="I66" s="2">
        <v>614470.85749613016</v>
      </c>
      <c r="J66" s="2">
        <v>390635.18387488753</v>
      </c>
      <c r="K66">
        <v>210.33130421606626</v>
      </c>
      <c r="L66">
        <v>148.06037190082654</v>
      </c>
      <c r="M66">
        <f t="shared" si="0"/>
        <v>13.328516782121783</v>
      </c>
      <c r="N66">
        <f t="shared" si="1"/>
        <v>12.87552936985268</v>
      </c>
      <c r="O66" s="4">
        <f t="shared" si="2"/>
        <v>5.3486839266763297</v>
      </c>
      <c r="P66">
        <f t="shared" si="3"/>
        <v>4.9976201088369123</v>
      </c>
      <c r="Q66">
        <f t="shared" si="4"/>
        <v>3.7376696182833684</v>
      </c>
      <c r="R66">
        <f t="shared" si="5"/>
        <v>3.5835189384561099</v>
      </c>
      <c r="S66">
        <f t="shared" si="6"/>
        <v>-2.7602446431723937E-2</v>
      </c>
    </row>
    <row r="67" spans="1:19" x14ac:dyDescent="0.35">
      <c r="A67">
        <v>2010</v>
      </c>
      <c r="B67">
        <v>2</v>
      </c>
      <c r="C67">
        <v>6</v>
      </c>
      <c r="D67" s="1">
        <v>27256450.581390902</v>
      </c>
      <c r="E67" s="1">
        <v>17267631.720187303</v>
      </c>
      <c r="F67">
        <v>42</v>
      </c>
      <c r="G67">
        <v>36</v>
      </c>
      <c r="H67" s="1">
        <v>43846810.555614643</v>
      </c>
      <c r="I67" s="2">
        <v>621629.03609190055</v>
      </c>
      <c r="J67" s="2">
        <v>393817.28115173383</v>
      </c>
      <c r="K67">
        <v>216.32750327926234</v>
      </c>
      <c r="L67">
        <v>147.79100899100902</v>
      </c>
      <c r="M67">
        <f t="shared" ref="M67:M117" si="7">+LN(I67)</f>
        <v>13.340098788804166</v>
      </c>
      <c r="N67">
        <f t="shared" ref="N67:N117" si="8">+LN(J67)</f>
        <v>12.8836423272912</v>
      </c>
      <c r="O67" s="4">
        <f t="shared" ref="O67:O117" si="9">+LN(K67)</f>
        <v>5.3767934782703533</v>
      </c>
      <c r="P67">
        <f t="shared" ref="P67:P117" si="10">+LN(L67)</f>
        <v>4.995799174397229</v>
      </c>
      <c r="Q67">
        <f t="shared" ref="Q67:Q117" si="11">+LN(F67)</f>
        <v>3.7376696182833684</v>
      </c>
      <c r="R67">
        <f t="shared" ref="R67:R117" si="12">+LN(G67)</f>
        <v>3.5835189384561099</v>
      </c>
      <c r="S67">
        <f t="shared" ref="S67:S117" si="13">+P67-0.1*N67-Q67</f>
        <v>-3.023467661525947E-2</v>
      </c>
    </row>
    <row r="68" spans="1:19" x14ac:dyDescent="0.35">
      <c r="A68">
        <v>2010</v>
      </c>
      <c r="B68">
        <v>3</v>
      </c>
      <c r="C68">
        <v>9</v>
      </c>
      <c r="D68" s="1">
        <v>27507530.107182868</v>
      </c>
      <c r="E68" s="1">
        <v>17494184.252067484</v>
      </c>
      <c r="F68">
        <v>42</v>
      </c>
      <c r="G68">
        <v>36</v>
      </c>
      <c r="H68" s="1">
        <v>43966388.223545365</v>
      </c>
      <c r="I68" s="2">
        <v>625649.07463678659</v>
      </c>
      <c r="J68" s="2">
        <v>397899.05332043639</v>
      </c>
      <c r="K68">
        <v>216.0446014313938</v>
      </c>
      <c r="L68">
        <v>149.04369126850108</v>
      </c>
      <c r="M68">
        <f t="shared" si="7"/>
        <v>13.34654490924917</v>
      </c>
      <c r="N68">
        <f t="shared" si="8"/>
        <v>12.893953617222534</v>
      </c>
      <c r="O68" s="4">
        <f t="shared" si="9"/>
        <v>5.3754848744767347</v>
      </c>
      <c r="P68">
        <f t="shared" si="10"/>
        <v>5.0042394929518883</v>
      </c>
      <c r="Q68">
        <f t="shared" si="11"/>
        <v>3.7376696182833684</v>
      </c>
      <c r="R68">
        <f t="shared" si="12"/>
        <v>3.5835189384561099</v>
      </c>
      <c r="S68">
        <f t="shared" si="13"/>
        <v>-2.2825487053733884E-2</v>
      </c>
    </row>
    <row r="69" spans="1:19" x14ac:dyDescent="0.35">
      <c r="A69">
        <v>2010</v>
      </c>
      <c r="B69">
        <v>4</v>
      </c>
      <c r="C69">
        <v>12</v>
      </c>
      <c r="D69" s="1">
        <v>28150011.441350978</v>
      </c>
      <c r="E69" s="1">
        <v>17743805.487517763</v>
      </c>
      <c r="F69">
        <v>42</v>
      </c>
      <c r="G69">
        <v>36</v>
      </c>
      <c r="H69" s="1">
        <v>44086291.999999985</v>
      </c>
      <c r="I69" s="2">
        <v>638520.73205319676</v>
      </c>
      <c r="J69" s="2">
        <v>402478.97209222696</v>
      </c>
      <c r="K69">
        <v>224.89643578522683</v>
      </c>
      <c r="L69">
        <v>141.69181340747608</v>
      </c>
      <c r="M69">
        <f t="shared" si="7"/>
        <v>13.366909423862124</v>
      </c>
      <c r="N69">
        <f t="shared" si="8"/>
        <v>12.905398131226903</v>
      </c>
      <c r="O69" s="4">
        <f t="shared" si="9"/>
        <v>5.415640010841587</v>
      </c>
      <c r="P69">
        <f t="shared" si="10"/>
        <v>4.9536543709096224</v>
      </c>
      <c r="Q69">
        <f t="shared" si="11"/>
        <v>3.7376696182833684</v>
      </c>
      <c r="R69">
        <f t="shared" si="12"/>
        <v>3.5835189384561099</v>
      </c>
      <c r="S69">
        <f t="shared" si="13"/>
        <v>-7.4555060496436454E-2</v>
      </c>
    </row>
    <row r="70" spans="1:19" x14ac:dyDescent="0.35">
      <c r="A70">
        <v>2011</v>
      </c>
      <c r="B70">
        <v>1</v>
      </c>
      <c r="C70">
        <v>3</v>
      </c>
      <c r="D70" s="1">
        <v>28672657.358440731</v>
      </c>
      <c r="E70" s="1">
        <v>17852738.12033049</v>
      </c>
      <c r="F70">
        <v>42</v>
      </c>
      <c r="G70">
        <v>35</v>
      </c>
      <c r="H70" s="1">
        <v>44202611.832212642</v>
      </c>
      <c r="I70" s="2">
        <v>648664.32479778363</v>
      </c>
      <c r="J70" s="2">
        <v>403884.23625502404</v>
      </c>
      <c r="K70">
        <v>221.15796541670471</v>
      </c>
      <c r="L70">
        <v>149.78595631641093</v>
      </c>
      <c r="M70">
        <f t="shared" si="7"/>
        <v>13.382670642772551</v>
      </c>
      <c r="N70">
        <f t="shared" si="8"/>
        <v>12.908883571958524</v>
      </c>
      <c r="O70" s="4">
        <f t="shared" si="9"/>
        <v>5.3988772218285037</v>
      </c>
      <c r="P70">
        <f t="shared" si="10"/>
        <v>5.0092073171316853</v>
      </c>
      <c r="Q70">
        <f t="shared" si="11"/>
        <v>3.7376696182833684</v>
      </c>
      <c r="R70">
        <f t="shared" si="12"/>
        <v>3.5553480614894135</v>
      </c>
      <c r="S70">
        <f t="shared" si="13"/>
        <v>-1.9350658347535354E-2</v>
      </c>
    </row>
    <row r="71" spans="1:19" x14ac:dyDescent="0.35">
      <c r="A71">
        <v>2011</v>
      </c>
      <c r="B71">
        <v>2</v>
      </c>
      <c r="C71">
        <v>6</v>
      </c>
      <c r="D71" s="1">
        <v>29062587.191404831</v>
      </c>
      <c r="E71" s="1">
        <v>18332075.017477889</v>
      </c>
      <c r="F71">
        <v>42</v>
      </c>
      <c r="G71">
        <v>35</v>
      </c>
      <c r="H71" s="1">
        <v>44319238.569423452</v>
      </c>
      <c r="I71" s="2">
        <v>655755.56190750015</v>
      </c>
      <c r="J71" s="2">
        <v>413636.95788143523</v>
      </c>
      <c r="K71">
        <v>223.9915131215854</v>
      </c>
      <c r="L71">
        <v>147.63468531468533</v>
      </c>
      <c r="M71">
        <f t="shared" si="7"/>
        <v>13.393543379443056</v>
      </c>
      <c r="N71">
        <f t="shared" si="8"/>
        <v>12.932743954764167</v>
      </c>
      <c r="O71" s="4">
        <f t="shared" si="9"/>
        <v>5.4116081632872124</v>
      </c>
      <c r="P71">
        <f t="shared" si="10"/>
        <v>4.9947408799162352</v>
      </c>
      <c r="Q71">
        <f t="shared" si="11"/>
        <v>3.7376696182833684</v>
      </c>
      <c r="R71">
        <f t="shared" si="12"/>
        <v>3.5553480614894135</v>
      </c>
      <c r="S71">
        <f t="shared" si="13"/>
        <v>-3.6203133843550006E-2</v>
      </c>
    </row>
    <row r="72" spans="1:19" x14ac:dyDescent="0.35">
      <c r="A72">
        <v>2011</v>
      </c>
      <c r="B72">
        <v>3</v>
      </c>
      <c r="C72">
        <v>9</v>
      </c>
      <c r="D72" s="1">
        <v>29727166.005575657</v>
      </c>
      <c r="E72" s="1">
        <v>18421183.298903782</v>
      </c>
      <c r="F72">
        <v>42</v>
      </c>
      <c r="G72">
        <v>35</v>
      </c>
      <c r="H72" s="1">
        <v>44436173.021388412</v>
      </c>
      <c r="I72" s="2">
        <v>668985.73806675733</v>
      </c>
      <c r="J72" s="2">
        <v>414553.77559262665</v>
      </c>
      <c r="K72">
        <v>223.24434918068525</v>
      </c>
      <c r="L72">
        <v>148.53576537200757</v>
      </c>
      <c r="M72">
        <f t="shared" si="7"/>
        <v>13.413518020597264</v>
      </c>
      <c r="N72">
        <f t="shared" si="8"/>
        <v>12.934957981192255</v>
      </c>
      <c r="O72" s="4">
        <f t="shared" si="9"/>
        <v>5.4082669078155936</v>
      </c>
      <c r="P72">
        <f t="shared" si="10"/>
        <v>5.0008257735003756</v>
      </c>
      <c r="Q72">
        <f t="shared" si="11"/>
        <v>3.7376696182833684</v>
      </c>
      <c r="R72">
        <f t="shared" si="12"/>
        <v>3.5553480614894135</v>
      </c>
      <c r="S72">
        <f t="shared" si="13"/>
        <v>-3.0339642902218689E-2</v>
      </c>
    </row>
    <row r="73" spans="1:19" x14ac:dyDescent="0.35">
      <c r="A73">
        <v>2011</v>
      </c>
      <c r="B73">
        <v>4</v>
      </c>
      <c r="C73">
        <v>12</v>
      </c>
      <c r="D73" s="1">
        <v>29948516.956956971</v>
      </c>
      <c r="E73" s="1">
        <v>18808959.744131356</v>
      </c>
      <c r="F73">
        <v>42</v>
      </c>
      <c r="G73">
        <v>35</v>
      </c>
      <c r="H73" s="1">
        <v>44553415.999999985</v>
      </c>
      <c r="I73" s="2">
        <v>672193.50715906895</v>
      </c>
      <c r="J73" s="2">
        <v>422166.50108560396</v>
      </c>
      <c r="K73">
        <v>231.22423324864698</v>
      </c>
      <c r="L73">
        <v>141.08140871177017</v>
      </c>
      <c r="M73">
        <f t="shared" si="7"/>
        <v>13.418301535135551</v>
      </c>
      <c r="N73">
        <f t="shared" si="8"/>
        <v>12.953155067538399</v>
      </c>
      <c r="O73" s="4">
        <f t="shared" si="9"/>
        <v>5.4433879463948083</v>
      </c>
      <c r="P73">
        <f t="shared" si="10"/>
        <v>4.9493370905162566</v>
      </c>
      <c r="Q73">
        <f t="shared" si="11"/>
        <v>3.7376696182833684</v>
      </c>
      <c r="R73">
        <f t="shared" si="12"/>
        <v>3.5553480614894135</v>
      </c>
      <c r="S73">
        <f t="shared" si="13"/>
        <v>-8.3648034520952042E-2</v>
      </c>
    </row>
    <row r="74" spans="1:19" x14ac:dyDescent="0.35">
      <c r="A74">
        <v>2012</v>
      </c>
      <c r="B74">
        <v>1</v>
      </c>
      <c r="C74">
        <v>3</v>
      </c>
      <c r="D74" s="1">
        <v>30398015.978472378</v>
      </c>
      <c r="E74" s="1">
        <v>19026473.316410605</v>
      </c>
      <c r="F74">
        <v>41</v>
      </c>
      <c r="G74">
        <v>35</v>
      </c>
      <c r="H74" s="1">
        <v>44665034.595942758</v>
      </c>
      <c r="I74" s="2">
        <v>680577.46408269089</v>
      </c>
      <c r="J74" s="2">
        <v>425981.3854065371</v>
      </c>
      <c r="K74">
        <v>230.018085437656</v>
      </c>
      <c r="L74">
        <v>149.2238341204251</v>
      </c>
      <c r="M74">
        <f t="shared" si="7"/>
        <v>13.430696928662195</v>
      </c>
      <c r="N74">
        <f t="shared" si="8"/>
        <v>12.962150928068013</v>
      </c>
      <c r="O74" s="4">
        <f t="shared" si="9"/>
        <v>5.4381579381694696</v>
      </c>
      <c r="P74">
        <f t="shared" si="10"/>
        <v>5.0054474211270579</v>
      </c>
      <c r="Q74">
        <f t="shared" si="11"/>
        <v>3.713572066704308</v>
      </c>
      <c r="R74">
        <f t="shared" si="12"/>
        <v>3.5553480614894135</v>
      </c>
      <c r="S74">
        <f t="shared" si="13"/>
        <v>-4.3397383840515502E-3</v>
      </c>
    </row>
    <row r="75" spans="1:19" x14ac:dyDescent="0.35">
      <c r="A75">
        <v>2012</v>
      </c>
      <c r="B75">
        <v>2</v>
      </c>
      <c r="C75">
        <v>6</v>
      </c>
      <c r="D75" s="1">
        <v>30439861.401476134</v>
      </c>
      <c r="E75" s="1">
        <v>19344890.15827452</v>
      </c>
      <c r="F75">
        <v>41</v>
      </c>
      <c r="G75">
        <v>35</v>
      </c>
      <c r="H75" s="1">
        <v>44776932.827255338</v>
      </c>
      <c r="I75" s="2">
        <v>679811.22152582207</v>
      </c>
      <c r="J75" s="2">
        <v>432028.03177486622</v>
      </c>
      <c r="K75">
        <v>233.84087776176466</v>
      </c>
      <c r="L75">
        <v>148.40327672327672</v>
      </c>
      <c r="M75">
        <f t="shared" si="7"/>
        <v>13.429570423206798</v>
      </c>
      <c r="N75">
        <f t="shared" si="8"/>
        <v>12.976245753488834</v>
      </c>
      <c r="O75" s="4">
        <f t="shared" si="9"/>
        <v>5.4546408744812203</v>
      </c>
      <c r="P75">
        <f t="shared" si="10"/>
        <v>4.9999334108350437</v>
      </c>
      <c r="Q75">
        <f t="shared" si="11"/>
        <v>3.713572066704308</v>
      </c>
      <c r="R75">
        <f t="shared" si="12"/>
        <v>3.5553480614894135</v>
      </c>
      <c r="S75">
        <f t="shared" si="13"/>
        <v>-1.1263231218147762E-2</v>
      </c>
    </row>
    <row r="76" spans="1:19" x14ac:dyDescent="0.35">
      <c r="A76">
        <v>2012</v>
      </c>
      <c r="B76">
        <v>3</v>
      </c>
      <c r="C76">
        <v>9</v>
      </c>
      <c r="D76" s="1">
        <v>30399137.526391022</v>
      </c>
      <c r="E76" s="1">
        <v>19493842.781421218</v>
      </c>
      <c r="F76">
        <v>41</v>
      </c>
      <c r="G76">
        <v>35</v>
      </c>
      <c r="H76" s="1">
        <v>44889111.394501485</v>
      </c>
      <c r="I76" s="2">
        <v>677205.15247523133</v>
      </c>
      <c r="J76" s="2">
        <v>434266.62225728616</v>
      </c>
      <c r="K76">
        <v>234.99131300149071</v>
      </c>
      <c r="L76">
        <v>150.43723154862425</v>
      </c>
      <c r="M76">
        <f t="shared" si="7"/>
        <v>13.425729537710742</v>
      </c>
      <c r="N76">
        <f t="shared" si="8"/>
        <v>12.981413961453173</v>
      </c>
      <c r="O76" s="4">
        <f t="shared" si="9"/>
        <v>5.4595485475097982</v>
      </c>
      <c r="P76">
        <f t="shared" si="10"/>
        <v>5.0135459310705679</v>
      </c>
      <c r="Q76">
        <f t="shared" si="11"/>
        <v>3.713572066704308</v>
      </c>
      <c r="R76">
        <f t="shared" si="12"/>
        <v>3.5553480614894135</v>
      </c>
      <c r="S76">
        <f t="shared" si="13"/>
        <v>1.832468220942296E-3</v>
      </c>
    </row>
    <row r="77" spans="1:19" x14ac:dyDescent="0.35">
      <c r="A77">
        <v>2012</v>
      </c>
      <c r="B77">
        <v>4</v>
      </c>
      <c r="C77">
        <v>12</v>
      </c>
      <c r="D77" s="1">
        <v>30767774.550443422</v>
      </c>
      <c r="E77" s="1">
        <v>19685850.603100009</v>
      </c>
      <c r="F77">
        <v>41</v>
      </c>
      <c r="G77">
        <v>35</v>
      </c>
      <c r="H77" s="1">
        <v>45001571.000000022</v>
      </c>
      <c r="I77" s="2">
        <v>683704.45446100994</v>
      </c>
      <c r="J77" s="2">
        <v>437448.07493720605</v>
      </c>
      <c r="K77">
        <v>241.72237956285767</v>
      </c>
      <c r="L77">
        <v>145.97763361136859</v>
      </c>
      <c r="M77">
        <f t="shared" si="7"/>
        <v>13.435281019108114</v>
      </c>
      <c r="N77">
        <f t="shared" si="8"/>
        <v>12.988713291878268</v>
      </c>
      <c r="O77" s="4">
        <f t="shared" si="9"/>
        <v>5.4877898757393666</v>
      </c>
      <c r="P77">
        <f t="shared" si="10"/>
        <v>4.9834534155301879</v>
      </c>
      <c r="Q77">
        <f t="shared" si="11"/>
        <v>3.713572066704308</v>
      </c>
      <c r="R77">
        <f t="shared" si="12"/>
        <v>3.5553480614894135</v>
      </c>
      <c r="S77">
        <f t="shared" si="13"/>
        <v>-2.8989980361946888E-2</v>
      </c>
    </row>
    <row r="78" spans="1:19" x14ac:dyDescent="0.35">
      <c r="A78">
        <v>2013</v>
      </c>
      <c r="B78">
        <v>1</v>
      </c>
      <c r="C78">
        <v>3</v>
      </c>
      <c r="D78" s="1">
        <v>31125760.024163611</v>
      </c>
      <c r="E78" s="1">
        <v>20035473.189364575</v>
      </c>
      <c r="F78">
        <v>41</v>
      </c>
      <c r="G78">
        <v>35</v>
      </c>
      <c r="H78" s="1">
        <v>45109524.675417736</v>
      </c>
      <c r="I78" s="2">
        <v>690004.16759269184</v>
      </c>
      <c r="J78" s="2">
        <v>444151.72479710984</v>
      </c>
      <c r="K78">
        <v>230.096370254519</v>
      </c>
      <c r="L78">
        <v>151.69455726092096</v>
      </c>
      <c r="M78">
        <f t="shared" si="7"/>
        <v>13.444452916544609</v>
      </c>
      <c r="N78">
        <f t="shared" si="8"/>
        <v>13.003921505556534</v>
      </c>
      <c r="O78" s="4">
        <f t="shared" si="9"/>
        <v>5.4384982222733482</v>
      </c>
      <c r="P78">
        <f t="shared" si="10"/>
        <v>5.0218690074044572</v>
      </c>
      <c r="Q78">
        <f t="shared" si="11"/>
        <v>3.713572066704308</v>
      </c>
      <c r="R78">
        <f t="shared" si="12"/>
        <v>3.5553480614894135</v>
      </c>
      <c r="S78">
        <f t="shared" si="13"/>
        <v>7.9047901444955215E-3</v>
      </c>
    </row>
    <row r="79" spans="1:19" x14ac:dyDescent="0.35">
      <c r="A79">
        <v>2013</v>
      </c>
      <c r="B79">
        <v>2</v>
      </c>
      <c r="C79">
        <v>6</v>
      </c>
      <c r="D79" s="1">
        <v>32104403.551456414</v>
      </c>
      <c r="E79" s="1">
        <v>20324503.179876521</v>
      </c>
      <c r="F79">
        <v>41</v>
      </c>
      <c r="G79">
        <v>35</v>
      </c>
      <c r="H79" s="1">
        <v>45217737.319484286</v>
      </c>
      <c r="I79" s="2">
        <v>709995.79931706691</v>
      </c>
      <c r="J79" s="2">
        <v>449480.76539687248</v>
      </c>
      <c r="K79">
        <v>239.53567412716427</v>
      </c>
      <c r="L79">
        <v>153.06693306693305</v>
      </c>
      <c r="M79">
        <f t="shared" si="7"/>
        <v>13.47301433254516</v>
      </c>
      <c r="N79">
        <f t="shared" si="8"/>
        <v>13.015848340870065</v>
      </c>
      <c r="O79" s="4">
        <f t="shared" si="9"/>
        <v>5.4787023582729013</v>
      </c>
      <c r="P79">
        <f t="shared" si="10"/>
        <v>5.0308752967555908</v>
      </c>
      <c r="Q79">
        <f t="shared" si="11"/>
        <v>3.713572066704308</v>
      </c>
      <c r="R79">
        <f t="shared" si="12"/>
        <v>3.5553480614894135</v>
      </c>
      <c r="S79">
        <f t="shared" si="13"/>
        <v>1.5718395964276155E-2</v>
      </c>
    </row>
    <row r="80" spans="1:19" x14ac:dyDescent="0.35">
      <c r="A80">
        <v>2013</v>
      </c>
      <c r="B80">
        <v>3</v>
      </c>
      <c r="C80">
        <v>9</v>
      </c>
      <c r="D80" s="1">
        <v>32309276.043633349</v>
      </c>
      <c r="E80" s="1">
        <v>20273451.89809021</v>
      </c>
      <c r="F80">
        <v>41</v>
      </c>
      <c r="G80">
        <v>35</v>
      </c>
      <c r="H80" s="1">
        <v>45326209.553436123</v>
      </c>
      <c r="I80" s="2">
        <v>712816.63218591432</v>
      </c>
      <c r="J80" s="2">
        <v>447278.78412575769</v>
      </c>
      <c r="K80">
        <v>237.34323491655701</v>
      </c>
      <c r="L80">
        <v>153.96666534220725</v>
      </c>
      <c r="M80">
        <f t="shared" si="7"/>
        <v>13.476979488460669</v>
      </c>
      <c r="N80">
        <f t="shared" si="8"/>
        <v>13.010937357323012</v>
      </c>
      <c r="O80" s="4">
        <f t="shared" si="9"/>
        <v>5.4695073420276366</v>
      </c>
      <c r="P80">
        <f t="shared" si="10"/>
        <v>5.0367361201662018</v>
      </c>
      <c r="Q80">
        <f t="shared" si="11"/>
        <v>3.713572066704308</v>
      </c>
      <c r="R80">
        <f t="shared" si="12"/>
        <v>3.5553480614894135</v>
      </c>
      <c r="S80">
        <f t="shared" si="13"/>
        <v>2.2070317729592226E-2</v>
      </c>
    </row>
    <row r="81" spans="1:19" x14ac:dyDescent="0.35">
      <c r="A81">
        <v>2013</v>
      </c>
      <c r="B81">
        <v>4</v>
      </c>
      <c r="C81">
        <v>12</v>
      </c>
      <c r="D81" s="1">
        <v>32729067.822277822</v>
      </c>
      <c r="E81" s="1">
        <v>20505836.385275539</v>
      </c>
      <c r="F81">
        <v>41</v>
      </c>
      <c r="G81">
        <v>35</v>
      </c>
      <c r="H81" s="1">
        <v>45434942</v>
      </c>
      <c r="I81" s="2">
        <v>720350.16182650393</v>
      </c>
      <c r="J81" s="2">
        <v>451323.04527373536</v>
      </c>
      <c r="K81">
        <v>247.05034726836587</v>
      </c>
      <c r="L81">
        <v>148.32834105653384</v>
      </c>
      <c r="M81">
        <f t="shared" si="7"/>
        <v>13.487492708639422</v>
      </c>
      <c r="N81">
        <f t="shared" si="8"/>
        <v>13.019938648711971</v>
      </c>
      <c r="O81" s="4">
        <f t="shared" si="9"/>
        <v>5.5095921509510255</v>
      </c>
      <c r="P81">
        <f t="shared" si="10"/>
        <v>4.9994283371331134</v>
      </c>
      <c r="Q81">
        <f t="shared" si="11"/>
        <v>3.713572066704308</v>
      </c>
      <c r="R81">
        <f t="shared" si="12"/>
        <v>3.5553480614894135</v>
      </c>
      <c r="S81">
        <f t="shared" si="13"/>
        <v>-1.6137594442391823E-2</v>
      </c>
    </row>
    <row r="82" spans="1:19" x14ac:dyDescent="0.35">
      <c r="A82">
        <v>2014</v>
      </c>
      <c r="B82">
        <v>1</v>
      </c>
      <c r="C82">
        <v>3</v>
      </c>
      <c r="D82" s="1">
        <v>33205977.215645406</v>
      </c>
      <c r="E82" s="1">
        <v>20850089.895119272</v>
      </c>
      <c r="F82">
        <v>41</v>
      </c>
      <c r="G82">
        <v>36</v>
      </c>
      <c r="H82" s="1">
        <v>45542327.689930327</v>
      </c>
      <c r="I82" s="2">
        <v>729123.40892464831</v>
      </c>
      <c r="J82" s="2">
        <v>457817.83568628062</v>
      </c>
      <c r="K82">
        <v>240.53484555136743</v>
      </c>
      <c r="L82">
        <v>155.83857438016534</v>
      </c>
      <c r="M82">
        <f t="shared" si="7"/>
        <v>13.499598281882665</v>
      </c>
      <c r="N82">
        <f t="shared" si="8"/>
        <v>13.034226645301072</v>
      </c>
      <c r="O82" s="4">
        <f t="shared" si="9"/>
        <v>5.4828649669980445</v>
      </c>
      <c r="P82">
        <f t="shared" si="10"/>
        <v>5.048820691881164</v>
      </c>
      <c r="Q82">
        <f t="shared" si="11"/>
        <v>3.713572066704308</v>
      </c>
      <c r="R82">
        <f t="shared" si="12"/>
        <v>3.5835189384561099</v>
      </c>
      <c r="S82">
        <f t="shared" si="13"/>
        <v>3.1825960646748808E-2</v>
      </c>
    </row>
    <row r="83" spans="1:19" x14ac:dyDescent="0.35">
      <c r="A83">
        <v>2014</v>
      </c>
      <c r="B83">
        <v>2</v>
      </c>
      <c r="C83">
        <v>6</v>
      </c>
      <c r="D83" s="1">
        <v>33219429.593272433</v>
      </c>
      <c r="E83" s="1">
        <v>21081887.744009335</v>
      </c>
      <c r="F83">
        <v>41</v>
      </c>
      <c r="G83">
        <v>36</v>
      </c>
      <c r="H83" s="1">
        <v>45649967.186422169</v>
      </c>
      <c r="I83" s="2">
        <v>727698.87123058003</v>
      </c>
      <c r="J83" s="2">
        <v>461816.05471733602</v>
      </c>
      <c r="K83">
        <v>247.40171071914639</v>
      </c>
      <c r="L83">
        <v>153.10601398601398</v>
      </c>
      <c r="M83">
        <f t="shared" si="7"/>
        <v>13.497642603187321</v>
      </c>
      <c r="N83">
        <f t="shared" si="8"/>
        <v>13.042921940818658</v>
      </c>
      <c r="O83" s="4">
        <f t="shared" si="9"/>
        <v>5.5110133747248859</v>
      </c>
      <c r="P83">
        <f t="shared" si="10"/>
        <v>5.0311305833161404</v>
      </c>
      <c r="Q83">
        <f t="shared" si="11"/>
        <v>3.713572066704308</v>
      </c>
      <c r="R83">
        <f t="shared" si="12"/>
        <v>3.5835189384561099</v>
      </c>
      <c r="S83">
        <f t="shared" si="13"/>
        <v>1.3266322529966512E-2</v>
      </c>
    </row>
    <row r="84" spans="1:19" x14ac:dyDescent="0.35">
      <c r="A84">
        <v>2014</v>
      </c>
      <c r="B84">
        <v>3</v>
      </c>
      <c r="C84">
        <v>9</v>
      </c>
      <c r="D84" s="1">
        <v>33669729.104490548</v>
      </c>
      <c r="E84" s="1">
        <v>21129712.845752787</v>
      </c>
      <c r="F84">
        <v>41</v>
      </c>
      <c r="G84">
        <v>36</v>
      </c>
      <c r="H84" s="1">
        <v>45757861.089348488</v>
      </c>
      <c r="I84" s="2">
        <v>735823.92845561111</v>
      </c>
      <c r="J84" s="2">
        <v>461772.30191101221</v>
      </c>
      <c r="K84">
        <v>248.22972835434439</v>
      </c>
      <c r="L84">
        <v>154.29225886560053</v>
      </c>
      <c r="M84">
        <f t="shared" si="7"/>
        <v>13.508746141449684</v>
      </c>
      <c r="N84">
        <f t="shared" si="8"/>
        <v>13.042827195565446</v>
      </c>
      <c r="O84" s="4">
        <f t="shared" si="9"/>
        <v>5.514354641401118</v>
      </c>
      <c r="P84">
        <f t="shared" si="10"/>
        <v>5.0388485887366468</v>
      </c>
      <c r="Q84">
        <f t="shared" si="11"/>
        <v>3.713572066704308</v>
      </c>
      <c r="R84">
        <f t="shared" si="12"/>
        <v>3.5835189384561099</v>
      </c>
      <c r="S84">
        <f t="shared" si="13"/>
        <v>2.0993802475794077E-2</v>
      </c>
    </row>
    <row r="85" spans="1:19" x14ac:dyDescent="0.35">
      <c r="A85">
        <v>2014</v>
      </c>
      <c r="B85">
        <v>4</v>
      </c>
      <c r="C85">
        <v>12</v>
      </c>
      <c r="D85" s="1">
        <v>33944210.159893282</v>
      </c>
      <c r="E85" s="1">
        <v>21525247.910910126</v>
      </c>
      <c r="F85">
        <v>41</v>
      </c>
      <c r="G85">
        <v>36</v>
      </c>
      <c r="H85" s="1">
        <v>45866010.000000015</v>
      </c>
      <c r="I85" s="2">
        <v>740073.31703571486</v>
      </c>
      <c r="J85" s="2">
        <v>469307.182179355</v>
      </c>
      <c r="K85">
        <v>261.59028914381963</v>
      </c>
      <c r="L85">
        <v>146.73089898053755</v>
      </c>
      <c r="M85">
        <f t="shared" si="7"/>
        <v>13.514504537347834</v>
      </c>
      <c r="N85">
        <f t="shared" si="8"/>
        <v>13.059012805691303</v>
      </c>
      <c r="O85" s="4">
        <f t="shared" si="9"/>
        <v>5.5667794978841778</v>
      </c>
      <c r="P85">
        <f t="shared" si="10"/>
        <v>4.9886002899677138</v>
      </c>
      <c r="Q85">
        <f t="shared" si="11"/>
        <v>3.713572066704308</v>
      </c>
      <c r="R85">
        <f t="shared" si="12"/>
        <v>3.5835189384561099</v>
      </c>
      <c r="S85">
        <f t="shared" si="13"/>
        <v>-3.0873057305724316E-2</v>
      </c>
    </row>
    <row r="86" spans="1:19" x14ac:dyDescent="0.35">
      <c r="A86">
        <v>2015</v>
      </c>
      <c r="B86">
        <v>1</v>
      </c>
      <c r="C86">
        <v>3</v>
      </c>
      <c r="D86" s="1">
        <v>34181758.467255272</v>
      </c>
      <c r="E86" s="1">
        <v>21584885.004526705</v>
      </c>
      <c r="F86">
        <v>41</v>
      </c>
      <c r="G86">
        <v>35</v>
      </c>
      <c r="H86" s="1">
        <v>45977574.286781207</v>
      </c>
      <c r="I86" s="2">
        <v>743444.14635816729</v>
      </c>
      <c r="J86" s="2">
        <v>469465.50224448164</v>
      </c>
      <c r="K86">
        <v>246.83000483853783</v>
      </c>
      <c r="L86">
        <v>149.11206198708774</v>
      </c>
      <c r="M86">
        <f t="shared" si="7"/>
        <v>13.519048919475658</v>
      </c>
      <c r="N86">
        <f t="shared" si="8"/>
        <v>13.059350097283303</v>
      </c>
      <c r="O86" s="4">
        <f t="shared" si="9"/>
        <v>5.5086998601623458</v>
      </c>
      <c r="P86">
        <f t="shared" si="10"/>
        <v>5.0046981171376608</v>
      </c>
      <c r="Q86">
        <f t="shared" si="11"/>
        <v>3.713572066704308</v>
      </c>
      <c r="R86">
        <f t="shared" si="12"/>
        <v>3.5553480614894135</v>
      </c>
      <c r="S86">
        <f t="shared" si="13"/>
        <v>-1.4808959294977608E-2</v>
      </c>
    </row>
    <row r="87" spans="1:19" x14ac:dyDescent="0.35">
      <c r="A87">
        <v>2015</v>
      </c>
      <c r="B87">
        <v>2</v>
      </c>
      <c r="C87">
        <v>6</v>
      </c>
      <c r="D87" s="1">
        <v>34376425.902559586</v>
      </c>
      <c r="E87" s="1">
        <v>21735701.948564146</v>
      </c>
      <c r="F87">
        <v>41</v>
      </c>
      <c r="G87">
        <v>35</v>
      </c>
      <c r="H87" s="1">
        <v>46089409.942056961</v>
      </c>
      <c r="I87" s="2">
        <v>745863.87514566153</v>
      </c>
      <c r="J87" s="2">
        <v>471598.61616562249</v>
      </c>
      <c r="K87">
        <v>257.96254953107115</v>
      </c>
      <c r="L87">
        <v>150.51896491462685</v>
      </c>
      <c r="M87">
        <f t="shared" si="7"/>
        <v>13.522298389540584</v>
      </c>
      <c r="N87">
        <f t="shared" si="8"/>
        <v>13.063883513301825</v>
      </c>
      <c r="O87" s="4">
        <f t="shared" si="9"/>
        <v>5.5528144175290279</v>
      </c>
      <c r="P87">
        <f t="shared" si="10"/>
        <v>5.0140890889717671</v>
      </c>
      <c r="Q87">
        <f t="shared" si="11"/>
        <v>3.713572066704308</v>
      </c>
      <c r="R87">
        <f t="shared" si="12"/>
        <v>3.5553480614894135</v>
      </c>
      <c r="S87">
        <f t="shared" si="13"/>
        <v>-5.8713290627236958E-3</v>
      </c>
    </row>
    <row r="88" spans="1:19" x14ac:dyDescent="0.35">
      <c r="A88">
        <v>2015</v>
      </c>
      <c r="B88">
        <v>3</v>
      </c>
      <c r="C88">
        <v>9</v>
      </c>
      <c r="D88" s="1">
        <v>34816845.561067611</v>
      </c>
      <c r="E88" s="1">
        <v>21933432.622178432</v>
      </c>
      <c r="F88">
        <v>41</v>
      </c>
      <c r="G88">
        <v>35</v>
      </c>
      <c r="H88" s="1">
        <v>46201517.625902839</v>
      </c>
      <c r="I88" s="2">
        <v>753586.62117946486</v>
      </c>
      <c r="J88" s="2">
        <v>474734.02929693967</v>
      </c>
      <c r="K88">
        <v>257.3585554410443</v>
      </c>
      <c r="L88">
        <v>149.78313527776669</v>
      </c>
      <c r="M88">
        <f t="shared" si="7"/>
        <v>13.532599248874737</v>
      </c>
      <c r="N88">
        <f t="shared" si="8"/>
        <v>13.07050998787054</v>
      </c>
      <c r="O88" s="4">
        <f t="shared" si="9"/>
        <v>5.5504702699256034</v>
      </c>
      <c r="P88">
        <f t="shared" si="10"/>
        <v>5.0091884831549933</v>
      </c>
      <c r="Q88">
        <f t="shared" si="11"/>
        <v>3.713572066704308</v>
      </c>
      <c r="R88">
        <f t="shared" si="12"/>
        <v>3.5553480614894135</v>
      </c>
      <c r="S88">
        <f t="shared" si="13"/>
        <v>-1.1434582336368848E-2</v>
      </c>
    </row>
    <row r="89" spans="1:19" x14ac:dyDescent="0.35">
      <c r="A89">
        <v>2015</v>
      </c>
      <c r="B89">
        <v>4</v>
      </c>
      <c r="C89">
        <v>12</v>
      </c>
      <c r="D89" s="1">
        <v>34626387.016409516</v>
      </c>
      <c r="E89" s="1">
        <v>21948782.91513335</v>
      </c>
      <c r="F89">
        <v>41</v>
      </c>
      <c r="G89">
        <v>35</v>
      </c>
      <c r="H89" s="1">
        <v>46313897.999999978</v>
      </c>
      <c r="I89" s="2">
        <v>747645.70704909205</v>
      </c>
      <c r="J89" s="2">
        <v>473913.53055908531</v>
      </c>
      <c r="K89">
        <v>268.77885369524552</v>
      </c>
      <c r="L89">
        <v>147.73972919349976</v>
      </c>
      <c r="M89">
        <f t="shared" si="7"/>
        <v>13.524684491069593</v>
      </c>
      <c r="N89">
        <f t="shared" si="8"/>
        <v>13.068780159054921</v>
      </c>
      <c r="O89" s="4">
        <f t="shared" si="9"/>
        <v>5.5938889362658824</v>
      </c>
      <c r="P89">
        <f t="shared" si="10"/>
        <v>4.9954521391051374</v>
      </c>
      <c r="Q89">
        <f t="shared" si="11"/>
        <v>3.713572066704308</v>
      </c>
      <c r="R89">
        <f t="shared" si="12"/>
        <v>3.5553480614894135</v>
      </c>
      <c r="S89">
        <f t="shared" si="13"/>
        <v>-2.4997943504662778E-2</v>
      </c>
    </row>
    <row r="90" spans="1:19" x14ac:dyDescent="0.35">
      <c r="A90">
        <v>2016</v>
      </c>
      <c r="B90">
        <v>1</v>
      </c>
      <c r="C90">
        <v>3</v>
      </c>
      <c r="D90" s="1">
        <v>35046535.05948811</v>
      </c>
      <c r="E90" s="1">
        <v>22003051.978237793</v>
      </c>
      <c r="F90">
        <v>45</v>
      </c>
      <c r="G90">
        <v>39</v>
      </c>
      <c r="H90" s="1">
        <v>46442416.561594494</v>
      </c>
      <c r="I90" s="2">
        <v>754623.41657022655</v>
      </c>
      <c r="J90" s="2">
        <v>473770.60900903231</v>
      </c>
      <c r="K90">
        <v>262.91099371067702</v>
      </c>
      <c r="L90">
        <v>147.076002143734</v>
      </c>
      <c r="M90">
        <f t="shared" si="7"/>
        <v>13.533974117796346</v>
      </c>
      <c r="N90">
        <f t="shared" si="8"/>
        <v>13.068478536298626</v>
      </c>
      <c r="O90" s="4">
        <f t="shared" si="9"/>
        <v>5.5718155479428377</v>
      </c>
      <c r="P90">
        <f t="shared" si="10"/>
        <v>4.9909494745551761</v>
      </c>
      <c r="Q90">
        <f t="shared" si="11"/>
        <v>3.8066624897703196</v>
      </c>
      <c r="R90">
        <f t="shared" si="12"/>
        <v>3.6635616461296463</v>
      </c>
      <c r="S90">
        <f t="shared" si="13"/>
        <v>-0.12256086884500617</v>
      </c>
    </row>
    <row r="91" spans="1:19" x14ac:dyDescent="0.35">
      <c r="A91">
        <v>2016</v>
      </c>
      <c r="B91">
        <v>2</v>
      </c>
      <c r="C91">
        <v>6</v>
      </c>
      <c r="D91" s="1">
        <v>35124277.572111472</v>
      </c>
      <c r="E91" s="1">
        <v>22069607.275238905</v>
      </c>
      <c r="F91">
        <v>45</v>
      </c>
      <c r="G91">
        <v>39</v>
      </c>
      <c r="H91" s="1">
        <v>46571291.755245186</v>
      </c>
      <c r="I91" s="2">
        <v>754204.49483571667</v>
      </c>
      <c r="J91" s="2">
        <v>473888.66495749005</v>
      </c>
      <c r="K91">
        <v>274.25791931204344</v>
      </c>
      <c r="L91">
        <v>147.06039926189953</v>
      </c>
      <c r="M91">
        <f t="shared" si="7"/>
        <v>13.533418823528381</v>
      </c>
      <c r="N91">
        <f t="shared" si="8"/>
        <v>13.068727689031705</v>
      </c>
      <c r="O91" s="4">
        <f t="shared" si="9"/>
        <v>5.6140689749901824</v>
      </c>
      <c r="P91">
        <f t="shared" si="10"/>
        <v>4.9908433817235878</v>
      </c>
      <c r="Q91">
        <f t="shared" si="11"/>
        <v>3.8066624897703196</v>
      </c>
      <c r="R91">
        <f t="shared" si="12"/>
        <v>3.6635616461296463</v>
      </c>
      <c r="S91">
        <f t="shared" si="13"/>
        <v>-0.12269187694990258</v>
      </c>
    </row>
    <row r="92" spans="1:19" x14ac:dyDescent="0.35">
      <c r="A92">
        <v>2016</v>
      </c>
      <c r="B92">
        <v>3</v>
      </c>
      <c r="C92">
        <v>9</v>
      </c>
      <c r="D92" s="1">
        <v>35289443.790159993</v>
      </c>
      <c r="E92" s="1">
        <v>22144450.510640837</v>
      </c>
      <c r="F92">
        <v>45</v>
      </c>
      <c r="G92">
        <v>39</v>
      </c>
      <c r="H92" s="1">
        <v>46700524.570586741</v>
      </c>
      <c r="I92" s="2">
        <v>755654.11983372539</v>
      </c>
      <c r="J92" s="2">
        <v>474179.90941772022</v>
      </c>
      <c r="K92">
        <v>271.60255690959792</v>
      </c>
      <c r="L92">
        <v>148.99349154090189</v>
      </c>
      <c r="M92">
        <f t="shared" si="7"/>
        <v>13.535339037023007</v>
      </c>
      <c r="N92">
        <f t="shared" si="8"/>
        <v>13.069342084397745</v>
      </c>
      <c r="O92" s="4">
        <f t="shared" si="9"/>
        <v>5.6043398098876427</v>
      </c>
      <c r="P92">
        <f t="shared" si="10"/>
        <v>5.0039026240578748</v>
      </c>
      <c r="Q92">
        <f t="shared" si="11"/>
        <v>3.8066624897703196</v>
      </c>
      <c r="R92">
        <f t="shared" si="12"/>
        <v>3.6635616461296463</v>
      </c>
      <c r="S92">
        <f t="shared" si="13"/>
        <v>-0.10969407415221966</v>
      </c>
    </row>
    <row r="93" spans="1:19" x14ac:dyDescent="0.35">
      <c r="A93">
        <v>2016</v>
      </c>
      <c r="B93">
        <v>4</v>
      </c>
      <c r="C93">
        <v>12</v>
      </c>
      <c r="D93" s="1">
        <v>35421777.954888843</v>
      </c>
      <c r="E93" s="1">
        <v>22366661.332345359</v>
      </c>
      <c r="F93">
        <v>45</v>
      </c>
      <c r="G93">
        <v>39</v>
      </c>
      <c r="H93" s="1">
        <v>46830116.000000007</v>
      </c>
      <c r="I93" s="2">
        <v>756388.85786421795</v>
      </c>
      <c r="J93" s="2">
        <v>477612.76808166259</v>
      </c>
      <c r="K93">
        <v>287.49948936406508</v>
      </c>
      <c r="L93">
        <v>148.19728191198482</v>
      </c>
      <c r="M93">
        <f t="shared" si="7"/>
        <v>13.536310885177006</v>
      </c>
      <c r="N93">
        <f t="shared" si="8"/>
        <v>13.076555574542514</v>
      </c>
      <c r="O93" s="4">
        <f t="shared" si="9"/>
        <v>5.6612210841108368</v>
      </c>
      <c r="P93">
        <f t="shared" si="10"/>
        <v>4.9985443720189284</v>
      </c>
      <c r="Q93">
        <f t="shared" si="11"/>
        <v>3.8066624897703196</v>
      </c>
      <c r="R93">
        <f t="shared" si="12"/>
        <v>3.6635616461296463</v>
      </c>
      <c r="S93">
        <f t="shared" si="13"/>
        <v>-0.11577367520564241</v>
      </c>
    </row>
    <row r="94" spans="1:19" x14ac:dyDescent="0.35">
      <c r="A94">
        <v>2017</v>
      </c>
      <c r="B94">
        <v>1</v>
      </c>
      <c r="C94">
        <v>3</v>
      </c>
      <c r="D94" s="1">
        <v>35461512.864767455</v>
      </c>
      <c r="E94" s="1">
        <v>22395820.244682275</v>
      </c>
      <c r="F94">
        <v>45</v>
      </c>
      <c r="G94">
        <v>38</v>
      </c>
      <c r="H94" s="1">
        <v>46976697.348852083</v>
      </c>
      <c r="I94" s="2">
        <v>754874.54133754654</v>
      </c>
      <c r="J94" s="2">
        <v>476743.1835058438</v>
      </c>
      <c r="K94">
        <v>278.12897196320881</v>
      </c>
      <c r="L94">
        <v>151.58644243526078</v>
      </c>
      <c r="M94">
        <f t="shared" si="7"/>
        <v>13.534306844009484</v>
      </c>
      <c r="N94">
        <f t="shared" si="8"/>
        <v>13.074733225522682</v>
      </c>
      <c r="O94" s="4">
        <f t="shared" si="9"/>
        <v>5.6280849340345611</v>
      </c>
      <c r="P94">
        <f t="shared" si="10"/>
        <v>5.0211560393626193</v>
      </c>
      <c r="Q94">
        <f t="shared" si="11"/>
        <v>3.8066624897703196</v>
      </c>
      <c r="R94">
        <f t="shared" si="12"/>
        <v>3.6375861597263857</v>
      </c>
      <c r="S94">
        <f t="shared" si="13"/>
        <v>-9.2979772959968621E-2</v>
      </c>
    </row>
    <row r="95" spans="1:19" x14ac:dyDescent="0.35">
      <c r="A95">
        <v>2017</v>
      </c>
      <c r="B95">
        <v>2</v>
      </c>
      <c r="C95">
        <v>6</v>
      </c>
      <c r="D95" s="1">
        <v>35569588.188261971</v>
      </c>
      <c r="E95" s="1">
        <v>22590460.804620106</v>
      </c>
      <c r="F95">
        <v>45</v>
      </c>
      <c r="G95">
        <v>38</v>
      </c>
      <c r="H95" s="1">
        <v>47123737.506984748</v>
      </c>
      <c r="I95" s="2">
        <v>754812.54395387881</v>
      </c>
      <c r="J95" s="2">
        <v>479386.01646933705</v>
      </c>
      <c r="K95">
        <v>286.90092445157353</v>
      </c>
      <c r="L95">
        <v>151.11333074033931</v>
      </c>
      <c r="M95">
        <f t="shared" si="7"/>
        <v>13.534224711249248</v>
      </c>
      <c r="N95">
        <f t="shared" si="8"/>
        <v>13.080261431740434</v>
      </c>
      <c r="O95" s="4">
        <f t="shared" si="9"/>
        <v>5.6591369451904709</v>
      </c>
      <c r="P95">
        <f t="shared" si="10"/>
        <v>5.0180300900088337</v>
      </c>
      <c r="Q95">
        <f t="shared" si="11"/>
        <v>3.8066624897703196</v>
      </c>
      <c r="R95">
        <f t="shared" si="12"/>
        <v>3.6375861597263857</v>
      </c>
      <c r="S95">
        <f t="shared" si="13"/>
        <v>-9.6658542935529113E-2</v>
      </c>
    </row>
    <row r="96" spans="1:19" x14ac:dyDescent="0.35">
      <c r="A96">
        <v>2017</v>
      </c>
      <c r="B96">
        <v>3</v>
      </c>
      <c r="C96">
        <v>9</v>
      </c>
      <c r="D96" s="1">
        <v>35857445.376292609</v>
      </c>
      <c r="E96" s="1">
        <v>22667078.287863888</v>
      </c>
      <c r="F96">
        <v>45</v>
      </c>
      <c r="G96">
        <v>38</v>
      </c>
      <c r="H96" s="1">
        <v>47271237.910501264</v>
      </c>
      <c r="I96" s="2">
        <v>758546.78153725492</v>
      </c>
      <c r="J96" s="2">
        <v>479510.99420708034</v>
      </c>
      <c r="K96">
        <v>288.06725420172074</v>
      </c>
      <c r="L96">
        <v>152.08945605078929</v>
      </c>
      <c r="M96">
        <f t="shared" si="7"/>
        <v>13.539159752252802</v>
      </c>
      <c r="N96">
        <f t="shared" si="8"/>
        <v>13.080522101524696</v>
      </c>
      <c r="O96" s="4">
        <f t="shared" si="9"/>
        <v>5.6631939744077888</v>
      </c>
      <c r="P96">
        <f t="shared" si="10"/>
        <v>5.0244688743823156</v>
      </c>
      <c r="Q96">
        <f t="shared" si="11"/>
        <v>3.8066624897703196</v>
      </c>
      <c r="R96">
        <f t="shared" si="12"/>
        <v>3.6375861597263857</v>
      </c>
      <c r="S96">
        <f t="shared" si="13"/>
        <v>-9.0245825540473668E-2</v>
      </c>
    </row>
    <row r="97" spans="1:19" x14ac:dyDescent="0.35">
      <c r="A97">
        <v>2017</v>
      </c>
      <c r="B97">
        <v>4</v>
      </c>
      <c r="C97">
        <v>12</v>
      </c>
      <c r="D97" s="1">
        <v>35908583.192526296</v>
      </c>
      <c r="E97" s="1">
        <v>22749757.976953458</v>
      </c>
      <c r="F97">
        <v>45</v>
      </c>
      <c r="G97">
        <v>38</v>
      </c>
      <c r="H97" s="1">
        <v>47419200.000000022</v>
      </c>
      <c r="I97" s="2">
        <v>757258.30871305882</v>
      </c>
      <c r="J97" s="2">
        <v>479758.36743246298</v>
      </c>
      <c r="K97">
        <v>303.78200550193964</v>
      </c>
      <c r="L97">
        <v>150.8098157139803</v>
      </c>
      <c r="M97">
        <f t="shared" si="7"/>
        <v>13.537459701048581</v>
      </c>
      <c r="N97">
        <f t="shared" si="8"/>
        <v>13.081037854952791</v>
      </c>
      <c r="O97" s="4">
        <f t="shared" si="9"/>
        <v>5.7163103570115705</v>
      </c>
      <c r="P97">
        <f t="shared" si="10"/>
        <v>5.0160195443970466</v>
      </c>
      <c r="Q97">
        <f t="shared" si="11"/>
        <v>3.8066624897703196</v>
      </c>
      <c r="R97">
        <f t="shared" si="12"/>
        <v>3.6375861597263857</v>
      </c>
      <c r="S97">
        <f t="shared" si="13"/>
        <v>-9.8746730868552568E-2</v>
      </c>
    </row>
    <row r="98" spans="1:19" x14ac:dyDescent="0.35">
      <c r="A98">
        <v>2018</v>
      </c>
      <c r="B98">
        <v>1</v>
      </c>
      <c r="C98">
        <v>3</v>
      </c>
      <c r="D98" s="1">
        <v>36086449.481711224</v>
      </c>
      <c r="E98" s="1">
        <v>23154237.933889091</v>
      </c>
      <c r="F98">
        <v>45</v>
      </c>
      <c r="G98">
        <v>38</v>
      </c>
      <c r="H98" s="1">
        <v>47627645.045497887</v>
      </c>
      <c r="I98" s="2">
        <v>757678.64330135251</v>
      </c>
      <c r="J98" s="2">
        <v>486151.22397444258</v>
      </c>
      <c r="K98">
        <v>296.11992432887234</v>
      </c>
      <c r="L98">
        <v>151.56610176851922</v>
      </c>
      <c r="M98">
        <f t="shared" si="7"/>
        <v>13.538014621302551</v>
      </c>
      <c r="N98">
        <f t="shared" si="8"/>
        <v>13.0942750149235</v>
      </c>
      <c r="O98" s="4">
        <f t="shared" si="9"/>
        <v>5.6907645220327616</v>
      </c>
      <c r="P98">
        <f t="shared" si="10"/>
        <v>5.021021845095337</v>
      </c>
      <c r="Q98">
        <f t="shared" si="11"/>
        <v>3.8066624897703196</v>
      </c>
      <c r="R98">
        <f t="shared" si="12"/>
        <v>3.6375861597263857</v>
      </c>
      <c r="S98">
        <f t="shared" si="13"/>
        <v>-9.5068146167332834E-2</v>
      </c>
    </row>
    <row r="99" spans="1:19" x14ac:dyDescent="0.35">
      <c r="A99">
        <v>2018</v>
      </c>
      <c r="B99">
        <v>2</v>
      </c>
      <c r="C99">
        <v>6</v>
      </c>
      <c r="D99" s="1">
        <v>36547837.194393963</v>
      </c>
      <c r="E99" s="1">
        <v>23376436.534221169</v>
      </c>
      <c r="F99">
        <v>45</v>
      </c>
      <c r="G99">
        <v>38</v>
      </c>
      <c r="H99" s="1">
        <v>47837006.372522935</v>
      </c>
      <c r="I99" s="2">
        <v>764007.61598214577</v>
      </c>
      <c r="J99" s="2">
        <v>488668.46625353093</v>
      </c>
      <c r="K99">
        <v>306.97847603866438</v>
      </c>
      <c r="L99">
        <v>152.59931707749581</v>
      </c>
      <c r="M99">
        <f t="shared" si="7"/>
        <v>13.54633303666199</v>
      </c>
      <c r="N99">
        <f t="shared" si="8"/>
        <v>13.099439555400906</v>
      </c>
      <c r="O99" s="4">
        <f t="shared" si="9"/>
        <v>5.7267776345060897</v>
      </c>
      <c r="P99">
        <f t="shared" si="10"/>
        <v>5.0278156435945744</v>
      </c>
      <c r="Q99">
        <f t="shared" si="11"/>
        <v>3.8066624897703196</v>
      </c>
      <c r="R99">
        <f t="shared" si="12"/>
        <v>3.6375861597263857</v>
      </c>
      <c r="S99">
        <f t="shared" si="13"/>
        <v>-8.8790801715835865E-2</v>
      </c>
    </row>
    <row r="100" spans="1:19" x14ac:dyDescent="0.35">
      <c r="A100">
        <v>2018</v>
      </c>
      <c r="B100">
        <v>3</v>
      </c>
      <c r="C100">
        <v>9</v>
      </c>
      <c r="D100" s="1">
        <v>36882566.514997557</v>
      </c>
      <c r="E100" s="1">
        <v>23373934.273083769</v>
      </c>
      <c r="F100">
        <v>45</v>
      </c>
      <c r="G100">
        <v>38</v>
      </c>
      <c r="H100" s="1">
        <v>48047288.008860193</v>
      </c>
      <c r="I100" s="2">
        <v>767630.5582158186</v>
      </c>
      <c r="J100" s="2">
        <v>486477.7023163822</v>
      </c>
      <c r="K100">
        <v>305.47070192696799</v>
      </c>
      <c r="L100">
        <v>154.60439913608357</v>
      </c>
      <c r="M100">
        <f t="shared" si="7"/>
        <v>13.551063852401212</v>
      </c>
      <c r="N100">
        <f t="shared" si="8"/>
        <v>13.094946346703537</v>
      </c>
      <c r="O100" s="4">
        <f t="shared" si="9"/>
        <v>5.7218538719733711</v>
      </c>
      <c r="P100">
        <f t="shared" si="10"/>
        <v>5.0408695907037497</v>
      </c>
      <c r="Q100">
        <f t="shared" si="11"/>
        <v>3.8066624897703196</v>
      </c>
      <c r="R100">
        <f t="shared" si="12"/>
        <v>3.6375861597263857</v>
      </c>
      <c r="S100">
        <f t="shared" si="13"/>
        <v>-7.5287533736923429E-2</v>
      </c>
    </row>
    <row r="101" spans="1:19" x14ac:dyDescent="0.35">
      <c r="A101">
        <v>2018</v>
      </c>
      <c r="B101">
        <v>4</v>
      </c>
      <c r="C101">
        <v>12</v>
      </c>
      <c r="D101" s="1">
        <v>36942057.900747083</v>
      </c>
      <c r="E101" s="1">
        <v>23424402.176965095</v>
      </c>
      <c r="F101">
        <v>45</v>
      </c>
      <c r="G101">
        <v>38</v>
      </c>
      <c r="H101" s="1">
        <v>48258493.999999993</v>
      </c>
      <c r="I101" s="2">
        <v>765503.74532506312</v>
      </c>
      <c r="J101" s="2">
        <v>485394.38833224052</v>
      </c>
      <c r="K101">
        <v>324.37344087670721</v>
      </c>
      <c r="L101">
        <v>152.41926634760239</v>
      </c>
      <c r="M101">
        <f t="shared" si="7"/>
        <v>13.548289386719851</v>
      </c>
      <c r="N101">
        <f t="shared" si="8"/>
        <v>13.092717011293596</v>
      </c>
      <c r="O101" s="4">
        <f t="shared" si="9"/>
        <v>5.781895447362805</v>
      </c>
      <c r="P101">
        <f t="shared" si="10"/>
        <v>5.0266350548659515</v>
      </c>
      <c r="Q101">
        <f t="shared" si="11"/>
        <v>3.8066624897703196</v>
      </c>
      <c r="R101">
        <f t="shared" si="12"/>
        <v>3.6375861597263857</v>
      </c>
      <c r="S101">
        <f t="shared" si="13"/>
        <v>-8.9299136033727855E-2</v>
      </c>
    </row>
    <row r="102" spans="1:19" x14ac:dyDescent="0.35">
      <c r="A102">
        <v>2019</v>
      </c>
      <c r="B102">
        <v>1</v>
      </c>
      <c r="C102">
        <v>3</v>
      </c>
      <c r="D102" s="1">
        <v>37362759.0044844</v>
      </c>
      <c r="E102" s="1">
        <v>23845654.834888544</v>
      </c>
      <c r="F102">
        <v>45</v>
      </c>
      <c r="G102">
        <v>38</v>
      </c>
      <c r="H102" s="1">
        <v>48540311.75547266</v>
      </c>
      <c r="I102" s="2">
        <v>769726.39138997602</v>
      </c>
      <c r="J102" s="2">
        <v>491254.67003619054</v>
      </c>
      <c r="K102">
        <v>311.43672579157402</v>
      </c>
      <c r="L102">
        <v>155.13305218656421</v>
      </c>
      <c r="M102">
        <f t="shared" si="7"/>
        <v>13.553790394825947</v>
      </c>
      <c r="N102">
        <f t="shared" si="8"/>
        <v>13.104717948555416</v>
      </c>
      <c r="O102" s="4">
        <f t="shared" si="9"/>
        <v>5.741196190119445</v>
      </c>
      <c r="P102">
        <f t="shared" si="10"/>
        <v>5.044283149907276</v>
      </c>
      <c r="Q102">
        <f t="shared" si="11"/>
        <v>3.8066624897703196</v>
      </c>
      <c r="R102">
        <f t="shared" si="12"/>
        <v>3.6375861597263857</v>
      </c>
      <c r="S102">
        <f t="shared" si="13"/>
        <v>-7.285113471858562E-2</v>
      </c>
    </row>
    <row r="103" spans="1:19" x14ac:dyDescent="0.35">
      <c r="A103">
        <v>2019</v>
      </c>
      <c r="B103">
        <v>2</v>
      </c>
      <c r="C103">
        <v>6</v>
      </c>
      <c r="D103" s="1">
        <v>37652744.91128777</v>
      </c>
      <c r="E103" s="1">
        <v>24219880.173544947</v>
      </c>
      <c r="F103">
        <v>45</v>
      </c>
      <c r="G103">
        <v>38</v>
      </c>
      <c r="H103" s="1">
        <v>48823775.257439196</v>
      </c>
      <c r="I103" s="2">
        <v>771196.91610801197</v>
      </c>
      <c r="J103" s="2">
        <v>496067.33698567492</v>
      </c>
      <c r="K103">
        <v>318.59231380952849</v>
      </c>
      <c r="L103">
        <v>153.8043868276215</v>
      </c>
      <c r="M103">
        <f t="shared" si="7"/>
        <v>13.555699023447879</v>
      </c>
      <c r="N103">
        <f t="shared" si="8"/>
        <v>13.114466956544266</v>
      </c>
      <c r="O103" s="4">
        <f t="shared" si="9"/>
        <v>5.7639122722933136</v>
      </c>
      <c r="P103">
        <f t="shared" si="10"/>
        <v>5.0356815796011931</v>
      </c>
      <c r="Q103">
        <f t="shared" si="11"/>
        <v>3.8066624897703196</v>
      </c>
      <c r="R103">
        <f t="shared" si="12"/>
        <v>3.6375861597263857</v>
      </c>
      <c r="S103">
        <f t="shared" si="13"/>
        <v>-8.2427605823553129E-2</v>
      </c>
    </row>
    <row r="104" spans="1:19" x14ac:dyDescent="0.35">
      <c r="A104">
        <v>2019</v>
      </c>
      <c r="B104">
        <v>3</v>
      </c>
      <c r="C104">
        <v>9</v>
      </c>
      <c r="D104" s="1">
        <v>38044462.423879452</v>
      </c>
      <c r="E104" s="1">
        <v>24373925.010506798</v>
      </c>
      <c r="F104">
        <v>45</v>
      </c>
      <c r="G104">
        <v>38</v>
      </c>
      <c r="H104" s="1">
        <v>49108894.116655014</v>
      </c>
      <c r="I104" s="2">
        <v>774695.9712329763</v>
      </c>
      <c r="J104" s="2">
        <v>496324.04575448408</v>
      </c>
      <c r="K104">
        <v>321.27970716387864</v>
      </c>
      <c r="L104">
        <v>154.96361843501026</v>
      </c>
      <c r="M104">
        <f t="shared" si="7"/>
        <v>13.560225936184342</v>
      </c>
      <c r="N104">
        <f t="shared" si="8"/>
        <v>13.114984310441125</v>
      </c>
      <c r="O104" s="4">
        <f t="shared" si="9"/>
        <v>5.7723121055958835</v>
      </c>
      <c r="P104">
        <f t="shared" si="10"/>
        <v>5.0431903695941216</v>
      </c>
      <c r="Q104">
        <f t="shared" si="11"/>
        <v>3.8066624897703196</v>
      </c>
      <c r="R104">
        <f t="shared" si="12"/>
        <v>3.6375861597263857</v>
      </c>
      <c r="S104">
        <f t="shared" si="13"/>
        <v>-7.4970551220310711E-2</v>
      </c>
    </row>
    <row r="105" spans="1:19" x14ac:dyDescent="0.35">
      <c r="A105">
        <v>2019</v>
      </c>
      <c r="B105">
        <v>4</v>
      </c>
      <c r="C105">
        <v>12</v>
      </c>
      <c r="D105" s="1">
        <v>38066378.458060361</v>
      </c>
      <c r="E105" s="1">
        <v>24688559.767942641</v>
      </c>
      <c r="F105">
        <v>45</v>
      </c>
      <c r="G105">
        <v>38</v>
      </c>
      <c r="H105" s="1">
        <v>49395677.999999993</v>
      </c>
      <c r="I105" s="2">
        <v>770641.88607878541</v>
      </c>
      <c r="J105" s="2">
        <v>499812.14485896204</v>
      </c>
      <c r="K105">
        <v>335.45350121031709</v>
      </c>
      <c r="L105">
        <v>152.3714974241656</v>
      </c>
      <c r="M105">
        <f t="shared" si="7"/>
        <v>13.554979064847259</v>
      </c>
      <c r="N105">
        <f t="shared" si="8"/>
        <v>13.121987596525461</v>
      </c>
      <c r="O105" s="4">
        <f t="shared" si="9"/>
        <v>5.8154833513081829</v>
      </c>
      <c r="P105">
        <f t="shared" si="10"/>
        <v>5.0263216009854155</v>
      </c>
      <c r="Q105">
        <f t="shared" si="11"/>
        <v>3.8066624897703196</v>
      </c>
      <c r="R105">
        <f t="shared" si="12"/>
        <v>3.6375861597263857</v>
      </c>
      <c r="S105">
        <f t="shared" si="13"/>
        <v>-9.2539648437450328E-2</v>
      </c>
    </row>
    <row r="106" spans="1:19" x14ac:dyDescent="0.35">
      <c r="A106">
        <v>2020</v>
      </c>
      <c r="B106">
        <v>1</v>
      </c>
      <c r="C106">
        <v>3</v>
      </c>
      <c r="D106" s="1">
        <v>37558369.337002136</v>
      </c>
      <c r="E106" s="1">
        <v>24879242.98638121</v>
      </c>
      <c r="F106">
        <v>44</v>
      </c>
      <c r="G106">
        <v>38</v>
      </c>
      <c r="H106" s="1">
        <v>49646749.511689097</v>
      </c>
      <c r="I106" s="2">
        <v>756512.15248561616</v>
      </c>
      <c r="J106" s="2">
        <v>501125.31497200055</v>
      </c>
      <c r="K106">
        <v>336.83865601476543</v>
      </c>
      <c r="L106">
        <v>148.76367587859815</v>
      </c>
      <c r="M106">
        <f t="shared" si="7"/>
        <v>13.536473876173545</v>
      </c>
      <c r="N106">
        <f t="shared" si="8"/>
        <v>13.124611478474419</v>
      </c>
      <c r="O106" s="4">
        <f t="shared" si="9"/>
        <v>5.8196040501727291</v>
      </c>
      <c r="P106">
        <f t="shared" si="10"/>
        <v>5.0023589788792888</v>
      </c>
      <c r="Q106">
        <f t="shared" si="11"/>
        <v>3.784189633918261</v>
      </c>
      <c r="R106">
        <f t="shared" si="12"/>
        <v>3.6375861597263857</v>
      </c>
      <c r="S106">
        <f t="shared" si="13"/>
        <v>-9.4291802886413922E-2</v>
      </c>
    </row>
    <row r="107" spans="1:19" x14ac:dyDescent="0.35">
      <c r="A107">
        <v>2020</v>
      </c>
      <c r="B107">
        <v>2</v>
      </c>
      <c r="C107">
        <v>6</v>
      </c>
      <c r="D107" s="1">
        <v>31327384.099568754</v>
      </c>
      <c r="E107" s="1">
        <v>20139246.728426691</v>
      </c>
      <c r="F107">
        <v>44</v>
      </c>
      <c r="G107">
        <v>38</v>
      </c>
      <c r="H107" s="1">
        <v>49899097.185717367</v>
      </c>
      <c r="I107" s="2">
        <v>627814.64728655654</v>
      </c>
      <c r="J107" s="2">
        <v>403599.42091680074</v>
      </c>
      <c r="K107">
        <v>299.72578386822988</v>
      </c>
      <c r="L107">
        <v>141.37344885142855</v>
      </c>
      <c r="M107">
        <f t="shared" si="7"/>
        <v>13.35000025425283</v>
      </c>
      <c r="N107">
        <f t="shared" si="8"/>
        <v>12.908178132665718</v>
      </c>
      <c r="O107" s="4">
        <f t="shared" si="9"/>
        <v>5.7028680028817478</v>
      </c>
      <c r="P107">
        <f t="shared" si="10"/>
        <v>4.9514049625029086</v>
      </c>
      <c r="Q107">
        <f t="shared" si="11"/>
        <v>3.784189633918261</v>
      </c>
      <c r="R107">
        <f t="shared" si="12"/>
        <v>3.6375861597263857</v>
      </c>
      <c r="S107">
        <f t="shared" si="13"/>
        <v>-0.12360248468192436</v>
      </c>
    </row>
    <row r="108" spans="1:19" x14ac:dyDescent="0.35">
      <c r="A108">
        <v>2020</v>
      </c>
      <c r="B108">
        <v>3</v>
      </c>
      <c r="C108">
        <v>9</v>
      </c>
      <c r="D108" s="1">
        <v>34615911.147549197</v>
      </c>
      <c r="E108" s="1">
        <v>22317439.906372562</v>
      </c>
      <c r="F108">
        <v>44</v>
      </c>
      <c r="G108">
        <v>38</v>
      </c>
      <c r="H108" s="1">
        <v>50152727.508644387</v>
      </c>
      <c r="I108" s="2">
        <v>690209.94205315667</v>
      </c>
      <c r="J108" s="2">
        <v>444989.55520466762</v>
      </c>
      <c r="K108">
        <v>322.11943041044424</v>
      </c>
      <c r="L108">
        <v>147.8590626419593</v>
      </c>
      <c r="M108">
        <f t="shared" si="7"/>
        <v>13.44475109413974</v>
      </c>
      <c r="N108">
        <f t="shared" si="8"/>
        <v>13.005806089422734</v>
      </c>
      <c r="O108" s="4">
        <f t="shared" si="9"/>
        <v>5.774922378673093</v>
      </c>
      <c r="P108">
        <f t="shared" si="10"/>
        <v>4.9962595406117627</v>
      </c>
      <c r="Q108">
        <f t="shared" si="11"/>
        <v>3.784189633918261</v>
      </c>
      <c r="R108">
        <f t="shared" si="12"/>
        <v>3.6375861597263857</v>
      </c>
      <c r="S108">
        <f t="shared" si="13"/>
        <v>-8.8510702248771889E-2</v>
      </c>
    </row>
    <row r="109" spans="1:19" x14ac:dyDescent="0.35">
      <c r="A109">
        <v>2020</v>
      </c>
      <c r="B109">
        <v>4</v>
      </c>
      <c r="C109">
        <v>12</v>
      </c>
      <c r="D109" s="1">
        <v>36764870.837122165</v>
      </c>
      <c r="E109" s="1">
        <v>24928630.822034597</v>
      </c>
      <c r="F109">
        <v>44</v>
      </c>
      <c r="G109">
        <v>38</v>
      </c>
      <c r="H109" s="1">
        <v>50407647.000000015</v>
      </c>
      <c r="I109" s="2">
        <v>729351.06130072195</v>
      </c>
      <c r="J109" s="2">
        <v>494540.65614359244</v>
      </c>
      <c r="K109">
        <v>347.33100958126346</v>
      </c>
      <c r="L109">
        <v>157.3363430192461</v>
      </c>
      <c r="M109">
        <f t="shared" si="7"/>
        <v>13.499910460645571</v>
      </c>
      <c r="N109">
        <f t="shared" si="8"/>
        <v>13.11138464333586</v>
      </c>
      <c r="O109" s="4">
        <f t="shared" si="9"/>
        <v>5.8502782433577458</v>
      </c>
      <c r="P109">
        <f t="shared" si="10"/>
        <v>5.0583858260940966</v>
      </c>
      <c r="Q109">
        <f t="shared" si="11"/>
        <v>3.784189633918261</v>
      </c>
      <c r="R109">
        <f t="shared" si="12"/>
        <v>3.6375861597263857</v>
      </c>
      <c r="S109">
        <f t="shared" si="13"/>
        <v>-3.6942272157750811E-2</v>
      </c>
    </row>
    <row r="110" spans="1:19" x14ac:dyDescent="0.35">
      <c r="A110">
        <v>2021</v>
      </c>
      <c r="B110">
        <v>1</v>
      </c>
      <c r="C110">
        <v>3</v>
      </c>
      <c r="D110" s="1">
        <v>38093062.884650856</v>
      </c>
      <c r="E110" s="1">
        <v>25586704.755370378</v>
      </c>
      <c r="F110">
        <v>47</v>
      </c>
      <c r="G110">
        <v>40</v>
      </c>
      <c r="H110" s="1">
        <v>50584150.537252225</v>
      </c>
      <c r="I110" s="2">
        <v>753063.21209442033</v>
      </c>
      <c r="J110" s="2">
        <v>505824.54155333276</v>
      </c>
      <c r="K110">
        <v>343.53335708604715</v>
      </c>
      <c r="L110">
        <v>154.93581428759845</v>
      </c>
      <c r="M110">
        <f t="shared" si="7"/>
        <v>13.53190445026322</v>
      </c>
      <c r="N110">
        <f t="shared" si="8"/>
        <v>13.133945132312448</v>
      </c>
      <c r="O110" s="4">
        <f t="shared" si="9"/>
        <v>5.8392842163683962</v>
      </c>
      <c r="P110">
        <f t="shared" si="10"/>
        <v>5.0430109297852646</v>
      </c>
      <c r="Q110">
        <f t="shared" si="11"/>
        <v>3.8501476017100584</v>
      </c>
      <c r="R110">
        <f t="shared" si="12"/>
        <v>3.6888794541139363</v>
      </c>
      <c r="S110">
        <f t="shared" si="13"/>
        <v>-0.12053118515603867</v>
      </c>
    </row>
    <row r="111" spans="1:19" x14ac:dyDescent="0.35">
      <c r="A111">
        <v>2021</v>
      </c>
      <c r="B111">
        <v>2</v>
      </c>
      <c r="C111">
        <v>6</v>
      </c>
      <c r="D111" s="1">
        <v>37188800.139307424</v>
      </c>
      <c r="E111" s="1">
        <v>25262340.269140035</v>
      </c>
      <c r="F111">
        <v>47</v>
      </c>
      <c r="G111">
        <v>40</v>
      </c>
      <c r="H111" s="1">
        <v>50761272.105706394</v>
      </c>
      <c r="I111" s="2">
        <v>732621.5162981858</v>
      </c>
      <c r="J111" s="2">
        <v>497669.56621049962</v>
      </c>
      <c r="K111">
        <v>348.47906360896241</v>
      </c>
      <c r="L111">
        <v>153.12566473806805</v>
      </c>
      <c r="M111">
        <f t="shared" si="7"/>
        <v>13.504384498671961</v>
      </c>
      <c r="N111">
        <f t="shared" si="8"/>
        <v>13.117691614113204</v>
      </c>
      <c r="O111" s="4">
        <f t="shared" si="9"/>
        <v>5.8535781526684492</v>
      </c>
      <c r="P111">
        <f t="shared" si="10"/>
        <v>5.0312589224361357</v>
      </c>
      <c r="Q111">
        <f t="shared" si="11"/>
        <v>3.8501476017100584</v>
      </c>
      <c r="R111">
        <f t="shared" si="12"/>
        <v>3.6888794541139363</v>
      </c>
      <c r="S111">
        <f t="shared" si="13"/>
        <v>-0.13065784068524344</v>
      </c>
    </row>
    <row r="112" spans="1:19" x14ac:dyDescent="0.35">
      <c r="A112">
        <v>2021</v>
      </c>
      <c r="B112">
        <v>3</v>
      </c>
      <c r="C112">
        <v>9</v>
      </c>
      <c r="D112" s="1">
        <v>39261087.758392602</v>
      </c>
      <c r="E112" s="1">
        <v>26658623.708919059</v>
      </c>
      <c r="F112">
        <v>47</v>
      </c>
      <c r="G112">
        <v>40</v>
      </c>
      <c r="H112" s="1">
        <v>50939013.869412996</v>
      </c>
      <c r="I112" s="2">
        <v>770746.91432076273</v>
      </c>
      <c r="J112" s="2">
        <v>523343.93000345427</v>
      </c>
      <c r="K112">
        <v>357.05403675220754</v>
      </c>
      <c r="L112">
        <v>157.40280698621993</v>
      </c>
      <c r="M112">
        <f t="shared" si="7"/>
        <v>13.555115342264239</v>
      </c>
      <c r="N112">
        <f t="shared" si="8"/>
        <v>13.167994136865628</v>
      </c>
      <c r="O112" s="4">
        <f t="shared" si="9"/>
        <v>5.877887133776909</v>
      </c>
      <c r="P112">
        <f t="shared" si="10"/>
        <v>5.058808169281849</v>
      </c>
      <c r="Q112">
        <f t="shared" si="11"/>
        <v>3.8501476017100584</v>
      </c>
      <c r="R112">
        <f t="shared" si="12"/>
        <v>3.6888794541139363</v>
      </c>
      <c r="S112">
        <f t="shared" si="13"/>
        <v>-0.10813884611477231</v>
      </c>
    </row>
    <row r="113" spans="1:19" x14ac:dyDescent="0.35">
      <c r="A113">
        <v>2021</v>
      </c>
      <c r="B113">
        <v>4</v>
      </c>
      <c r="C113">
        <v>12</v>
      </c>
      <c r="D113" s="1">
        <v>40874051.124670558</v>
      </c>
      <c r="E113" s="1">
        <v>28342008.156364068</v>
      </c>
      <c r="F113">
        <v>47</v>
      </c>
      <c r="G113">
        <v>40</v>
      </c>
      <c r="H113" s="1">
        <v>51117378</v>
      </c>
      <c r="I113" s="2">
        <v>799611.6530990802</v>
      </c>
      <c r="J113" s="2">
        <v>554449.56813637959</v>
      </c>
      <c r="K113">
        <v>377.86051006334827</v>
      </c>
      <c r="L113">
        <v>161.89530980303437</v>
      </c>
      <c r="M113">
        <f t="shared" si="7"/>
        <v>13.591881455162868</v>
      </c>
      <c r="N113">
        <f t="shared" si="8"/>
        <v>13.225731131476522</v>
      </c>
      <c r="O113" s="4">
        <f t="shared" si="9"/>
        <v>5.9345251065181515</v>
      </c>
      <c r="P113">
        <f t="shared" si="10"/>
        <v>5.086949890548297</v>
      </c>
      <c r="Q113">
        <f t="shared" si="11"/>
        <v>3.8501476017100584</v>
      </c>
      <c r="R113">
        <f t="shared" si="12"/>
        <v>3.6888794541139363</v>
      </c>
      <c r="S113">
        <f t="shared" si="13"/>
        <v>-8.577082430941374E-2</v>
      </c>
    </row>
    <row r="114" spans="1:19" x14ac:dyDescent="0.35">
      <c r="A114">
        <v>2022</v>
      </c>
      <c r="B114">
        <v>1</v>
      </c>
      <c r="C114">
        <v>3</v>
      </c>
      <c r="D114" s="1">
        <v>41173440.468322791</v>
      </c>
      <c r="E114" s="1">
        <v>28622895.403269932</v>
      </c>
      <c r="F114">
        <v>46</v>
      </c>
      <c r="G114">
        <v>40</v>
      </c>
      <c r="H114" s="1">
        <v>51258124.138478547</v>
      </c>
      <c r="I114" s="2">
        <v>803256.87216116115</v>
      </c>
      <c r="J114" s="2">
        <v>558407.00151145877</v>
      </c>
      <c r="K114">
        <v>383.40170717038984</v>
      </c>
      <c r="L114">
        <v>160.64138552831491</v>
      </c>
      <c r="M114">
        <f t="shared" si="7"/>
        <v>13.596429832386464</v>
      </c>
      <c r="N114">
        <f t="shared" si="8"/>
        <v>13.232843368875079</v>
      </c>
      <c r="O114" s="4">
        <f t="shared" si="9"/>
        <v>5.9490832833152192</v>
      </c>
      <c r="P114">
        <f t="shared" si="10"/>
        <v>5.0791744615179297</v>
      </c>
      <c r="Q114">
        <f t="shared" si="11"/>
        <v>3.8286413964890951</v>
      </c>
      <c r="R114">
        <f t="shared" si="12"/>
        <v>3.6888794541139363</v>
      </c>
      <c r="S114">
        <f t="shared" si="13"/>
        <v>-7.2751271858673583E-2</v>
      </c>
    </row>
    <row r="115" spans="1:19" x14ac:dyDescent="0.35">
      <c r="A115">
        <v>2022</v>
      </c>
      <c r="B115">
        <v>2</v>
      </c>
      <c r="C115">
        <v>6</v>
      </c>
      <c r="D115" s="1">
        <v>41707436.143705159</v>
      </c>
      <c r="E115" s="1">
        <v>29355697.73193156</v>
      </c>
      <c r="F115">
        <v>46</v>
      </c>
      <c r="G115">
        <v>40</v>
      </c>
      <c r="H115" s="1">
        <v>51399257.806135453</v>
      </c>
      <c r="I115" s="2">
        <v>811440.43559957016</v>
      </c>
      <c r="J115" s="2">
        <v>571130.77084991313</v>
      </c>
      <c r="K115">
        <v>394.04512724898404</v>
      </c>
      <c r="L115">
        <v>160.68634742604334</v>
      </c>
      <c r="M115">
        <f t="shared" si="7"/>
        <v>13.606566262872629</v>
      </c>
      <c r="N115">
        <f t="shared" si="8"/>
        <v>13.25537348316981</v>
      </c>
      <c r="O115" s="4">
        <f t="shared" si="9"/>
        <v>5.9764654389041025</v>
      </c>
      <c r="P115">
        <f t="shared" si="10"/>
        <v>5.0794543122336364</v>
      </c>
      <c r="Q115">
        <f t="shared" si="11"/>
        <v>3.8286413964890951</v>
      </c>
      <c r="R115">
        <f t="shared" si="12"/>
        <v>3.6888794541139363</v>
      </c>
      <c r="S115">
        <f t="shared" si="13"/>
        <v>-7.4724432572439881E-2</v>
      </c>
    </row>
    <row r="116" spans="1:19" x14ac:dyDescent="0.35">
      <c r="A116">
        <v>2022</v>
      </c>
      <c r="B116">
        <v>3</v>
      </c>
      <c r="C116">
        <v>9</v>
      </c>
      <c r="D116" s="1">
        <v>42127327.773066565</v>
      </c>
      <c r="E116" s="1">
        <v>29499007.130176365</v>
      </c>
      <c r="F116">
        <v>46</v>
      </c>
      <c r="G116">
        <v>40</v>
      </c>
      <c r="H116" s="1">
        <v>51540780.069990166</v>
      </c>
      <c r="I116" s="2">
        <v>817359.14194273867</v>
      </c>
      <c r="J116" s="2">
        <v>572343.04739117227</v>
      </c>
      <c r="K116">
        <v>394.17708292361363</v>
      </c>
      <c r="L116">
        <v>157.51466620707703</v>
      </c>
      <c r="M116">
        <f t="shared" si="7"/>
        <v>13.613833863473644</v>
      </c>
      <c r="N116">
        <f t="shared" si="8"/>
        <v>13.257493823795201</v>
      </c>
      <c r="O116" s="4">
        <f t="shared" si="9"/>
        <v>5.9768002573706696</v>
      </c>
      <c r="P116">
        <f t="shared" si="10"/>
        <v>5.0595185727054961</v>
      </c>
      <c r="Q116">
        <f t="shared" si="11"/>
        <v>3.8286413964890951</v>
      </c>
      <c r="R116">
        <f t="shared" si="12"/>
        <v>3.6888794541139363</v>
      </c>
      <c r="S116">
        <f t="shared" si="13"/>
        <v>-9.4872206163119088E-2</v>
      </c>
    </row>
    <row r="117" spans="1:19" x14ac:dyDescent="0.35">
      <c r="A117">
        <v>2022</v>
      </c>
      <c r="B117">
        <v>4</v>
      </c>
      <c r="C117">
        <v>12</v>
      </c>
      <c r="D117" s="1">
        <v>41736962.330888711</v>
      </c>
      <c r="E117" s="1">
        <v>29681427.708267748</v>
      </c>
      <c r="F117">
        <v>46</v>
      </c>
      <c r="G117">
        <v>40</v>
      </c>
      <c r="H117" s="1">
        <v>51682692.000000015</v>
      </c>
      <c r="I117" s="2">
        <v>807561.69455895794</v>
      </c>
      <c r="J117" s="2">
        <v>574301.11628604296</v>
      </c>
      <c r="K117">
        <v>411.39565814274357</v>
      </c>
      <c r="L117">
        <v>158.76676366283493</v>
      </c>
      <c r="M117">
        <f t="shared" si="7"/>
        <v>13.601774733091068</v>
      </c>
      <c r="N117">
        <f t="shared" si="8"/>
        <v>13.260909130583814</v>
      </c>
      <c r="O117" s="4">
        <f t="shared" si="9"/>
        <v>6.0195554233049817</v>
      </c>
      <c r="P117">
        <f t="shared" si="10"/>
        <v>5.0674362300738629</v>
      </c>
      <c r="Q117">
        <f t="shared" si="11"/>
        <v>3.8286413964890951</v>
      </c>
      <c r="R117">
        <f t="shared" si="12"/>
        <v>3.6888794541139363</v>
      </c>
      <c r="S117">
        <f t="shared" si="13"/>
        <v>-8.729607947361373E-2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70D5-3999-4A91-8842-410ED31FC149}">
  <dimension ref="A1:L117"/>
  <sheetViews>
    <sheetView tabSelected="1" workbookViewId="0">
      <selection activeCell="L8" sqref="L8"/>
    </sheetView>
  </sheetViews>
  <sheetFormatPr baseColWidth="10" defaultRowHeight="14.5" x14ac:dyDescent="0.35"/>
  <cols>
    <col min="4" max="4" width="12.54296875" bestFit="1" customWidth="1"/>
    <col min="6" max="6" width="15.54296875" style="1" bestFit="1" customWidth="1"/>
    <col min="8" max="8" width="11.6328125" bestFit="1" customWidth="1"/>
    <col min="12" max="12" width="11.36328125" bestFit="1" customWidth="1"/>
  </cols>
  <sheetData>
    <row r="1" spans="1:12" x14ac:dyDescent="0.35">
      <c r="A1" t="s">
        <v>0</v>
      </c>
      <c r="B1" t="s">
        <v>1</v>
      </c>
      <c r="C1" t="s">
        <v>13</v>
      </c>
      <c r="D1" t="s">
        <v>21</v>
      </c>
      <c r="E1" t="s">
        <v>22</v>
      </c>
      <c r="F1" t="s">
        <v>23</v>
      </c>
      <c r="G1" t="s">
        <v>22</v>
      </c>
      <c r="H1" t="s">
        <v>24</v>
      </c>
      <c r="I1" t="s">
        <v>25</v>
      </c>
      <c r="J1" t="s">
        <v>26</v>
      </c>
      <c r="K1" t="s">
        <v>27</v>
      </c>
      <c r="L1" t="s">
        <v>31</v>
      </c>
    </row>
    <row r="2" spans="1:12" x14ac:dyDescent="0.35">
      <c r="A2" s="5">
        <v>1994</v>
      </c>
      <c r="B2" s="5">
        <v>1</v>
      </c>
      <c r="C2" s="5">
        <v>3</v>
      </c>
      <c r="D2" s="6">
        <v>3961045</v>
      </c>
      <c r="E2" s="6"/>
      <c r="H2">
        <f>0.0287*D2</f>
        <v>113681.9915</v>
      </c>
      <c r="I2" s="11">
        <f>+D2</f>
        <v>3961045</v>
      </c>
      <c r="K2" s="1">
        <v>35180580.507035635</v>
      </c>
    </row>
    <row r="3" spans="1:12" x14ac:dyDescent="0.35">
      <c r="A3" s="5">
        <v>1994</v>
      </c>
      <c r="B3" s="5">
        <v>2</v>
      </c>
      <c r="C3" s="5">
        <v>6</v>
      </c>
      <c r="D3" s="6">
        <v>4248119</v>
      </c>
      <c r="E3" s="8">
        <f>+D3/D2-1</f>
        <v>7.2474309178512275E-2</v>
      </c>
      <c r="H3">
        <f t="shared" ref="H3:H66" si="0">0.0287*D3</f>
        <v>121921.0153</v>
      </c>
      <c r="I3" s="11">
        <f>+I2-H2+D3</f>
        <v>8095482.0085000005</v>
      </c>
      <c r="K3" s="1">
        <v>35329480.570107341</v>
      </c>
    </row>
    <row r="4" spans="1:12" x14ac:dyDescent="0.35">
      <c r="A4" s="5">
        <v>1994</v>
      </c>
      <c r="B4" s="5">
        <v>3</v>
      </c>
      <c r="C4" s="5">
        <v>9</v>
      </c>
      <c r="D4" s="6">
        <v>4642447</v>
      </c>
      <c r="E4" s="8">
        <f t="shared" ref="E4:E57" si="1">+D4/D3-1</f>
        <v>9.2824141696595586E-2</v>
      </c>
      <c r="H4">
        <f t="shared" si="0"/>
        <v>133238.22889999999</v>
      </c>
      <c r="I4" s="11">
        <f t="shared" ref="I4:I67" si="2">+I3-H3+D4</f>
        <v>12616007.9932</v>
      </c>
      <c r="K4" s="1">
        <v>35479010.84531492</v>
      </c>
    </row>
    <row r="5" spans="1:12" x14ac:dyDescent="0.35">
      <c r="A5" s="5">
        <v>1994</v>
      </c>
      <c r="B5" s="5">
        <v>4</v>
      </c>
      <c r="C5" s="5">
        <v>12</v>
      </c>
      <c r="D5" s="6">
        <v>4395233</v>
      </c>
      <c r="E5" s="8">
        <f t="shared" si="1"/>
        <v>-5.3250796401122069E-2</v>
      </c>
      <c r="H5">
        <f t="shared" si="0"/>
        <v>126143.1871</v>
      </c>
      <c r="I5" s="11">
        <f t="shared" si="2"/>
        <v>16878002.7643</v>
      </c>
      <c r="K5" s="1">
        <v>35629174.000000007</v>
      </c>
    </row>
    <row r="6" spans="1:12" x14ac:dyDescent="0.35">
      <c r="A6" s="5">
        <v>1995</v>
      </c>
      <c r="B6" s="5">
        <v>1</v>
      </c>
      <c r="C6" s="5">
        <v>3</v>
      </c>
      <c r="D6" s="6">
        <v>4706308</v>
      </c>
      <c r="E6" s="8">
        <f t="shared" si="1"/>
        <v>7.0775542502524935E-2</v>
      </c>
      <c r="H6">
        <f t="shared" si="0"/>
        <v>135071.03959999999</v>
      </c>
      <c r="I6" s="11">
        <f t="shared" si="2"/>
        <v>21458167.577199999</v>
      </c>
      <c r="K6" s="1">
        <v>35778397.899094298</v>
      </c>
    </row>
    <row r="7" spans="1:12" x14ac:dyDescent="0.35">
      <c r="A7" s="5">
        <v>1995</v>
      </c>
      <c r="B7" s="5">
        <v>2</v>
      </c>
      <c r="C7" s="5">
        <v>6</v>
      </c>
      <c r="D7" s="6">
        <v>4660929</v>
      </c>
      <c r="E7" s="8">
        <f t="shared" si="1"/>
        <v>-9.6421653661425966E-3</v>
      </c>
      <c r="H7">
        <f t="shared" si="0"/>
        <v>133768.6623</v>
      </c>
      <c r="I7" s="11">
        <f t="shared" si="2"/>
        <v>25984025.537599999</v>
      </c>
      <c r="K7" s="1">
        <v>35928246.785230421</v>
      </c>
    </row>
    <row r="8" spans="1:12" x14ac:dyDescent="0.35">
      <c r="A8" s="5">
        <v>1995</v>
      </c>
      <c r="B8" s="5">
        <v>3</v>
      </c>
      <c r="C8" s="5">
        <v>9</v>
      </c>
      <c r="D8" s="6">
        <v>4404762</v>
      </c>
      <c r="E8" s="8">
        <f t="shared" si="1"/>
        <v>-5.4960502509263764E-2</v>
      </c>
      <c r="H8">
        <f t="shared" si="0"/>
        <v>126416.6694</v>
      </c>
      <c r="I8" s="11">
        <f t="shared" si="2"/>
        <v>30255018.875299998</v>
      </c>
      <c r="K8" s="1">
        <v>36078723.276010543</v>
      </c>
    </row>
    <row r="9" spans="1:12" x14ac:dyDescent="0.35">
      <c r="A9" s="5">
        <v>1995</v>
      </c>
      <c r="B9" s="5">
        <v>4</v>
      </c>
      <c r="C9" s="5">
        <v>12</v>
      </c>
      <c r="D9" s="6">
        <v>4521021</v>
      </c>
      <c r="E9" s="8">
        <f t="shared" si="1"/>
        <v>2.639393456445549E-2</v>
      </c>
      <c r="H9">
        <f t="shared" si="0"/>
        <v>129753.3027</v>
      </c>
      <c r="I9" s="11">
        <f t="shared" si="2"/>
        <v>34649623.205899999</v>
      </c>
      <c r="K9" s="1">
        <v>36229830.000000007</v>
      </c>
    </row>
    <row r="10" spans="1:12" x14ac:dyDescent="0.35">
      <c r="A10" s="5">
        <v>1996</v>
      </c>
      <c r="B10" s="5">
        <v>1</v>
      </c>
      <c r="C10" s="5">
        <v>3</v>
      </c>
      <c r="D10" s="6">
        <v>4090399</v>
      </c>
      <c r="E10" s="8">
        <f t="shared" si="1"/>
        <v>-9.5248838702585048E-2</v>
      </c>
      <c r="H10">
        <f t="shared" si="0"/>
        <v>117394.4513</v>
      </c>
      <c r="I10" s="11">
        <f t="shared" si="2"/>
        <v>38610268.903200001</v>
      </c>
      <c r="K10" s="1">
        <v>36379091.066626266</v>
      </c>
    </row>
    <row r="11" spans="1:12" x14ac:dyDescent="0.35">
      <c r="A11" s="5">
        <v>1996</v>
      </c>
      <c r="B11" s="5">
        <v>2</v>
      </c>
      <c r="C11" s="5">
        <v>6</v>
      </c>
      <c r="D11" s="6">
        <v>4068770</v>
      </c>
      <c r="E11" s="8">
        <f t="shared" si="1"/>
        <v>-5.2877482123382391E-3</v>
      </c>
      <c r="H11">
        <f t="shared" si="0"/>
        <v>116773.69899999999</v>
      </c>
      <c r="I11" s="11">
        <f t="shared" si="2"/>
        <v>42561644.451899998</v>
      </c>
      <c r="K11" s="1">
        <v>36528967.064816117</v>
      </c>
    </row>
    <row r="12" spans="1:12" x14ac:dyDescent="0.35">
      <c r="A12" s="5">
        <v>1996</v>
      </c>
      <c r="B12" s="5">
        <v>3</v>
      </c>
      <c r="C12" s="5">
        <v>9</v>
      </c>
      <c r="D12" s="6">
        <v>4058577</v>
      </c>
      <c r="E12" s="8">
        <f t="shared" si="1"/>
        <v>-2.5051796980414265E-3</v>
      </c>
      <c r="H12">
        <f t="shared" si="0"/>
        <v>116481.1599</v>
      </c>
      <c r="I12" s="11">
        <f t="shared" si="2"/>
        <v>46503447.752899997</v>
      </c>
      <c r="K12" s="1">
        <v>36679460.52798859</v>
      </c>
    </row>
    <row r="13" spans="1:12" x14ac:dyDescent="0.35">
      <c r="A13" s="5">
        <v>1996</v>
      </c>
      <c r="B13" s="5">
        <v>4</v>
      </c>
      <c r="C13" s="5">
        <v>12</v>
      </c>
      <c r="D13" s="6">
        <v>3876464</v>
      </c>
      <c r="E13" s="8">
        <f t="shared" si="1"/>
        <v>-4.4871145724228012E-2</v>
      </c>
      <c r="H13">
        <f t="shared" si="0"/>
        <v>111254.5168</v>
      </c>
      <c r="I13" s="11">
        <f t="shared" si="2"/>
        <v>50263430.592999995</v>
      </c>
      <c r="K13" s="1">
        <v>36830574.000000015</v>
      </c>
    </row>
    <row r="14" spans="1:12" x14ac:dyDescent="0.35">
      <c r="A14" s="5">
        <v>1997</v>
      </c>
      <c r="B14" s="5">
        <v>1</v>
      </c>
      <c r="C14" s="5">
        <v>3</v>
      </c>
      <c r="D14" s="6">
        <v>3415642</v>
      </c>
      <c r="E14" s="8">
        <f t="shared" si="1"/>
        <v>-0.11887689399411427</v>
      </c>
      <c r="H14">
        <f t="shared" si="0"/>
        <v>98028.925399999993</v>
      </c>
      <c r="I14" s="11">
        <f t="shared" si="2"/>
        <v>53567818.076199993</v>
      </c>
      <c r="K14" s="1">
        <v>36978667.886101589</v>
      </c>
    </row>
    <row r="15" spans="1:12" x14ac:dyDescent="0.35">
      <c r="A15" s="5">
        <v>1997</v>
      </c>
      <c r="B15" s="5">
        <v>2</v>
      </c>
      <c r="C15" s="5">
        <v>6</v>
      </c>
      <c r="D15" s="6">
        <v>3875390</v>
      </c>
      <c r="E15" s="8">
        <f t="shared" si="1"/>
        <v>0.13460075733932308</v>
      </c>
      <c r="H15">
        <f t="shared" si="0"/>
        <v>111223.693</v>
      </c>
      <c r="I15" s="11">
        <f t="shared" si="2"/>
        <v>57345179.150799997</v>
      </c>
      <c r="K15" s="1">
        <v>37127357.250272579</v>
      </c>
    </row>
    <row r="16" spans="1:12" x14ac:dyDescent="0.35">
      <c r="A16" s="5">
        <v>1997</v>
      </c>
      <c r="B16" s="5">
        <v>3</v>
      </c>
      <c r="C16" s="5">
        <v>9</v>
      </c>
      <c r="D16" s="6">
        <v>4115736</v>
      </c>
      <c r="E16" s="8">
        <f t="shared" si="1"/>
        <v>6.2018532328359299E-2</v>
      </c>
      <c r="H16">
        <f t="shared" si="0"/>
        <v>118121.6232</v>
      </c>
      <c r="I16" s="11">
        <f t="shared" si="2"/>
        <v>61349691.457799993</v>
      </c>
      <c r="K16" s="1">
        <v>37276644.486900352</v>
      </c>
    </row>
    <row r="17" spans="1:12" x14ac:dyDescent="0.35">
      <c r="A17" s="5">
        <v>1997</v>
      </c>
      <c r="B17" s="5">
        <v>4</v>
      </c>
      <c r="C17" s="5">
        <v>12</v>
      </c>
      <c r="D17" s="6">
        <v>4583661</v>
      </c>
      <c r="E17" s="8">
        <f t="shared" si="1"/>
        <v>0.11369169451101824</v>
      </c>
      <c r="H17">
        <f t="shared" si="0"/>
        <v>131551.07070000001</v>
      </c>
      <c r="I17" s="11">
        <f t="shared" si="2"/>
        <v>65815230.834599994</v>
      </c>
      <c r="K17" s="1">
        <v>37426532</v>
      </c>
    </row>
    <row r="18" spans="1:12" x14ac:dyDescent="0.35">
      <c r="A18" s="5">
        <v>1998</v>
      </c>
      <c r="B18" s="5">
        <v>1</v>
      </c>
      <c r="C18" s="5">
        <v>3</v>
      </c>
      <c r="D18" s="6">
        <v>4432387</v>
      </c>
      <c r="E18" s="8">
        <f t="shared" si="1"/>
        <v>-3.3002876957960003E-2</v>
      </c>
      <c r="H18">
        <f t="shared" si="0"/>
        <v>127209.50689999999</v>
      </c>
      <c r="I18" s="11">
        <f t="shared" si="2"/>
        <v>70116066.763899997</v>
      </c>
      <c r="K18" s="1">
        <v>37572136.848521359</v>
      </c>
    </row>
    <row r="19" spans="1:12" x14ac:dyDescent="0.35">
      <c r="A19" s="5">
        <v>1998</v>
      </c>
      <c r="B19" s="5">
        <v>2</v>
      </c>
      <c r="C19" s="5">
        <v>6</v>
      </c>
      <c r="D19" s="6">
        <v>4131226</v>
      </c>
      <c r="E19" s="8">
        <f t="shared" si="1"/>
        <v>-6.794555619804854E-2</v>
      </c>
      <c r="H19">
        <f t="shared" si="0"/>
        <v>118566.1862</v>
      </c>
      <c r="I19" s="11">
        <f t="shared" si="2"/>
        <v>74120083.256999999</v>
      </c>
      <c r="K19" s="1">
        <v>37718308.160745874</v>
      </c>
    </row>
    <row r="20" spans="1:12" x14ac:dyDescent="0.35">
      <c r="A20" s="5">
        <v>1998</v>
      </c>
      <c r="B20" s="5">
        <v>3</v>
      </c>
      <c r="C20" s="5">
        <v>9</v>
      </c>
      <c r="D20" s="6">
        <v>3552240</v>
      </c>
      <c r="E20" s="8">
        <f t="shared" si="1"/>
        <v>-0.14014871130264961</v>
      </c>
      <c r="H20">
        <f t="shared" si="0"/>
        <v>101949.288</v>
      </c>
      <c r="I20" s="11">
        <f t="shared" si="2"/>
        <v>77553757.070800006</v>
      </c>
      <c r="K20" s="1">
        <v>37865048.140454039</v>
      </c>
    </row>
    <row r="21" spans="1:12" x14ac:dyDescent="0.35">
      <c r="A21" s="5">
        <v>1998</v>
      </c>
      <c r="B21" s="5">
        <v>4</v>
      </c>
      <c r="C21" s="5">
        <v>12</v>
      </c>
      <c r="D21" s="6">
        <v>2865878</v>
      </c>
      <c r="E21" s="8">
        <f t="shared" si="1"/>
        <v>-0.19321948967412117</v>
      </c>
      <c r="H21">
        <f t="shared" si="0"/>
        <v>82250.698600000003</v>
      </c>
      <c r="I21" s="11">
        <f t="shared" si="2"/>
        <v>80317685.782800004</v>
      </c>
      <c r="K21" s="1">
        <v>38012359.000000022</v>
      </c>
    </row>
    <row r="22" spans="1:12" x14ac:dyDescent="0.35">
      <c r="A22" s="5">
        <v>1999</v>
      </c>
      <c r="B22" s="5">
        <v>1</v>
      </c>
      <c r="C22" s="5">
        <v>3</v>
      </c>
      <c r="D22" s="6">
        <v>2587671</v>
      </c>
      <c r="E22" s="8">
        <f t="shared" si="1"/>
        <v>-9.7075660582899848E-2</v>
      </c>
      <c r="H22">
        <f t="shared" si="0"/>
        <v>74266.157699999996</v>
      </c>
      <c r="I22" s="11">
        <f t="shared" si="2"/>
        <v>82823106.08420001</v>
      </c>
      <c r="K22" s="1">
        <v>38154721.495112449</v>
      </c>
    </row>
    <row r="23" spans="1:12" x14ac:dyDescent="0.35">
      <c r="A23" s="5">
        <v>1999</v>
      </c>
      <c r="B23" s="5">
        <v>2</v>
      </c>
      <c r="C23" s="5">
        <v>6</v>
      </c>
      <c r="D23" s="6">
        <v>2130254</v>
      </c>
      <c r="E23" s="8">
        <f t="shared" si="1"/>
        <v>-0.1767678348599957</v>
      </c>
      <c r="H23">
        <f t="shared" si="0"/>
        <v>61138.289799999999</v>
      </c>
      <c r="I23" s="11">
        <f t="shared" si="2"/>
        <v>84879093.926500008</v>
      </c>
      <c r="K23" s="1">
        <v>38297617.161029018</v>
      </c>
    </row>
    <row r="24" spans="1:12" x14ac:dyDescent="0.35">
      <c r="A24" s="5">
        <v>1999</v>
      </c>
      <c r="B24" s="5">
        <v>3</v>
      </c>
      <c r="C24" s="5">
        <v>9</v>
      </c>
      <c r="D24" s="6">
        <v>2254678</v>
      </c>
      <c r="E24" s="8">
        <f t="shared" si="1"/>
        <v>5.8408058381770545E-2</v>
      </c>
      <c r="H24">
        <f t="shared" si="0"/>
        <v>64709.258600000001</v>
      </c>
      <c r="I24" s="11">
        <f t="shared" si="2"/>
        <v>87072633.636700004</v>
      </c>
      <c r="K24" s="1">
        <v>38441047.994561486</v>
      </c>
    </row>
    <row r="25" spans="1:12" x14ac:dyDescent="0.35">
      <c r="A25" s="5">
        <v>1999</v>
      </c>
      <c r="B25" s="5">
        <v>4</v>
      </c>
      <c r="C25" s="5">
        <v>12</v>
      </c>
      <c r="D25" s="6">
        <v>2216309</v>
      </c>
      <c r="E25" s="8">
        <f t="shared" si="1"/>
        <v>-1.7017507599754844E-2</v>
      </c>
      <c r="H25">
        <f t="shared" si="0"/>
        <v>63608.068299999999</v>
      </c>
      <c r="I25" s="11">
        <f t="shared" si="2"/>
        <v>89224233.378100008</v>
      </c>
      <c r="K25" s="1">
        <v>38585016.000000015</v>
      </c>
    </row>
    <row r="26" spans="1:12" x14ac:dyDescent="0.35">
      <c r="A26" s="5">
        <v>2000</v>
      </c>
      <c r="B26" s="5">
        <v>1</v>
      </c>
      <c r="C26" s="5">
        <v>3</v>
      </c>
      <c r="D26" s="7">
        <v>2694885</v>
      </c>
      <c r="E26" s="8">
        <f t="shared" si="1"/>
        <v>0.21593378901588189</v>
      </c>
      <c r="H26">
        <f t="shared" si="0"/>
        <v>77343.199500000002</v>
      </c>
      <c r="I26" s="11">
        <f t="shared" si="2"/>
        <v>91855510.309800014</v>
      </c>
      <c r="K26" s="1">
        <v>38723039.639423639</v>
      </c>
    </row>
    <row r="27" spans="1:12" x14ac:dyDescent="0.35">
      <c r="A27" s="5">
        <v>2000</v>
      </c>
      <c r="B27" s="5">
        <v>2</v>
      </c>
      <c r="C27" s="5">
        <v>6</v>
      </c>
      <c r="D27" s="7">
        <v>2617308</v>
      </c>
      <c r="E27" s="8">
        <f t="shared" si="1"/>
        <v>-2.8786757134348973E-2</v>
      </c>
      <c r="H27">
        <f t="shared" si="0"/>
        <v>75116.739600000001</v>
      </c>
      <c r="I27" s="11">
        <f t="shared" si="2"/>
        <v>94395475.110300019</v>
      </c>
      <c r="K27" s="1">
        <v>38861557.007424183</v>
      </c>
    </row>
    <row r="28" spans="1:12" x14ac:dyDescent="0.35">
      <c r="A28" s="5">
        <v>2000</v>
      </c>
      <c r="B28" s="5">
        <v>3</v>
      </c>
      <c r="C28" s="5">
        <v>9</v>
      </c>
      <c r="D28" s="7">
        <v>2421460</v>
      </c>
      <c r="E28" s="8">
        <f t="shared" si="1"/>
        <v>-7.4828029410371255E-2</v>
      </c>
      <c r="H28">
        <f t="shared" si="0"/>
        <v>69495.902000000002</v>
      </c>
      <c r="I28" s="11">
        <f t="shared" si="2"/>
        <v>96741818.370700017</v>
      </c>
      <c r="K28" s="1">
        <v>39000569.870133221</v>
      </c>
    </row>
    <row r="29" spans="1:12" x14ac:dyDescent="0.35">
      <c r="A29" s="5">
        <v>2000</v>
      </c>
      <c r="B29" s="5">
        <v>4</v>
      </c>
      <c r="C29" s="5">
        <v>12</v>
      </c>
      <c r="D29" s="7">
        <v>2588163</v>
      </c>
      <c r="E29" s="8">
        <f t="shared" si="1"/>
        <v>6.8844003204678206E-2</v>
      </c>
      <c r="H29">
        <f t="shared" si="0"/>
        <v>74280.278099999996</v>
      </c>
      <c r="I29" s="11">
        <f t="shared" si="2"/>
        <v>99260485.468700022</v>
      </c>
      <c r="K29" s="1">
        <v>39140079.999999993</v>
      </c>
    </row>
    <row r="30" spans="1:12" x14ac:dyDescent="0.35">
      <c r="A30" s="5">
        <v>2001</v>
      </c>
      <c r="B30" s="5">
        <v>1</v>
      </c>
      <c r="C30" s="5">
        <v>3</v>
      </c>
      <c r="D30" s="7">
        <v>2806685</v>
      </c>
      <c r="E30" s="8">
        <f t="shared" si="1"/>
        <v>8.4431312865534291E-2</v>
      </c>
      <c r="H30">
        <f t="shared" si="0"/>
        <v>80551.859500000006</v>
      </c>
      <c r="I30" s="11">
        <f t="shared" si="2"/>
        <v>101992890.19060002</v>
      </c>
      <c r="K30" s="1">
        <v>39273083.268310122</v>
      </c>
    </row>
    <row r="31" spans="1:12" x14ac:dyDescent="0.35">
      <c r="A31" s="5">
        <v>2001</v>
      </c>
      <c r="B31" s="5">
        <v>2</v>
      </c>
      <c r="C31" s="5">
        <v>6</v>
      </c>
      <c r="D31" s="7">
        <v>2777790</v>
      </c>
      <c r="E31" s="8">
        <f t="shared" si="1"/>
        <v>-1.0295063393291337E-2</v>
      </c>
      <c r="H31">
        <f t="shared" si="0"/>
        <v>79722.573000000004</v>
      </c>
      <c r="I31" s="11">
        <f t="shared" si="2"/>
        <v>104690128.33110002</v>
      </c>
      <c r="K31" s="1">
        <v>39406538.499656118</v>
      </c>
    </row>
    <row r="32" spans="1:12" x14ac:dyDescent="0.35">
      <c r="A32" s="5">
        <v>2001</v>
      </c>
      <c r="B32" s="5">
        <v>3</v>
      </c>
      <c r="C32" s="5">
        <v>9</v>
      </c>
      <c r="D32" s="7">
        <v>2524119</v>
      </c>
      <c r="E32" s="8">
        <f t="shared" si="1"/>
        <v>-9.1321158186904006E-2</v>
      </c>
      <c r="H32">
        <f t="shared" si="0"/>
        <v>72442.215299999996</v>
      </c>
      <c r="I32" s="11">
        <f t="shared" si="2"/>
        <v>107134524.75810002</v>
      </c>
      <c r="K32" s="1">
        <v>39540447.229869314</v>
      </c>
      <c r="L32">
        <v>57.57</v>
      </c>
    </row>
    <row r="33" spans="1:12" x14ac:dyDescent="0.35">
      <c r="A33" s="5">
        <v>2001</v>
      </c>
      <c r="B33" s="5">
        <v>4</v>
      </c>
      <c r="C33" s="5">
        <v>12</v>
      </c>
      <c r="D33" s="7">
        <v>2408540</v>
      </c>
      <c r="E33" s="8">
        <f t="shared" si="1"/>
        <v>-4.5789837959303803E-2</v>
      </c>
      <c r="H33">
        <f t="shared" si="0"/>
        <v>69125.097999999998</v>
      </c>
      <c r="I33" s="11">
        <f t="shared" si="2"/>
        <v>109470622.54280002</v>
      </c>
      <c r="K33" s="1">
        <v>39674810.999999985</v>
      </c>
      <c r="L33">
        <v>56.18</v>
      </c>
    </row>
    <row r="34" spans="1:12" x14ac:dyDescent="0.35">
      <c r="A34" s="5">
        <v>2002</v>
      </c>
      <c r="B34" s="5">
        <v>1</v>
      </c>
      <c r="C34" s="5">
        <v>3</v>
      </c>
      <c r="D34" s="7">
        <v>2421702</v>
      </c>
      <c r="E34" s="8">
        <f t="shared" si="1"/>
        <v>5.4647213664709149E-3</v>
      </c>
      <c r="H34">
        <f t="shared" si="0"/>
        <v>69502.847399999999</v>
      </c>
      <c r="I34" s="11">
        <f t="shared" si="2"/>
        <v>111823199.44480002</v>
      </c>
      <c r="K34" s="1">
        <v>39803153.896805108</v>
      </c>
      <c r="L34">
        <v>58.69</v>
      </c>
    </row>
    <row r="35" spans="1:12" x14ac:dyDescent="0.35">
      <c r="A35" s="5">
        <v>2002</v>
      </c>
      <c r="B35" s="5">
        <v>2</v>
      </c>
      <c r="C35" s="5">
        <v>6</v>
      </c>
      <c r="D35" s="7">
        <v>3015217</v>
      </c>
      <c r="E35" s="8">
        <f t="shared" si="1"/>
        <v>0.24508176480838673</v>
      </c>
      <c r="H35">
        <f t="shared" si="0"/>
        <v>86536.727899999998</v>
      </c>
      <c r="I35" s="11">
        <f t="shared" si="2"/>
        <v>114768913.59740002</v>
      </c>
      <c r="K35" s="1">
        <v>39931911.966329247</v>
      </c>
      <c r="L35">
        <v>59.44</v>
      </c>
    </row>
    <row r="36" spans="1:12" x14ac:dyDescent="0.35">
      <c r="A36" s="5">
        <v>2002</v>
      </c>
      <c r="B36" s="5">
        <v>3</v>
      </c>
      <c r="C36" s="5">
        <v>9</v>
      </c>
      <c r="D36" s="7">
        <v>3003839</v>
      </c>
      <c r="E36" s="8">
        <f t="shared" si="1"/>
        <v>-3.7735260845239704E-3</v>
      </c>
      <c r="H36">
        <f t="shared" si="0"/>
        <v>86210.179300000003</v>
      </c>
      <c r="I36" s="11">
        <f t="shared" si="2"/>
        <v>117686215.86950003</v>
      </c>
      <c r="K36" s="1">
        <v>40061086.551602639</v>
      </c>
      <c r="L36">
        <v>57.01</v>
      </c>
    </row>
    <row r="37" spans="1:12" x14ac:dyDescent="0.35">
      <c r="A37" s="5">
        <v>2002</v>
      </c>
      <c r="B37" s="5">
        <v>4</v>
      </c>
      <c r="C37" s="5">
        <v>12</v>
      </c>
      <c r="D37" s="7">
        <v>3117624</v>
      </c>
      <c r="E37" s="8">
        <f t="shared" si="1"/>
        <v>3.787985973948671E-2</v>
      </c>
      <c r="H37">
        <f t="shared" si="0"/>
        <v>89475.808799999999</v>
      </c>
      <c r="I37" s="11">
        <f t="shared" si="2"/>
        <v>120717629.69020003</v>
      </c>
      <c r="K37" s="1">
        <v>40190679</v>
      </c>
      <c r="L37">
        <v>55.97</v>
      </c>
    </row>
    <row r="38" spans="1:12" x14ac:dyDescent="0.35">
      <c r="A38" s="5">
        <v>2003</v>
      </c>
      <c r="B38" s="5">
        <v>1</v>
      </c>
      <c r="C38" s="5">
        <v>3</v>
      </c>
      <c r="D38" s="7">
        <v>3221683</v>
      </c>
      <c r="E38" s="8">
        <f t="shared" si="1"/>
        <v>3.3377661963084782E-2</v>
      </c>
      <c r="H38">
        <f t="shared" si="0"/>
        <v>92462.302100000001</v>
      </c>
      <c r="I38" s="11">
        <f t="shared" si="2"/>
        <v>123849836.88140003</v>
      </c>
      <c r="K38" s="1">
        <v>40315737.831541859</v>
      </c>
      <c r="L38">
        <v>57.02</v>
      </c>
    </row>
    <row r="39" spans="1:12" x14ac:dyDescent="0.35">
      <c r="A39" s="5">
        <v>2003</v>
      </c>
      <c r="B39" s="5">
        <v>2</v>
      </c>
      <c r="C39" s="5">
        <v>6</v>
      </c>
      <c r="D39" s="7">
        <v>3140423</v>
      </c>
      <c r="E39" s="8">
        <f t="shared" si="1"/>
        <v>-2.5222841601734269E-2</v>
      </c>
      <c r="H39">
        <f t="shared" si="0"/>
        <v>90130.140100000004</v>
      </c>
      <c r="I39" s="11">
        <f t="shared" si="2"/>
        <v>126897797.57930003</v>
      </c>
      <c r="K39" s="1">
        <v>40441185.800857343</v>
      </c>
      <c r="L39">
        <v>56.67</v>
      </c>
    </row>
    <row r="40" spans="1:12" x14ac:dyDescent="0.35">
      <c r="A40" s="5">
        <v>2003</v>
      </c>
      <c r="B40" s="5">
        <v>3</v>
      </c>
      <c r="C40" s="5">
        <v>9</v>
      </c>
      <c r="D40" s="7">
        <v>3410010</v>
      </c>
      <c r="E40" s="8">
        <f t="shared" si="1"/>
        <v>8.5844168126395726E-2</v>
      </c>
      <c r="H40">
        <f t="shared" si="0"/>
        <v>97867.286999999997</v>
      </c>
      <c r="I40" s="11">
        <f t="shared" si="2"/>
        <v>130217677.43920003</v>
      </c>
      <c r="K40" s="1">
        <v>40567024.11880222</v>
      </c>
      <c r="L40">
        <v>59.02</v>
      </c>
    </row>
    <row r="41" spans="1:12" x14ac:dyDescent="0.35">
      <c r="A41" s="5">
        <v>2003</v>
      </c>
      <c r="B41" s="5">
        <v>4</v>
      </c>
      <c r="C41" s="5">
        <v>12</v>
      </c>
      <c r="D41" s="7">
        <v>3489902</v>
      </c>
      <c r="E41" s="8">
        <f t="shared" si="1"/>
        <v>2.3428670297154452E-2</v>
      </c>
      <c r="H41">
        <f t="shared" si="0"/>
        <v>100160.1874</v>
      </c>
      <c r="I41" s="11">
        <f t="shared" si="2"/>
        <v>133609712.15220003</v>
      </c>
      <c r="K41" s="1">
        <v>40693253.999999993</v>
      </c>
      <c r="L41">
        <v>57.09</v>
      </c>
    </row>
    <row r="42" spans="1:12" x14ac:dyDescent="0.35">
      <c r="A42" s="5">
        <v>2004</v>
      </c>
      <c r="B42" s="5">
        <v>1</v>
      </c>
      <c r="C42" s="5">
        <v>3</v>
      </c>
      <c r="D42" s="7">
        <v>3653840</v>
      </c>
      <c r="E42" s="8">
        <f t="shared" si="1"/>
        <v>4.6974958036070991E-2</v>
      </c>
      <c r="H42">
        <f t="shared" si="0"/>
        <v>104865.208</v>
      </c>
      <c r="I42" s="11">
        <f t="shared" si="2"/>
        <v>137163391.96480003</v>
      </c>
      <c r="K42" s="1">
        <v>40816403.591704324</v>
      </c>
      <c r="L42">
        <v>59.05</v>
      </c>
    </row>
    <row r="43" spans="1:12" x14ac:dyDescent="0.35">
      <c r="A43" s="5">
        <v>2004</v>
      </c>
      <c r="B43" s="5">
        <v>2</v>
      </c>
      <c r="C43" s="5">
        <v>6</v>
      </c>
      <c r="D43" s="7">
        <v>3774854</v>
      </c>
      <c r="E43" s="8">
        <f t="shared" si="1"/>
        <v>3.3119676833139877E-2</v>
      </c>
      <c r="H43">
        <f t="shared" si="0"/>
        <v>108338.3098</v>
      </c>
      <c r="I43" s="11">
        <f t="shared" si="2"/>
        <v>140833380.75680003</v>
      </c>
      <c r="K43" s="1">
        <v>40939925.869798802</v>
      </c>
      <c r="L43">
        <v>59.84</v>
      </c>
    </row>
    <row r="44" spans="1:12" x14ac:dyDescent="0.35">
      <c r="A44" s="5">
        <v>2004</v>
      </c>
      <c r="B44" s="5">
        <v>3</v>
      </c>
      <c r="C44" s="5">
        <v>9</v>
      </c>
      <c r="D44" s="7">
        <v>3780085</v>
      </c>
      <c r="E44" s="8">
        <f t="shared" si="1"/>
        <v>1.3857489587676408E-3</v>
      </c>
      <c r="H44">
        <f t="shared" si="0"/>
        <v>108488.43949999999</v>
      </c>
      <c r="I44" s="11">
        <f t="shared" si="2"/>
        <v>144505127.44700003</v>
      </c>
      <c r="K44" s="1">
        <v>41063821.962140575</v>
      </c>
      <c r="L44">
        <v>58.4</v>
      </c>
    </row>
    <row r="45" spans="1:12" x14ac:dyDescent="0.35">
      <c r="A45" s="5">
        <v>2004</v>
      </c>
      <c r="B45" s="5">
        <v>4</v>
      </c>
      <c r="C45" s="5">
        <v>12</v>
      </c>
      <c r="D45" s="7">
        <v>4121955</v>
      </c>
      <c r="E45" s="8">
        <f t="shared" si="1"/>
        <v>9.0439765243374159E-2</v>
      </c>
      <c r="H45">
        <f t="shared" si="0"/>
        <v>118300.1085</v>
      </c>
      <c r="I45" s="11">
        <f t="shared" si="2"/>
        <v>148518594.00750002</v>
      </c>
      <c r="K45" s="1">
        <v>41188092.999999985</v>
      </c>
      <c r="L45">
        <v>56.41</v>
      </c>
    </row>
    <row r="46" spans="1:12" x14ac:dyDescent="0.35">
      <c r="A46" s="5">
        <v>2005</v>
      </c>
      <c r="B46" s="5">
        <v>1</v>
      </c>
      <c r="C46" s="5">
        <v>3</v>
      </c>
      <c r="D46" s="7">
        <v>3960827</v>
      </c>
      <c r="E46" s="8">
        <f t="shared" si="1"/>
        <v>-3.9090189000122511E-2</v>
      </c>
      <c r="F46" s="1">
        <v>22722340.172482703</v>
      </c>
      <c r="H46">
        <f t="shared" si="0"/>
        <v>113675.7349</v>
      </c>
      <c r="I46" s="11">
        <f t="shared" si="2"/>
        <v>152361120.89900002</v>
      </c>
      <c r="K46" s="1">
        <v>41308510.144249842</v>
      </c>
      <c r="L46">
        <v>57.94</v>
      </c>
    </row>
    <row r="47" spans="1:12" x14ac:dyDescent="0.35">
      <c r="A47" s="5">
        <v>2005</v>
      </c>
      <c r="B47" s="5">
        <v>2</v>
      </c>
      <c r="C47" s="5">
        <v>6</v>
      </c>
      <c r="D47" s="7">
        <v>4227608</v>
      </c>
      <c r="E47" s="8">
        <f t="shared" si="1"/>
        <v>6.7354873111095337E-2</v>
      </c>
      <c r="F47" s="1">
        <v>21528343.091491502</v>
      </c>
      <c r="G47" s="3">
        <f>+F47/F46-1</f>
        <v>-5.2547276025607603E-2</v>
      </c>
      <c r="H47">
        <f t="shared" si="0"/>
        <v>121332.3496</v>
      </c>
      <c r="I47" s="11">
        <f t="shared" si="2"/>
        <v>156475053.16410002</v>
      </c>
      <c r="K47" s="1">
        <v>41429279.338997126</v>
      </c>
      <c r="L47">
        <v>58.06</v>
      </c>
    </row>
    <row r="48" spans="1:12" x14ac:dyDescent="0.35">
      <c r="A48" s="5">
        <v>2005</v>
      </c>
      <c r="B48" s="5">
        <v>3</v>
      </c>
      <c r="C48" s="5">
        <v>9</v>
      </c>
      <c r="D48" s="7">
        <v>4966326</v>
      </c>
      <c r="E48" s="8">
        <f t="shared" si="1"/>
        <v>0.17473663594164823</v>
      </c>
      <c r="F48" s="1">
        <v>20543778.028636798</v>
      </c>
      <c r="G48" s="3">
        <f t="shared" ref="G48:G111" si="3">+F48/F47-1</f>
        <v>-4.5733434229958236E-2</v>
      </c>
      <c r="H48">
        <f t="shared" si="0"/>
        <v>142533.55619999999</v>
      </c>
      <c r="I48" s="11">
        <f t="shared" si="2"/>
        <v>161320046.81450003</v>
      </c>
      <c r="K48" s="1">
        <v>41550401.613493569</v>
      </c>
      <c r="L48">
        <v>57.19</v>
      </c>
    </row>
    <row r="49" spans="1:12" x14ac:dyDescent="0.35">
      <c r="A49" s="5">
        <v>2005</v>
      </c>
      <c r="B49" s="5">
        <v>4</v>
      </c>
      <c r="C49" s="5">
        <v>12</v>
      </c>
      <c r="D49" s="7">
        <v>5040968</v>
      </c>
      <c r="E49" s="8">
        <f t="shared" si="1"/>
        <v>1.5029621494843548E-2</v>
      </c>
      <c r="F49" s="1">
        <v>25477317.738726698</v>
      </c>
      <c r="G49" s="3">
        <f t="shared" si="3"/>
        <v>0.2401476351240186</v>
      </c>
      <c r="H49">
        <f t="shared" si="0"/>
        <v>144675.78159999999</v>
      </c>
      <c r="I49" s="11">
        <f t="shared" si="2"/>
        <v>166218481.25830004</v>
      </c>
      <c r="K49" s="1">
        <v>41671878</v>
      </c>
      <c r="L49">
        <v>57.42</v>
      </c>
    </row>
    <row r="50" spans="1:12" x14ac:dyDescent="0.35">
      <c r="A50" s="5">
        <v>2006</v>
      </c>
      <c r="B50" s="5">
        <v>1</v>
      </c>
      <c r="C50" s="5">
        <v>3</v>
      </c>
      <c r="D50" s="7">
        <v>5012290.1670856429</v>
      </c>
      <c r="E50" s="8">
        <f t="shared" si="1"/>
        <v>-5.6889535728766871E-3</v>
      </c>
      <c r="F50" s="1">
        <v>24150325.253761299</v>
      </c>
      <c r="G50" s="3">
        <f t="shared" si="3"/>
        <v>-5.2085250832677343E-2</v>
      </c>
      <c r="H50">
        <f t="shared" si="0"/>
        <v>143852.72779535796</v>
      </c>
      <c r="I50" s="11">
        <f t="shared" si="2"/>
        <v>171086095.64378569</v>
      </c>
      <c r="K50" s="1">
        <v>41795885.36849013</v>
      </c>
      <c r="L50">
        <v>58.29</v>
      </c>
    </row>
    <row r="51" spans="1:12" x14ac:dyDescent="0.35">
      <c r="A51" s="5">
        <v>2006</v>
      </c>
      <c r="B51" s="5">
        <v>2</v>
      </c>
      <c r="C51" s="5">
        <v>6</v>
      </c>
      <c r="D51" s="7">
        <v>5692045.0924403537</v>
      </c>
      <c r="E51" s="8">
        <f t="shared" si="1"/>
        <v>0.13561763239855473</v>
      </c>
      <c r="F51" s="1">
        <v>24626848.232139498</v>
      </c>
      <c r="G51" s="3">
        <f t="shared" si="3"/>
        <v>1.9731534601339806E-2</v>
      </c>
      <c r="H51">
        <f t="shared" si="0"/>
        <v>163361.69415303814</v>
      </c>
      <c r="I51" s="11">
        <f t="shared" si="2"/>
        <v>176634288.00843069</v>
      </c>
      <c r="K51" s="1">
        <v>41920261.758684538</v>
      </c>
      <c r="L51">
        <v>59.81</v>
      </c>
    </row>
    <row r="52" spans="1:12" x14ac:dyDescent="0.35">
      <c r="A52" s="5">
        <v>2006</v>
      </c>
      <c r="B52" s="5">
        <v>3</v>
      </c>
      <c r="C52" s="5">
        <v>9</v>
      </c>
      <c r="D52" s="7">
        <v>6185848.7410203228</v>
      </c>
      <c r="E52" s="8">
        <f t="shared" si="1"/>
        <v>8.6753291753748352E-2</v>
      </c>
      <c r="F52" s="1">
        <v>26191291.689571202</v>
      </c>
      <c r="G52" s="3">
        <f t="shared" si="3"/>
        <v>6.3525930833082001E-2</v>
      </c>
      <c r="H52">
        <f t="shared" si="0"/>
        <v>177533.85886728327</v>
      </c>
      <c r="I52" s="11">
        <f t="shared" si="2"/>
        <v>182656775.05529797</v>
      </c>
      <c r="K52" s="1">
        <v>42045008.268719725</v>
      </c>
      <c r="L52">
        <v>58.65</v>
      </c>
    </row>
    <row r="53" spans="1:12" x14ac:dyDescent="0.35">
      <c r="A53" s="5">
        <v>2006</v>
      </c>
      <c r="B53" s="5">
        <v>4</v>
      </c>
      <c r="C53" s="5">
        <v>12</v>
      </c>
      <c r="D53" s="7">
        <v>6202185.8770752307</v>
      </c>
      <c r="E53" s="8">
        <f t="shared" si="1"/>
        <v>2.6410500383837743E-3</v>
      </c>
      <c r="F53" s="1">
        <v>27738053.856472</v>
      </c>
      <c r="G53" s="3">
        <f t="shared" si="3"/>
        <v>5.9056352975393134E-2</v>
      </c>
      <c r="H53">
        <f t="shared" si="0"/>
        <v>178002.73467205913</v>
      </c>
      <c r="I53" s="11">
        <f t="shared" si="2"/>
        <v>188681427.07350591</v>
      </c>
      <c r="K53" s="1">
        <v>42170126.00000003</v>
      </c>
      <c r="L53">
        <v>59.27</v>
      </c>
    </row>
    <row r="54" spans="1:12" x14ac:dyDescent="0.35">
      <c r="A54" s="5">
        <v>2007</v>
      </c>
      <c r="B54" s="5">
        <v>1</v>
      </c>
      <c r="C54" s="5">
        <v>3</v>
      </c>
      <c r="D54" s="7">
        <v>6687620.0060233884</v>
      </c>
      <c r="E54" s="8">
        <f t="shared" si="1"/>
        <v>7.8268232937429127E-2</v>
      </c>
      <c r="F54" s="1">
        <v>30699895.594074499</v>
      </c>
      <c r="G54" s="3">
        <f t="shared" si="3"/>
        <v>0.10677900305941712</v>
      </c>
      <c r="H54">
        <f t="shared" si="0"/>
        <v>191934.69417287124</v>
      </c>
      <c r="I54" s="11">
        <f t="shared" si="2"/>
        <v>195191044.34485722</v>
      </c>
      <c r="K54" s="1">
        <v>42291725.035584331</v>
      </c>
      <c r="L54">
        <v>54.74</v>
      </c>
    </row>
    <row r="55" spans="1:12" x14ac:dyDescent="0.35">
      <c r="A55" s="5">
        <v>2007</v>
      </c>
      <c r="B55" s="5">
        <v>2</v>
      </c>
      <c r="C55" s="5">
        <v>6</v>
      </c>
      <c r="D55" s="7">
        <v>6791969.4417403098</v>
      </c>
      <c r="E55" s="8">
        <f t="shared" si="1"/>
        <v>1.5603373939149678E-2</v>
      </c>
      <c r="F55" s="1">
        <v>30413990.651930701</v>
      </c>
      <c r="G55" s="3">
        <f t="shared" si="3"/>
        <v>-9.3128962366563206E-3</v>
      </c>
      <c r="H55">
        <f t="shared" si="0"/>
        <v>194929.52297794688</v>
      </c>
      <c r="I55" s="11">
        <f t="shared" si="2"/>
        <v>201791079.09242466</v>
      </c>
      <c r="K55" s="1">
        <v>42413674.706247509</v>
      </c>
      <c r="L55">
        <v>55.14</v>
      </c>
    </row>
    <row r="56" spans="1:12" x14ac:dyDescent="0.35">
      <c r="A56" s="5">
        <v>2007</v>
      </c>
      <c r="B56" s="5">
        <v>3</v>
      </c>
      <c r="C56" s="5">
        <v>9</v>
      </c>
      <c r="D56" s="7">
        <v>7075505.7746926732</v>
      </c>
      <c r="E56" s="8">
        <f t="shared" si="1"/>
        <v>4.1745819881031876E-2</v>
      </c>
      <c r="F56" s="1">
        <v>30639879.6744451</v>
      </c>
      <c r="G56" s="3">
        <f t="shared" si="3"/>
        <v>7.4271418407259038E-3</v>
      </c>
      <c r="H56">
        <f t="shared" si="0"/>
        <v>203067.01573367973</v>
      </c>
      <c r="I56" s="11">
        <f t="shared" si="2"/>
        <v>208671655.3441394</v>
      </c>
      <c r="K56" s="1">
        <v>42535976.023058072</v>
      </c>
      <c r="L56">
        <v>55.1</v>
      </c>
    </row>
    <row r="57" spans="1:12" x14ac:dyDescent="0.35">
      <c r="A57" s="5">
        <v>2007</v>
      </c>
      <c r="B57" s="5">
        <v>4</v>
      </c>
      <c r="C57" s="5">
        <v>12</v>
      </c>
      <c r="D57" s="7">
        <v>7426559.132250458</v>
      </c>
      <c r="E57" s="8">
        <f t="shared" si="1"/>
        <v>4.9615302246436732E-2</v>
      </c>
      <c r="F57" s="1">
        <v>30619234.079549599</v>
      </c>
      <c r="G57" s="3">
        <f t="shared" si="3"/>
        <v>-6.7381448996750581E-4</v>
      </c>
      <c r="H57">
        <f t="shared" si="0"/>
        <v>213142.24709558813</v>
      </c>
      <c r="I57" s="11">
        <f t="shared" si="2"/>
        <v>215895147.46065617</v>
      </c>
      <c r="K57" s="1">
        <v>42658629.999999993</v>
      </c>
      <c r="L57">
        <v>56.24</v>
      </c>
    </row>
    <row r="58" spans="1:12" x14ac:dyDescent="0.35">
      <c r="A58" s="5">
        <v>2008</v>
      </c>
      <c r="B58" s="5">
        <v>1</v>
      </c>
      <c r="C58" s="5">
        <v>3</v>
      </c>
      <c r="D58" s="9">
        <f>+(1+G58)*D57</f>
        <v>7553186.7911037086</v>
      </c>
      <c r="E58" s="10">
        <f>+D58/D57-1</f>
        <v>1.7050649782529792E-2</v>
      </c>
      <c r="F58" s="1">
        <v>31141311.916449301</v>
      </c>
      <c r="G58" s="3">
        <f t="shared" si="3"/>
        <v>1.7050649782529792E-2</v>
      </c>
      <c r="H58">
        <f t="shared" si="0"/>
        <v>216776.46090467644</v>
      </c>
      <c r="I58" s="11">
        <f t="shared" si="2"/>
        <v>223235192.0046643</v>
      </c>
      <c r="K58" s="1">
        <v>42776983.294322297</v>
      </c>
      <c r="L58">
        <v>56.76</v>
      </c>
    </row>
    <row r="59" spans="1:12" x14ac:dyDescent="0.35">
      <c r="A59" s="5">
        <v>2008</v>
      </c>
      <c r="B59" s="5">
        <v>2</v>
      </c>
      <c r="C59" s="5">
        <v>6</v>
      </c>
      <c r="D59" s="9">
        <f t="shared" ref="D59:D117" si="4">+(1+G59)*D58</f>
        <v>7566006.7026042063</v>
      </c>
      <c r="E59" s="10">
        <f t="shared" ref="E59:E117" si="5">+D59/D58-1</f>
        <v>1.6972851135625966E-3</v>
      </c>
      <c r="F59" s="1">
        <v>31194167.601581898</v>
      </c>
      <c r="G59" s="3">
        <f t="shared" si="3"/>
        <v>1.6972851135625966E-3</v>
      </c>
      <c r="H59">
        <f t="shared" si="0"/>
        <v>217144.39236474072</v>
      </c>
      <c r="I59" s="11">
        <f t="shared" si="2"/>
        <v>230584422.24636382</v>
      </c>
      <c r="K59" s="1">
        <v>42895664.951329403</v>
      </c>
      <c r="L59">
        <v>56.88</v>
      </c>
    </row>
    <row r="60" spans="1:12" x14ac:dyDescent="0.35">
      <c r="A60" s="5">
        <v>2008</v>
      </c>
      <c r="B60" s="5">
        <v>3</v>
      </c>
      <c r="C60" s="5">
        <v>9</v>
      </c>
      <c r="D60" s="9">
        <f t="shared" si="4"/>
        <v>7876278.4877866758</v>
      </c>
      <c r="E60" s="10">
        <f t="shared" si="5"/>
        <v>4.1008658514097629E-2</v>
      </c>
      <c r="F60" s="1">
        <v>32473398.5683867</v>
      </c>
      <c r="G60" s="3">
        <f t="shared" si="3"/>
        <v>4.1008658514097629E-2</v>
      </c>
      <c r="H60">
        <f t="shared" si="0"/>
        <v>226049.1925994776</v>
      </c>
      <c r="I60" s="11">
        <f t="shared" si="2"/>
        <v>238243556.34178576</v>
      </c>
      <c r="K60" s="1">
        <v>43014675.882039919</v>
      </c>
      <c r="L60">
        <v>57.39</v>
      </c>
    </row>
    <row r="61" spans="1:12" x14ac:dyDescent="0.35">
      <c r="A61" s="5">
        <v>2008</v>
      </c>
      <c r="B61" s="5">
        <v>4</v>
      </c>
      <c r="C61" s="5">
        <v>12</v>
      </c>
      <c r="D61" s="9">
        <f t="shared" si="4"/>
        <v>8072188.195064404</v>
      </c>
      <c r="E61" s="10">
        <f t="shared" si="5"/>
        <v>2.4873385010638627E-2</v>
      </c>
      <c r="F61" s="1">
        <v>33281121.913582101</v>
      </c>
      <c r="G61" s="3">
        <f t="shared" si="3"/>
        <v>2.4873385010638627E-2</v>
      </c>
      <c r="H61">
        <f t="shared" si="0"/>
        <v>231671.8011983484</v>
      </c>
      <c r="I61" s="11">
        <f t="shared" si="2"/>
        <v>246089695.34425068</v>
      </c>
      <c r="K61" s="1">
        <v>43134017</v>
      </c>
      <c r="L61">
        <v>55.33</v>
      </c>
    </row>
    <row r="62" spans="1:12" x14ac:dyDescent="0.35">
      <c r="A62" s="5">
        <v>2009</v>
      </c>
      <c r="B62" s="5">
        <v>1</v>
      </c>
      <c r="C62" s="5">
        <v>3</v>
      </c>
      <c r="D62" s="9">
        <f t="shared" si="4"/>
        <v>7461454.6705907313</v>
      </c>
      <c r="E62" s="10">
        <f t="shared" si="5"/>
        <v>-7.5658979909201673E-2</v>
      </c>
      <c r="F62" s="1">
        <v>30763106.1793667</v>
      </c>
      <c r="G62" s="3">
        <f t="shared" si="3"/>
        <v>-7.5658979909201673E-2</v>
      </c>
      <c r="H62">
        <f t="shared" si="0"/>
        <v>214143.749045954</v>
      </c>
      <c r="I62" s="11">
        <f t="shared" si="2"/>
        <v>253319478.21364304</v>
      </c>
      <c r="K62" s="1">
        <v>43252183.781014904</v>
      </c>
      <c r="L62">
        <v>56.84</v>
      </c>
    </row>
    <row r="63" spans="1:12" x14ac:dyDescent="0.35">
      <c r="A63" s="5">
        <v>2009</v>
      </c>
      <c r="B63" s="5">
        <v>2</v>
      </c>
      <c r="C63" s="5">
        <v>6</v>
      </c>
      <c r="D63" s="9">
        <f t="shared" si="4"/>
        <v>7551918.2148340214</v>
      </c>
      <c r="E63" s="10">
        <f t="shared" si="5"/>
        <v>1.2124116306683641E-2</v>
      </c>
      <c r="F63" s="1">
        <v>31136081.656640198</v>
      </c>
      <c r="G63" s="3">
        <f t="shared" si="3"/>
        <v>1.2124116306683641E-2</v>
      </c>
      <c r="H63">
        <f t="shared" si="0"/>
        <v>216740.05276573641</v>
      </c>
      <c r="I63" s="11">
        <f t="shared" si="2"/>
        <v>260657252.67943111</v>
      </c>
      <c r="K63" s="1">
        <v>43370674.283053406</v>
      </c>
      <c r="L63">
        <v>57.04</v>
      </c>
    </row>
    <row r="64" spans="1:12" x14ac:dyDescent="0.35">
      <c r="A64" s="5">
        <v>2009</v>
      </c>
      <c r="B64" s="5">
        <v>3</v>
      </c>
      <c r="C64" s="5">
        <v>9</v>
      </c>
      <c r="D64" s="9">
        <f t="shared" si="4"/>
        <v>7681459.0111138811</v>
      </c>
      <c r="E64" s="10">
        <f t="shared" si="5"/>
        <v>1.7153363237621733E-2</v>
      </c>
      <c r="F64" s="1">
        <v>31670170.175092801</v>
      </c>
      <c r="G64" s="3">
        <f t="shared" si="3"/>
        <v>1.7153363237621733E-2</v>
      </c>
      <c r="H64">
        <f t="shared" si="0"/>
        <v>220457.87361896838</v>
      </c>
      <c r="I64" s="11">
        <f t="shared" si="2"/>
        <v>268121971.63777927</v>
      </c>
      <c r="K64" s="1">
        <v>43489489.392957829</v>
      </c>
      <c r="L64">
        <v>57.88</v>
      </c>
    </row>
    <row r="65" spans="1:12" x14ac:dyDescent="0.35">
      <c r="A65" s="5">
        <v>2009</v>
      </c>
      <c r="B65" s="5">
        <v>4</v>
      </c>
      <c r="C65" s="5">
        <v>12</v>
      </c>
      <c r="D65" s="9">
        <f t="shared" si="4"/>
        <v>7466678.0854726117</v>
      </c>
      <c r="E65" s="10">
        <f t="shared" si="5"/>
        <v>-2.7960954465878762E-2</v>
      </c>
      <c r="F65" s="1">
        <v>30784641.988900401</v>
      </c>
      <c r="G65" s="3">
        <f t="shared" si="3"/>
        <v>-2.7960954465878762E-2</v>
      </c>
      <c r="H65">
        <f t="shared" si="0"/>
        <v>214293.66105306396</v>
      </c>
      <c r="I65" s="11">
        <f t="shared" si="2"/>
        <v>275368191.84963292</v>
      </c>
      <c r="K65" s="1">
        <v>43608630.000000007</v>
      </c>
      <c r="L65">
        <v>58.92</v>
      </c>
    </row>
    <row r="66" spans="1:12" x14ac:dyDescent="0.35">
      <c r="A66" s="5">
        <v>2010</v>
      </c>
      <c r="B66" s="5">
        <v>1</v>
      </c>
      <c r="C66" s="5">
        <v>3</v>
      </c>
      <c r="D66" s="9">
        <f t="shared" si="4"/>
        <v>7693558.6137697408</v>
      </c>
      <c r="E66" s="10">
        <f t="shared" si="5"/>
        <v>3.0385738570751331E-2</v>
      </c>
      <c r="F66" s="1">
        <v>31720056.0723693</v>
      </c>
      <c r="G66" s="3">
        <f t="shared" si="3"/>
        <v>3.0385738570751331E-2</v>
      </c>
      <c r="H66">
        <f t="shared" si="0"/>
        <v>220805.13221519155</v>
      </c>
      <c r="I66" s="11">
        <f t="shared" si="2"/>
        <v>282847456.80234963</v>
      </c>
      <c r="K66" s="1">
        <v>43727558.109273531</v>
      </c>
      <c r="L66">
        <v>57.89</v>
      </c>
    </row>
    <row r="67" spans="1:12" x14ac:dyDescent="0.35">
      <c r="A67" s="5">
        <v>2010</v>
      </c>
      <c r="B67" s="5">
        <v>2</v>
      </c>
      <c r="C67" s="5">
        <v>6</v>
      </c>
      <c r="D67" s="9">
        <f t="shared" si="4"/>
        <v>8046037.3900495786</v>
      </c>
      <c r="E67" s="10">
        <f t="shared" si="5"/>
        <v>4.5814790524761895E-2</v>
      </c>
      <c r="F67" s="1">
        <v>33173303.7967586</v>
      </c>
      <c r="G67" s="3">
        <f t="shared" si="3"/>
        <v>4.5814790524761895E-2</v>
      </c>
      <c r="H67">
        <f t="shared" ref="H67:H117" si="6">0.0287*D67</f>
        <v>230921.27309442291</v>
      </c>
      <c r="I67" s="11">
        <f t="shared" si="2"/>
        <v>290672689.060184</v>
      </c>
      <c r="K67" s="1">
        <v>43846810.555614643</v>
      </c>
      <c r="L67">
        <v>60.02</v>
      </c>
    </row>
    <row r="68" spans="1:12" x14ac:dyDescent="0.35">
      <c r="A68" s="5">
        <v>2010</v>
      </c>
      <c r="B68" s="5">
        <v>3</v>
      </c>
      <c r="C68" s="5">
        <v>9</v>
      </c>
      <c r="D68" s="9">
        <f t="shared" si="4"/>
        <v>8025285.6286888691</v>
      </c>
      <c r="E68" s="10">
        <f t="shared" si="5"/>
        <v>-2.5791281291300816E-3</v>
      </c>
      <c r="F68" s="1">
        <v>33087745.595800202</v>
      </c>
      <c r="G68" s="3">
        <f t="shared" si="3"/>
        <v>-2.5791281291300816E-3</v>
      </c>
      <c r="H68">
        <f t="shared" si="6"/>
        <v>230325.69754337054</v>
      </c>
      <c r="I68" s="11">
        <f t="shared" ref="I68:I117" si="7">+I67-H67+D68</f>
        <v>298467053.41577846</v>
      </c>
      <c r="K68" s="1">
        <v>43966388.223545365</v>
      </c>
      <c r="L68">
        <v>58.57</v>
      </c>
    </row>
    <row r="69" spans="1:12" x14ac:dyDescent="0.35">
      <c r="A69" s="5">
        <v>2010</v>
      </c>
      <c r="B69" s="5">
        <v>4</v>
      </c>
      <c r="C69" s="5">
        <v>12</v>
      </c>
      <c r="D69" s="9">
        <f t="shared" si="4"/>
        <v>8539518.3304531127</v>
      </c>
      <c r="E69" s="10">
        <f t="shared" si="5"/>
        <v>6.4076560705323526E-2</v>
      </c>
      <c r="F69" s="1">
        <v>35207894.535071798</v>
      </c>
      <c r="G69" s="3">
        <f t="shared" si="3"/>
        <v>6.4076560705323526E-2</v>
      </c>
      <c r="H69">
        <f t="shared" si="6"/>
        <v>245084.17608400434</v>
      </c>
      <c r="I69" s="11">
        <f t="shared" si="7"/>
        <v>306776246.04868817</v>
      </c>
      <c r="K69" s="1">
        <v>44086291.999999985</v>
      </c>
      <c r="L69">
        <v>59.55</v>
      </c>
    </row>
    <row r="70" spans="1:12" x14ac:dyDescent="0.35">
      <c r="A70" s="5">
        <v>2011</v>
      </c>
      <c r="B70" s="5">
        <v>1</v>
      </c>
      <c r="C70" s="5">
        <v>3</v>
      </c>
      <c r="D70" s="9">
        <f t="shared" si="4"/>
        <v>9054045.0405455045</v>
      </c>
      <c r="E70" s="10">
        <f t="shared" si="5"/>
        <v>6.0252427617318638E-2</v>
      </c>
      <c r="F70" s="1">
        <v>37329255.6521044</v>
      </c>
      <c r="G70" s="3">
        <f t="shared" si="3"/>
        <v>6.0252427617318638E-2</v>
      </c>
      <c r="H70">
        <f t="shared" si="6"/>
        <v>259851.09266365599</v>
      </c>
      <c r="I70" s="11">
        <f t="shared" si="7"/>
        <v>315585206.91314971</v>
      </c>
      <c r="K70" s="1">
        <v>44202611.832212642</v>
      </c>
      <c r="L70">
        <v>60.82</v>
      </c>
    </row>
    <row r="71" spans="1:12" x14ac:dyDescent="0.35">
      <c r="A71" s="5">
        <v>2011</v>
      </c>
      <c r="B71" s="5">
        <v>2</v>
      </c>
      <c r="C71" s="5">
        <v>6</v>
      </c>
      <c r="D71" s="9">
        <f t="shared" si="4"/>
        <v>9134264.4646722414</v>
      </c>
      <c r="E71" s="10">
        <f t="shared" si="5"/>
        <v>8.8600646194603172E-3</v>
      </c>
      <c r="F71" s="1">
        <v>37659995.269378401</v>
      </c>
      <c r="G71" s="3">
        <f t="shared" si="3"/>
        <v>8.8600646194603172E-3</v>
      </c>
      <c r="H71">
        <f t="shared" si="6"/>
        <v>262153.39013609331</v>
      </c>
      <c r="I71" s="11">
        <f t="shared" si="7"/>
        <v>324459620.28515834</v>
      </c>
      <c r="K71" s="1">
        <v>44319238.569423452</v>
      </c>
      <c r="L71">
        <v>60.08</v>
      </c>
    </row>
    <row r="72" spans="1:12" x14ac:dyDescent="0.35">
      <c r="A72" s="5">
        <v>2011</v>
      </c>
      <c r="B72" s="5">
        <v>3</v>
      </c>
      <c r="C72" s="5">
        <v>9</v>
      </c>
      <c r="D72" s="9">
        <f t="shared" si="4"/>
        <v>9713709.5630175788</v>
      </c>
      <c r="E72" s="10">
        <f t="shared" si="5"/>
        <v>6.3436426719020833E-2</v>
      </c>
      <c r="F72" s="1">
        <v>40049010.799522996</v>
      </c>
      <c r="G72" s="3">
        <f t="shared" si="3"/>
        <v>6.3436426719020833E-2</v>
      </c>
      <c r="H72">
        <f t="shared" si="6"/>
        <v>278783.46445860452</v>
      </c>
      <c r="I72" s="11">
        <f t="shared" si="7"/>
        <v>333911176.45803982</v>
      </c>
      <c r="K72" s="1">
        <v>44436173.021388412</v>
      </c>
      <c r="L72">
        <v>59.97</v>
      </c>
    </row>
    <row r="73" spans="1:12" x14ac:dyDescent="0.35">
      <c r="A73" s="5">
        <v>2011</v>
      </c>
      <c r="B73" s="5">
        <v>4</v>
      </c>
      <c r="C73" s="5">
        <v>12</v>
      </c>
      <c r="D73" s="9">
        <f t="shared" si="4"/>
        <v>9899190.8141682111</v>
      </c>
      <c r="E73" s="10">
        <f t="shared" si="5"/>
        <v>1.9094790712788523E-2</v>
      </c>
      <c r="F73" s="1">
        <v>40813738.278994098</v>
      </c>
      <c r="G73" s="3">
        <f t="shared" si="3"/>
        <v>1.9094790712788523E-2</v>
      </c>
      <c r="H73">
        <f t="shared" si="6"/>
        <v>284106.77636662766</v>
      </c>
      <c r="I73" s="11">
        <f t="shared" si="7"/>
        <v>343531583.80774945</v>
      </c>
      <c r="K73" s="1">
        <v>44553415.999999985</v>
      </c>
      <c r="L73">
        <v>60.08</v>
      </c>
    </row>
    <row r="74" spans="1:12" x14ac:dyDescent="0.35">
      <c r="A74" s="5">
        <v>2012</v>
      </c>
      <c r="B74" s="5">
        <v>1</v>
      </c>
      <c r="C74" s="5">
        <v>3</v>
      </c>
      <c r="D74" s="9">
        <f t="shared" si="4"/>
        <v>9784133.1979072709</v>
      </c>
      <c r="E74" s="10">
        <f t="shared" si="5"/>
        <v>-1.1622931451757079E-2</v>
      </c>
      <c r="F74" s="1">
        <v>40339362.996687397</v>
      </c>
      <c r="G74" s="3">
        <f t="shared" si="3"/>
        <v>-1.1622931451757079E-2</v>
      </c>
      <c r="H74">
        <f t="shared" si="6"/>
        <v>280804.62277993868</v>
      </c>
      <c r="I74" s="11">
        <f t="shared" si="7"/>
        <v>353031610.22929007</v>
      </c>
      <c r="K74" s="1">
        <v>44665034.595942758</v>
      </c>
      <c r="L74">
        <v>61.45</v>
      </c>
    </row>
    <row r="75" spans="1:12" x14ac:dyDescent="0.35">
      <c r="A75" s="5">
        <v>2012</v>
      </c>
      <c r="B75" s="5">
        <v>2</v>
      </c>
      <c r="C75" s="5">
        <v>6</v>
      </c>
      <c r="D75" s="9">
        <f t="shared" si="4"/>
        <v>10007444.586219639</v>
      </c>
      <c r="E75" s="10">
        <f t="shared" si="5"/>
        <v>2.2823829540682405E-2</v>
      </c>
      <c r="F75" s="1">
        <v>41260061.741503499</v>
      </c>
      <c r="G75" s="3">
        <f t="shared" si="3"/>
        <v>2.2823829540682405E-2</v>
      </c>
      <c r="H75">
        <f t="shared" si="6"/>
        <v>287213.65962450363</v>
      </c>
      <c r="I75" s="11">
        <f t="shared" si="7"/>
        <v>362758250.19272971</v>
      </c>
      <c r="K75" s="1">
        <v>44776932.827255338</v>
      </c>
      <c r="L75">
        <v>61.62</v>
      </c>
    </row>
    <row r="76" spans="1:12" x14ac:dyDescent="0.35">
      <c r="A76" s="5">
        <v>2012</v>
      </c>
      <c r="B76" s="5">
        <v>3</v>
      </c>
      <c r="C76" s="5">
        <v>9</v>
      </c>
      <c r="D76" s="9">
        <f t="shared" si="4"/>
        <v>9481096.9419362806</v>
      </c>
      <c r="E76" s="10">
        <f t="shared" si="5"/>
        <v>-5.2595609173609059E-2</v>
      </c>
      <c r="F76" s="1">
        <v>39089963.659668401</v>
      </c>
      <c r="G76" s="3">
        <f t="shared" si="3"/>
        <v>-5.2595609173609059E-2</v>
      </c>
      <c r="H76">
        <f t="shared" si="6"/>
        <v>272107.48223357124</v>
      </c>
      <c r="I76" s="11">
        <f t="shared" si="7"/>
        <v>371952133.47504145</v>
      </c>
      <c r="K76" s="1">
        <v>44889111.394501485</v>
      </c>
      <c r="L76">
        <v>61.55</v>
      </c>
    </row>
    <row r="77" spans="1:12" x14ac:dyDescent="0.35">
      <c r="A77" s="5">
        <v>2012</v>
      </c>
      <c r="B77" s="5">
        <v>4</v>
      </c>
      <c r="C77" s="5">
        <v>12</v>
      </c>
      <c r="D77" s="9">
        <f t="shared" si="4"/>
        <v>9619747.6095712129</v>
      </c>
      <c r="E77" s="10">
        <f t="shared" si="5"/>
        <v>1.4623905702478401E-2</v>
      </c>
      <c r="F77" s="1">
        <v>39661611.602140702</v>
      </c>
      <c r="G77" s="3">
        <f t="shared" si="3"/>
        <v>1.4623905702478401E-2</v>
      </c>
      <c r="H77">
        <f t="shared" si="6"/>
        <v>276086.7563946938</v>
      </c>
      <c r="I77" s="11">
        <f t="shared" si="7"/>
        <v>381299773.60237908</v>
      </c>
      <c r="K77" s="1">
        <v>45001571.000000022</v>
      </c>
      <c r="L77">
        <v>62.36</v>
      </c>
    </row>
    <row r="78" spans="1:12" x14ac:dyDescent="0.35">
      <c r="A78" s="5">
        <v>2013</v>
      </c>
      <c r="B78" s="5">
        <v>1</v>
      </c>
      <c r="C78" s="5">
        <v>3</v>
      </c>
      <c r="D78" s="9">
        <f t="shared" si="4"/>
        <v>10065167.97106564</v>
      </c>
      <c r="E78" s="10">
        <f t="shared" si="5"/>
        <v>4.6302707677200905E-2</v>
      </c>
      <c r="F78" s="1">
        <v>41498051.610161304</v>
      </c>
      <c r="G78" s="3">
        <f t="shared" si="3"/>
        <v>4.6302707677200905E-2</v>
      </c>
      <c r="H78">
        <f t="shared" si="6"/>
        <v>288870.32076958386</v>
      </c>
      <c r="I78" s="11">
        <f t="shared" si="7"/>
        <v>391088854.81705004</v>
      </c>
      <c r="K78" s="1">
        <v>45109524.675417736</v>
      </c>
      <c r="L78">
        <v>60.74</v>
      </c>
    </row>
    <row r="79" spans="1:12" x14ac:dyDescent="0.35">
      <c r="A79" s="5">
        <v>2013</v>
      </c>
      <c r="B79" s="5">
        <v>2</v>
      </c>
      <c r="C79" s="5">
        <v>6</v>
      </c>
      <c r="D79" s="9">
        <f t="shared" si="4"/>
        <v>10603854.844163163</v>
      </c>
      <c r="E79" s="10">
        <f t="shared" si="5"/>
        <v>5.3519908922144754E-2</v>
      </c>
      <c r="F79" s="1">
        <v>43719023.552783601</v>
      </c>
      <c r="G79" s="3">
        <f t="shared" si="3"/>
        <v>5.3519908922144754E-2</v>
      </c>
      <c r="H79">
        <f t="shared" si="6"/>
        <v>304330.63402748277</v>
      </c>
      <c r="I79" s="11">
        <f t="shared" si="7"/>
        <v>401403839.34044361</v>
      </c>
      <c r="K79" s="1">
        <v>45217737.319484286</v>
      </c>
      <c r="L79">
        <v>61.5</v>
      </c>
    </row>
    <row r="80" spans="1:12" x14ac:dyDescent="0.35">
      <c r="A80" s="5">
        <v>2013</v>
      </c>
      <c r="B80" s="5">
        <v>3</v>
      </c>
      <c r="C80" s="5">
        <v>9</v>
      </c>
      <c r="D80" s="9">
        <f t="shared" si="4"/>
        <v>10950915.36687508</v>
      </c>
      <c r="E80" s="10">
        <f t="shared" si="5"/>
        <v>3.2729656130945139E-2</v>
      </c>
      <c r="F80" s="1">
        <v>45149932.160046898</v>
      </c>
      <c r="G80" s="3">
        <f t="shared" si="3"/>
        <v>3.2729656130945139E-2</v>
      </c>
      <c r="H80">
        <f t="shared" si="6"/>
        <v>314291.27102931478</v>
      </c>
      <c r="I80" s="11">
        <f t="shared" si="7"/>
        <v>412050424.07329118</v>
      </c>
      <c r="K80" s="1">
        <v>45326209.553436123</v>
      </c>
      <c r="L80">
        <v>59.78</v>
      </c>
    </row>
    <row r="81" spans="1:12" x14ac:dyDescent="0.35">
      <c r="A81" s="5">
        <v>2013</v>
      </c>
      <c r="B81" s="5">
        <v>4</v>
      </c>
      <c r="C81" s="5">
        <v>12</v>
      </c>
      <c r="D81" s="9">
        <f t="shared" si="4"/>
        <v>10788233.980012819</v>
      </c>
      <c r="E81" s="10">
        <f t="shared" si="5"/>
        <v>-1.4855505810441039E-2</v>
      </c>
      <c r="F81" s="1">
        <v>44479207.080502301</v>
      </c>
      <c r="G81" s="3">
        <f t="shared" si="3"/>
        <v>-1.4855505810441039E-2</v>
      </c>
      <c r="H81">
        <f t="shared" si="6"/>
        <v>309622.31522636791</v>
      </c>
      <c r="I81" s="11">
        <f t="shared" si="7"/>
        <v>422524366.78227472</v>
      </c>
      <c r="K81" s="1">
        <v>45434942</v>
      </c>
      <c r="L81">
        <v>61.06</v>
      </c>
    </row>
    <row r="82" spans="1:12" x14ac:dyDescent="0.35">
      <c r="A82" s="5">
        <v>2014</v>
      </c>
      <c r="B82" s="5">
        <v>1</v>
      </c>
      <c r="C82" s="5">
        <v>3</v>
      </c>
      <c r="D82" s="9">
        <f t="shared" si="4"/>
        <v>11362583.213498887</v>
      </c>
      <c r="E82" s="10">
        <f t="shared" si="5"/>
        <v>5.3238485052340856E-2</v>
      </c>
      <c r="F82" s="1">
        <v>46847212.681797601</v>
      </c>
      <c r="G82" s="3">
        <f t="shared" si="3"/>
        <v>5.3238485052340856E-2</v>
      </c>
      <c r="H82">
        <f t="shared" si="6"/>
        <v>326106.13822741807</v>
      </c>
      <c r="I82" s="11">
        <f t="shared" si="7"/>
        <v>433577327.68054724</v>
      </c>
      <c r="K82" s="1">
        <v>45542327.689930327</v>
      </c>
      <c r="L82">
        <v>61.29</v>
      </c>
    </row>
    <row r="83" spans="1:12" x14ac:dyDescent="0.35">
      <c r="A83" s="5">
        <v>2014</v>
      </c>
      <c r="B83" s="5">
        <v>2</v>
      </c>
      <c r="C83" s="5">
        <v>6</v>
      </c>
      <c r="D83" s="9">
        <f t="shared" si="4"/>
        <v>11774142.270500766</v>
      </c>
      <c r="E83" s="10">
        <f t="shared" si="5"/>
        <v>3.6220553836115554E-2</v>
      </c>
      <c r="F83" s="1">
        <v>48544044.670810603</v>
      </c>
      <c r="G83" s="3">
        <f t="shared" si="3"/>
        <v>3.6220553836115554E-2</v>
      </c>
      <c r="H83">
        <f t="shared" si="6"/>
        <v>337917.883163372</v>
      </c>
      <c r="I83" s="11">
        <f t="shared" si="7"/>
        <v>445025363.81282061</v>
      </c>
      <c r="K83" s="1">
        <v>45649967.186422169</v>
      </c>
      <c r="L83">
        <v>61.74</v>
      </c>
    </row>
    <row r="84" spans="1:12" x14ac:dyDescent="0.35">
      <c r="A84" s="5">
        <v>2014</v>
      </c>
      <c r="B84" s="5">
        <v>3</v>
      </c>
      <c r="C84" s="5">
        <v>9</v>
      </c>
      <c r="D84" s="9">
        <f t="shared" si="4"/>
        <v>11516295.173775064</v>
      </c>
      <c r="E84" s="10">
        <f t="shared" si="5"/>
        <v>-2.1899437836055302E-2</v>
      </c>
      <c r="F84" s="1">
        <v>47480957.382231496</v>
      </c>
      <c r="G84" s="3">
        <f t="shared" si="3"/>
        <v>-2.1899437836055302E-2</v>
      </c>
      <c r="H84">
        <f t="shared" si="6"/>
        <v>330517.67148734431</v>
      </c>
      <c r="I84" s="11">
        <f t="shared" si="7"/>
        <v>456203741.1034323</v>
      </c>
      <c r="K84" s="1">
        <v>45757861.089348488</v>
      </c>
      <c r="L84">
        <v>60.04</v>
      </c>
    </row>
    <row r="85" spans="1:12" x14ac:dyDescent="0.35">
      <c r="A85" s="5">
        <v>2014</v>
      </c>
      <c r="B85" s="5">
        <v>4</v>
      </c>
      <c r="C85" s="5">
        <v>12</v>
      </c>
      <c r="D85" s="9">
        <f t="shared" si="4"/>
        <v>12287548.293353347</v>
      </c>
      <c r="E85" s="10">
        <f t="shared" si="5"/>
        <v>6.697059322815746E-2</v>
      </c>
      <c r="F85" s="1">
        <v>50660785.265160397</v>
      </c>
      <c r="G85" s="3">
        <f t="shared" si="3"/>
        <v>6.697059322815746E-2</v>
      </c>
      <c r="H85">
        <f t="shared" si="6"/>
        <v>352652.63601924106</v>
      </c>
      <c r="I85" s="11">
        <f t="shared" si="7"/>
        <v>468160771.72529829</v>
      </c>
      <c r="K85" s="1">
        <v>45866010.000000015</v>
      </c>
      <c r="L85">
        <v>61.29</v>
      </c>
    </row>
    <row r="86" spans="1:12" x14ac:dyDescent="0.35">
      <c r="A86" s="5">
        <v>2015</v>
      </c>
      <c r="B86" s="5">
        <v>1</v>
      </c>
      <c r="C86" s="5">
        <v>3</v>
      </c>
      <c r="D86" s="9">
        <f t="shared" si="4"/>
        <v>11421281.452727688</v>
      </c>
      <c r="E86" s="10">
        <f t="shared" si="5"/>
        <v>-7.0499567525137974E-2</v>
      </c>
      <c r="F86" s="1">
        <v>47089221.813482702</v>
      </c>
      <c r="G86" s="3">
        <f t="shared" si="3"/>
        <v>-7.0499567525138085E-2</v>
      </c>
      <c r="H86">
        <f t="shared" si="6"/>
        <v>327790.77769328468</v>
      </c>
      <c r="I86" s="11">
        <f t="shared" si="7"/>
        <v>479229400.54200673</v>
      </c>
      <c r="K86" s="1">
        <v>45977574.286781207</v>
      </c>
      <c r="L86">
        <v>61.73</v>
      </c>
    </row>
    <row r="87" spans="1:12" x14ac:dyDescent="0.35">
      <c r="A87" s="5">
        <v>2015</v>
      </c>
      <c r="B87" s="5">
        <v>2</v>
      </c>
      <c r="C87" s="5">
        <v>6</v>
      </c>
      <c r="D87" s="9">
        <f t="shared" si="4"/>
        <v>11555022.863756597</v>
      </c>
      <c r="E87" s="10">
        <f t="shared" si="5"/>
        <v>1.1709842856290731E-2</v>
      </c>
      <c r="F87" s="1">
        <v>47640629.2011436</v>
      </c>
      <c r="G87" s="3">
        <f t="shared" si="3"/>
        <v>1.1709842856290731E-2</v>
      </c>
      <c r="H87">
        <f t="shared" si="6"/>
        <v>331629.15618981433</v>
      </c>
      <c r="I87" s="11">
        <f t="shared" si="7"/>
        <v>490456632.62807006</v>
      </c>
      <c r="K87" s="1">
        <v>46089409.942056961</v>
      </c>
      <c r="L87">
        <v>60.88</v>
      </c>
    </row>
    <row r="88" spans="1:12" x14ac:dyDescent="0.35">
      <c r="A88" s="5">
        <v>2015</v>
      </c>
      <c r="B88" s="5">
        <v>3</v>
      </c>
      <c r="C88" s="5">
        <v>9</v>
      </c>
      <c r="D88" s="9">
        <f t="shared" si="4"/>
        <v>11663133.354691811</v>
      </c>
      <c r="E88" s="10">
        <f t="shared" si="5"/>
        <v>9.3561468644351997E-3</v>
      </c>
      <c r="F88" s="1">
        <v>48086361.924663603</v>
      </c>
      <c r="G88" s="3">
        <f t="shared" si="3"/>
        <v>9.3561468644351997E-3</v>
      </c>
      <c r="H88">
        <f t="shared" si="6"/>
        <v>334731.92727965495</v>
      </c>
      <c r="I88" s="11">
        <f t="shared" si="7"/>
        <v>501788136.82657206</v>
      </c>
      <c r="K88" s="1">
        <v>46201517.625902839</v>
      </c>
      <c r="L88">
        <v>60.73</v>
      </c>
    </row>
    <row r="89" spans="1:12" x14ac:dyDescent="0.35">
      <c r="A89" s="5">
        <v>2015</v>
      </c>
      <c r="B89" s="5">
        <v>4</v>
      </c>
      <c r="C89" s="5">
        <v>12</v>
      </c>
      <c r="D89" s="9">
        <f t="shared" si="4"/>
        <v>12338339.539491348</v>
      </c>
      <c r="E89" s="10">
        <f t="shared" si="5"/>
        <v>5.7892348845339781E-2</v>
      </c>
      <c r="F89" s="1">
        <v>50870194.363909498</v>
      </c>
      <c r="G89" s="3">
        <f t="shared" si="3"/>
        <v>5.7892348845339781E-2</v>
      </c>
      <c r="H89">
        <f t="shared" si="6"/>
        <v>354110.3447834017</v>
      </c>
      <c r="I89" s="11">
        <f t="shared" si="7"/>
        <v>513791744.43878376</v>
      </c>
      <c r="K89" s="1">
        <v>46313897.999999978</v>
      </c>
      <c r="L89">
        <v>61.59</v>
      </c>
    </row>
    <row r="90" spans="1:12" x14ac:dyDescent="0.35">
      <c r="A90" s="5">
        <v>2016</v>
      </c>
      <c r="B90" s="5">
        <v>1</v>
      </c>
      <c r="C90" s="5">
        <v>3</v>
      </c>
      <c r="D90" s="9">
        <f t="shared" si="4"/>
        <v>11840741.235974971</v>
      </c>
      <c r="E90" s="10">
        <f t="shared" si="5"/>
        <v>-4.0329438327070921E-2</v>
      </c>
      <c r="F90" s="1">
        <v>48818627.997624099</v>
      </c>
      <c r="G90" s="3">
        <f t="shared" si="3"/>
        <v>-4.0329438327070921E-2</v>
      </c>
      <c r="H90">
        <f t="shared" si="6"/>
        <v>339829.2734724817</v>
      </c>
      <c r="I90" s="11">
        <f t="shared" si="7"/>
        <v>525278375.32997531</v>
      </c>
      <c r="K90" s="1">
        <v>46442416.561594494</v>
      </c>
      <c r="L90">
        <v>61.27</v>
      </c>
    </row>
    <row r="91" spans="1:12" x14ac:dyDescent="0.35">
      <c r="A91" s="5">
        <v>2016</v>
      </c>
      <c r="B91" s="5">
        <v>2</v>
      </c>
      <c r="C91" s="5">
        <v>6</v>
      </c>
      <c r="D91" s="9">
        <f t="shared" si="4"/>
        <v>11380499.394697968</v>
      </c>
      <c r="E91" s="10">
        <f t="shared" si="5"/>
        <v>-3.8869343743335949E-2</v>
      </c>
      <c r="F91" s="1">
        <v>46921079.964906402</v>
      </c>
      <c r="G91" s="3">
        <f t="shared" si="3"/>
        <v>-3.8869343743335949E-2</v>
      </c>
      <c r="H91">
        <f t="shared" si="6"/>
        <v>326620.33262783167</v>
      </c>
      <c r="I91" s="11">
        <f t="shared" si="7"/>
        <v>536319045.45120078</v>
      </c>
      <c r="K91" s="1">
        <v>46571291.755245186</v>
      </c>
      <c r="L91">
        <v>61.52</v>
      </c>
    </row>
    <row r="92" spans="1:12" x14ac:dyDescent="0.35">
      <c r="A92" s="5">
        <v>2016</v>
      </c>
      <c r="B92" s="5">
        <v>3</v>
      </c>
      <c r="C92" s="5">
        <v>9</v>
      </c>
      <c r="D92" s="9">
        <f t="shared" si="4"/>
        <v>11702178.969463404</v>
      </c>
      <c r="E92" s="10">
        <f t="shared" si="5"/>
        <v>2.8265857552376206E-2</v>
      </c>
      <c r="F92" s="1">
        <v>48247344.527398095</v>
      </c>
      <c r="G92" s="3">
        <f t="shared" si="3"/>
        <v>2.8265857552376206E-2</v>
      </c>
      <c r="H92">
        <f t="shared" si="6"/>
        <v>335852.5364235997</v>
      </c>
      <c r="I92" s="11">
        <f t="shared" si="7"/>
        <v>547694604.0880363</v>
      </c>
      <c r="K92" s="1">
        <v>46700524.570586741</v>
      </c>
      <c r="L92">
        <v>59.19</v>
      </c>
    </row>
    <row r="93" spans="1:12" x14ac:dyDescent="0.35">
      <c r="A93" s="5">
        <v>2016</v>
      </c>
      <c r="B93" s="5">
        <v>4</v>
      </c>
      <c r="C93" s="5">
        <v>12</v>
      </c>
      <c r="D93" s="9">
        <f t="shared" si="4"/>
        <v>11420157.633066291</v>
      </c>
      <c r="E93" s="10">
        <f t="shared" si="5"/>
        <v>-2.4099899440355732E-2</v>
      </c>
      <c r="F93" s="1">
        <v>47084588.376023605</v>
      </c>
      <c r="G93" s="3">
        <f t="shared" si="3"/>
        <v>-2.4099899440355732E-2</v>
      </c>
      <c r="H93">
        <f t="shared" si="6"/>
        <v>327758.52406900254</v>
      </c>
      <c r="I93" s="11">
        <f t="shared" si="7"/>
        <v>558778909.18467903</v>
      </c>
      <c r="K93" s="1">
        <v>46830116.000000007</v>
      </c>
      <c r="L93">
        <v>61.09</v>
      </c>
    </row>
    <row r="94" spans="1:12" x14ac:dyDescent="0.35">
      <c r="A94" s="5">
        <v>2017</v>
      </c>
      <c r="B94" s="5">
        <v>1</v>
      </c>
      <c r="C94" s="5">
        <v>3</v>
      </c>
      <c r="D94" s="9">
        <f t="shared" si="4"/>
        <v>11732867.698328074</v>
      </c>
      <c r="E94" s="10">
        <f t="shared" si="5"/>
        <v>2.7382289746715305E-2</v>
      </c>
      <c r="F94" s="1">
        <v>48373872.217540704</v>
      </c>
      <c r="G94" s="3">
        <f t="shared" si="3"/>
        <v>2.7382289746715305E-2</v>
      </c>
      <c r="H94">
        <f t="shared" si="6"/>
        <v>336733.3029420157</v>
      </c>
      <c r="I94" s="11">
        <f t="shared" si="7"/>
        <v>570184018.3589381</v>
      </c>
      <c r="K94" s="1">
        <v>46976697.348852083</v>
      </c>
      <c r="L94">
        <v>60.48</v>
      </c>
    </row>
    <row r="95" spans="1:12" x14ac:dyDescent="0.35">
      <c r="A95" s="5">
        <v>2017</v>
      </c>
      <c r="B95" s="5">
        <v>2</v>
      </c>
      <c r="C95" s="5">
        <v>6</v>
      </c>
      <c r="D95" s="9">
        <f t="shared" si="4"/>
        <v>11189825.863032717</v>
      </c>
      <c r="E95" s="10">
        <f t="shared" si="5"/>
        <v>-4.6283811362906602E-2</v>
      </c>
      <c r="F95" s="1">
        <v>46134945.040930703</v>
      </c>
      <c r="G95" s="3">
        <f t="shared" si="3"/>
        <v>-4.6283811362906602E-2</v>
      </c>
      <c r="H95">
        <f t="shared" si="6"/>
        <v>321148.00226903899</v>
      </c>
      <c r="I95" s="11">
        <f t="shared" si="7"/>
        <v>581037110.91902876</v>
      </c>
      <c r="K95" s="1">
        <v>47123737.506984748</v>
      </c>
      <c r="L95">
        <v>60.71</v>
      </c>
    </row>
    <row r="96" spans="1:12" x14ac:dyDescent="0.35">
      <c r="A96" s="5">
        <v>2017</v>
      </c>
      <c r="B96" s="5">
        <v>3</v>
      </c>
      <c r="C96" s="5">
        <v>9</v>
      </c>
      <c r="D96" s="9">
        <f t="shared" si="4"/>
        <v>11407413.121862983</v>
      </c>
      <c r="E96" s="10">
        <f t="shared" si="5"/>
        <v>1.9445097849922544E-2</v>
      </c>
      <c r="F96" s="1">
        <v>47032043.561552398</v>
      </c>
      <c r="G96" s="3">
        <f t="shared" si="3"/>
        <v>1.9445097849922544E-2</v>
      </c>
      <c r="H96">
        <f t="shared" si="6"/>
        <v>327392.75659746764</v>
      </c>
      <c r="I96" s="11">
        <f t="shared" si="7"/>
        <v>592123376.03862274</v>
      </c>
      <c r="K96" s="1">
        <v>47271237.910501264</v>
      </c>
      <c r="L96">
        <v>59.24</v>
      </c>
    </row>
    <row r="97" spans="1:12" x14ac:dyDescent="0.35">
      <c r="A97" s="5">
        <v>2017</v>
      </c>
      <c r="B97" s="5">
        <v>4</v>
      </c>
      <c r="C97" s="5">
        <v>12</v>
      </c>
      <c r="D97" s="9">
        <f t="shared" si="4"/>
        <v>11405055.221848683</v>
      </c>
      <c r="E97" s="10">
        <f t="shared" si="5"/>
        <v>-2.0669892368330167E-4</v>
      </c>
      <c r="F97" s="1">
        <v>47022322.0887696</v>
      </c>
      <c r="G97" s="3">
        <f t="shared" si="3"/>
        <v>-2.0669892368330167E-4</v>
      </c>
      <c r="H97">
        <f t="shared" si="6"/>
        <v>327325.08486705722</v>
      </c>
      <c r="I97" s="11">
        <f t="shared" si="7"/>
        <v>603201038.50387394</v>
      </c>
      <c r="K97" s="1">
        <v>47419200.000000022</v>
      </c>
      <c r="L97">
        <v>61.32</v>
      </c>
    </row>
    <row r="98" spans="1:12" x14ac:dyDescent="0.35">
      <c r="A98" s="5">
        <v>2018</v>
      </c>
      <c r="B98" s="5">
        <v>1</v>
      </c>
      <c r="C98" s="5">
        <v>3</v>
      </c>
      <c r="D98" s="9">
        <f t="shared" si="4"/>
        <v>10956091.843406409</v>
      </c>
      <c r="E98" s="10">
        <f t="shared" si="5"/>
        <v>-3.9365296327736665E-2</v>
      </c>
      <c r="F98" s="1">
        <v>45171274.445726901</v>
      </c>
      <c r="G98" s="3">
        <f t="shared" si="3"/>
        <v>-3.9365296327736776E-2</v>
      </c>
      <c r="H98">
        <f t="shared" si="6"/>
        <v>314439.83590576396</v>
      </c>
      <c r="I98" s="11">
        <f t="shared" si="7"/>
        <v>613829805.26241338</v>
      </c>
      <c r="K98" s="1">
        <v>47627645.045497887</v>
      </c>
      <c r="L98">
        <v>59.7</v>
      </c>
    </row>
    <row r="99" spans="1:12" x14ac:dyDescent="0.35">
      <c r="A99" s="5">
        <v>2018</v>
      </c>
      <c r="B99" s="5">
        <v>2</v>
      </c>
      <c r="C99" s="5">
        <v>6</v>
      </c>
      <c r="D99" s="9">
        <f t="shared" si="4"/>
        <v>11472815.63136352</v>
      </c>
      <c r="E99" s="10">
        <f t="shared" si="5"/>
        <v>4.7163148624761231E-2</v>
      </c>
      <c r="F99" s="1">
        <v>47301693.975980595</v>
      </c>
      <c r="G99" s="3">
        <f t="shared" si="3"/>
        <v>4.7163148624761231E-2</v>
      </c>
      <c r="H99">
        <f t="shared" si="6"/>
        <v>329269.80862013303</v>
      </c>
      <c r="I99" s="11">
        <f t="shared" si="7"/>
        <v>624988181.0578711</v>
      </c>
      <c r="K99" s="1">
        <v>47837006.372522935</v>
      </c>
      <c r="L99">
        <v>60.21</v>
      </c>
    </row>
    <row r="100" spans="1:12" x14ac:dyDescent="0.35">
      <c r="A100" s="5">
        <v>2018</v>
      </c>
      <c r="B100" s="5">
        <v>3</v>
      </c>
      <c r="C100" s="5">
        <v>9</v>
      </c>
      <c r="D100" s="9">
        <f t="shared" si="4"/>
        <v>11561650.619134005</v>
      </c>
      <c r="E100" s="10">
        <f t="shared" si="5"/>
        <v>7.7430851000197531E-3</v>
      </c>
      <c r="F100" s="1">
        <v>47667955.017811701</v>
      </c>
      <c r="G100" s="3">
        <f t="shared" si="3"/>
        <v>7.7430851000197531E-3</v>
      </c>
      <c r="H100">
        <f t="shared" si="6"/>
        <v>331819.37276914594</v>
      </c>
      <c r="I100" s="11">
        <f t="shared" si="7"/>
        <v>636220561.86838496</v>
      </c>
      <c r="K100" s="1">
        <v>48047288.008860193</v>
      </c>
      <c r="L100">
        <v>58.73</v>
      </c>
    </row>
    <row r="101" spans="1:12" x14ac:dyDescent="0.35">
      <c r="A101" s="5">
        <v>2018</v>
      </c>
      <c r="B101" s="5">
        <v>4</v>
      </c>
      <c r="C101" s="5">
        <v>12</v>
      </c>
      <c r="D101" s="9">
        <f t="shared" si="4"/>
        <v>12059111.673009304</v>
      </c>
      <c r="E101" s="10">
        <f t="shared" si="5"/>
        <v>4.3026819462268051E-2</v>
      </c>
      <c r="F101" s="1">
        <v>49718955.512498602</v>
      </c>
      <c r="G101" s="3">
        <f t="shared" si="3"/>
        <v>4.3026819462268051E-2</v>
      </c>
      <c r="H101">
        <f t="shared" si="6"/>
        <v>346096.50501536706</v>
      </c>
      <c r="I101" s="11">
        <f t="shared" si="7"/>
        <v>647947854.16862512</v>
      </c>
      <c r="K101" s="1">
        <v>48258493.999999993</v>
      </c>
      <c r="L101">
        <v>59.89</v>
      </c>
    </row>
    <row r="102" spans="1:12" x14ac:dyDescent="0.35">
      <c r="A102" s="5">
        <v>2019</v>
      </c>
      <c r="B102" s="5">
        <v>1</v>
      </c>
      <c r="C102" s="5">
        <v>3</v>
      </c>
      <c r="D102" s="9">
        <f t="shared" si="4"/>
        <v>11797316.090325369</v>
      </c>
      <c r="E102" s="10">
        <f t="shared" si="5"/>
        <v>-2.170935884687808E-2</v>
      </c>
      <c r="F102" s="1">
        <v>48639588.8657858</v>
      </c>
      <c r="G102" s="3">
        <f t="shared" si="3"/>
        <v>-2.1709358846878191E-2</v>
      </c>
      <c r="H102">
        <f t="shared" si="6"/>
        <v>338582.97179233807</v>
      </c>
      <c r="I102" s="11">
        <f t="shared" si="7"/>
        <v>659399073.7539351</v>
      </c>
      <c r="K102" s="1">
        <v>48540311.75547266</v>
      </c>
      <c r="L102">
        <v>59.47</v>
      </c>
    </row>
    <row r="103" spans="1:12" x14ac:dyDescent="0.35">
      <c r="A103" s="5">
        <v>2019</v>
      </c>
      <c r="B103" s="5">
        <v>2</v>
      </c>
      <c r="C103" s="5">
        <v>6</v>
      </c>
      <c r="D103" s="9">
        <f t="shared" si="4"/>
        <v>11978489.517114246</v>
      </c>
      <c r="E103" s="10">
        <f t="shared" si="5"/>
        <v>1.5357173224972209E-2</v>
      </c>
      <c r="F103" s="1">
        <v>49386555.457589097</v>
      </c>
      <c r="G103" s="3">
        <f t="shared" si="3"/>
        <v>1.5357173224972209E-2</v>
      </c>
      <c r="H103">
        <f t="shared" si="6"/>
        <v>343782.64914117887</v>
      </c>
      <c r="I103" s="11">
        <f t="shared" si="7"/>
        <v>671038980.29925704</v>
      </c>
      <c r="K103" s="1">
        <v>48823775.257439196</v>
      </c>
      <c r="L103">
        <v>59.78</v>
      </c>
    </row>
    <row r="104" spans="1:12" x14ac:dyDescent="0.35">
      <c r="A104" s="5">
        <v>2019</v>
      </c>
      <c r="B104" s="5">
        <v>3</v>
      </c>
      <c r="C104" s="5">
        <v>9</v>
      </c>
      <c r="D104" s="9">
        <f t="shared" si="4"/>
        <v>11855745.322781378</v>
      </c>
      <c r="E104" s="10">
        <f t="shared" si="5"/>
        <v>-1.0247051112537764E-2</v>
      </c>
      <c r="F104" s="1">
        <v>48880488.899543002</v>
      </c>
      <c r="G104" s="3">
        <f t="shared" si="3"/>
        <v>-1.0247051112537764E-2</v>
      </c>
      <c r="H104">
        <f t="shared" si="6"/>
        <v>340259.89076382556</v>
      </c>
      <c r="I104" s="11">
        <f t="shared" si="7"/>
        <v>682550942.97289717</v>
      </c>
      <c r="K104" s="1">
        <v>49108894.116655014</v>
      </c>
      <c r="L104">
        <v>57.68</v>
      </c>
    </row>
    <row r="105" spans="1:12" x14ac:dyDescent="0.35">
      <c r="A105" s="5">
        <v>2019</v>
      </c>
      <c r="B105" s="5">
        <v>4</v>
      </c>
      <c r="C105" s="5">
        <v>12</v>
      </c>
      <c r="D105" s="9">
        <f t="shared" si="4"/>
        <v>11653548.777187519</v>
      </c>
      <c r="E105" s="10">
        <f t="shared" si="5"/>
        <v>-1.7054730857395284E-2</v>
      </c>
      <c r="F105" s="1">
        <v>48046845.317183398</v>
      </c>
      <c r="G105" s="3">
        <f t="shared" si="3"/>
        <v>-1.7054730857395284E-2</v>
      </c>
      <c r="H105">
        <f t="shared" si="6"/>
        <v>334456.84990528179</v>
      </c>
      <c r="I105" s="11">
        <f t="shared" si="7"/>
        <v>693864231.85932076</v>
      </c>
      <c r="K105" s="1">
        <v>49395677.999999993</v>
      </c>
      <c r="L105">
        <v>58.78</v>
      </c>
    </row>
    <row r="106" spans="1:12" x14ac:dyDescent="0.35">
      <c r="A106" s="5">
        <v>2020</v>
      </c>
      <c r="B106" s="5">
        <v>1</v>
      </c>
      <c r="C106" s="5">
        <v>3</v>
      </c>
      <c r="D106" s="9">
        <f t="shared" si="4"/>
        <v>10436513.821777053</v>
      </c>
      <c r="E106" s="10">
        <f t="shared" si="5"/>
        <v>-0.10443470728786752</v>
      </c>
      <c r="F106" s="1">
        <v>43029087.090377897</v>
      </c>
      <c r="G106" s="3">
        <f t="shared" si="3"/>
        <v>-0.10443470728786763</v>
      </c>
      <c r="H106">
        <f t="shared" si="6"/>
        <v>299527.94668500143</v>
      </c>
      <c r="I106" s="11">
        <f t="shared" si="7"/>
        <v>703966288.83119261</v>
      </c>
      <c r="K106" s="1">
        <v>49646749.511689097</v>
      </c>
      <c r="L106">
        <v>57.36</v>
      </c>
    </row>
    <row r="107" spans="1:12" x14ac:dyDescent="0.35">
      <c r="A107" s="5">
        <v>2020</v>
      </c>
      <c r="B107" s="5">
        <v>2</v>
      </c>
      <c r="C107" s="5">
        <v>6</v>
      </c>
      <c r="D107" s="9">
        <f t="shared" si="4"/>
        <v>7884056.4390986813</v>
      </c>
      <c r="E107" s="10">
        <f t="shared" si="5"/>
        <v>-0.24456992308603664</v>
      </c>
      <c r="F107" s="1">
        <v>32505466.5702218</v>
      </c>
      <c r="G107" s="3">
        <f t="shared" si="3"/>
        <v>-0.24456992308603664</v>
      </c>
      <c r="H107">
        <f t="shared" si="6"/>
        <v>226272.41980213215</v>
      </c>
      <c r="I107" s="11">
        <f t="shared" si="7"/>
        <v>711550817.32360637</v>
      </c>
      <c r="K107" s="1">
        <v>49899097.185717367</v>
      </c>
      <c r="L107">
        <v>58.19</v>
      </c>
    </row>
    <row r="108" spans="1:12" x14ac:dyDescent="0.35">
      <c r="A108" s="5">
        <v>2020</v>
      </c>
      <c r="B108" s="5">
        <v>3</v>
      </c>
      <c r="C108" s="5">
        <v>9</v>
      </c>
      <c r="D108" s="9">
        <f t="shared" si="4"/>
        <v>9779142.6037523225</v>
      </c>
      <c r="E108" s="10">
        <f t="shared" si="5"/>
        <v>0.24036943156006774</v>
      </c>
      <c r="F108" s="1">
        <v>40318787.092300802</v>
      </c>
      <c r="G108" s="3">
        <f t="shared" si="3"/>
        <v>0.24036943156006774</v>
      </c>
      <c r="H108">
        <f t="shared" si="6"/>
        <v>280661.39272769168</v>
      </c>
      <c r="I108" s="11">
        <f t="shared" si="7"/>
        <v>721103687.50755656</v>
      </c>
      <c r="K108" s="1">
        <v>50152727.508644387</v>
      </c>
      <c r="L108">
        <v>52.45</v>
      </c>
    </row>
    <row r="109" spans="1:12" x14ac:dyDescent="0.35">
      <c r="A109" s="5">
        <v>2020</v>
      </c>
      <c r="B109" s="5">
        <v>4</v>
      </c>
      <c r="C109" s="5">
        <v>12</v>
      </c>
      <c r="D109" s="9">
        <f t="shared" si="4"/>
        <v>9450268.6889622379</v>
      </c>
      <c r="E109" s="10">
        <f t="shared" si="5"/>
        <v>-3.3630137949301808E-2</v>
      </c>
      <c r="F109" s="1">
        <v>38962860.720438197</v>
      </c>
      <c r="G109" s="3">
        <f t="shared" si="3"/>
        <v>-3.3630137949301808E-2</v>
      </c>
      <c r="H109">
        <f t="shared" si="6"/>
        <v>271222.71137321624</v>
      </c>
      <c r="I109" s="11">
        <f t="shared" si="7"/>
        <v>730273294.80379105</v>
      </c>
      <c r="K109" s="1">
        <v>50407647.000000015</v>
      </c>
      <c r="L109">
        <v>46.89</v>
      </c>
    </row>
    <row r="110" spans="1:12" x14ac:dyDescent="0.35">
      <c r="A110" s="5">
        <v>2021</v>
      </c>
      <c r="B110" s="5">
        <v>1</v>
      </c>
      <c r="C110" s="5">
        <v>3</v>
      </c>
      <c r="D110" s="9">
        <f t="shared" si="4"/>
        <v>10664657.18926939</v>
      </c>
      <c r="E110" s="10">
        <f t="shared" si="5"/>
        <v>0.12850306592081751</v>
      </c>
      <c r="F110" s="1">
        <v>43969707.780060299</v>
      </c>
      <c r="G110" s="3">
        <f t="shared" si="3"/>
        <v>0.12850306592081751</v>
      </c>
      <c r="H110">
        <f t="shared" si="6"/>
        <v>306075.66133203148</v>
      </c>
      <c r="I110" s="11">
        <f t="shared" si="7"/>
        <v>740666729.28168726</v>
      </c>
      <c r="K110" s="1">
        <v>50584150.537252225</v>
      </c>
      <c r="L110">
        <v>51.07</v>
      </c>
    </row>
    <row r="111" spans="1:12" x14ac:dyDescent="0.35">
      <c r="A111" s="5">
        <v>2021</v>
      </c>
      <c r="B111" s="5">
        <v>2</v>
      </c>
      <c r="C111" s="5">
        <v>6</v>
      </c>
      <c r="D111" s="9">
        <f t="shared" si="4"/>
        <v>10472666.181908704</v>
      </c>
      <c r="E111" s="10">
        <f t="shared" si="5"/>
        <v>-1.8002548413263986E-2</v>
      </c>
      <c r="F111" s="1">
        <v>43178140.987032697</v>
      </c>
      <c r="G111" s="3">
        <f t="shared" si="3"/>
        <v>-1.8002548413263875E-2</v>
      </c>
      <c r="H111">
        <f t="shared" si="6"/>
        <v>300565.51942077983</v>
      </c>
      <c r="I111" s="11">
        <f t="shared" si="7"/>
        <v>750833319.80226398</v>
      </c>
      <c r="K111" s="1">
        <v>50761272.105706394</v>
      </c>
      <c r="L111">
        <v>53.74</v>
      </c>
    </row>
    <row r="112" spans="1:12" x14ac:dyDescent="0.35">
      <c r="A112" s="5">
        <v>2021</v>
      </c>
      <c r="B112" s="5">
        <v>3</v>
      </c>
      <c r="C112" s="5">
        <v>9</v>
      </c>
      <c r="D112" s="9">
        <f t="shared" si="4"/>
        <v>10596837.920810457</v>
      </c>
      <c r="E112" s="10">
        <f t="shared" si="5"/>
        <v>1.1856745621879661E-2</v>
      </c>
      <c r="F112" s="1">
        <v>43690093.221141599</v>
      </c>
      <c r="G112" s="3">
        <f t="shared" ref="G112:G117" si="8">+F112/F111-1</f>
        <v>1.1856745621879661E-2</v>
      </c>
      <c r="H112">
        <f t="shared" si="6"/>
        <v>304129.24832726014</v>
      </c>
      <c r="I112" s="11">
        <f t="shared" si="7"/>
        <v>761129592.20365369</v>
      </c>
      <c r="K112" s="1">
        <v>50939013.869412996</v>
      </c>
      <c r="L112">
        <v>52.53</v>
      </c>
    </row>
    <row r="113" spans="1:12" x14ac:dyDescent="0.35">
      <c r="A113" s="5">
        <v>2021</v>
      </c>
      <c r="B113" s="5">
        <v>4</v>
      </c>
      <c r="C113" s="5">
        <v>12</v>
      </c>
      <c r="D113" s="9">
        <f t="shared" si="4"/>
        <v>10754587.756074158</v>
      </c>
      <c r="E113" s="10">
        <f t="shared" si="5"/>
        <v>1.4886500713001016E-2</v>
      </c>
      <c r="F113" s="1">
        <v>44340485.825029202</v>
      </c>
      <c r="G113" s="3">
        <f t="shared" si="8"/>
        <v>1.4886500713001016E-2</v>
      </c>
      <c r="H113">
        <f t="shared" si="6"/>
        <v>308656.66859932832</v>
      </c>
      <c r="I113" s="11">
        <f t="shared" si="7"/>
        <v>771580050.71140063</v>
      </c>
      <c r="K113" s="1">
        <v>51117378</v>
      </c>
      <c r="L113">
        <v>52.25</v>
      </c>
    </row>
    <row r="114" spans="1:12" x14ac:dyDescent="0.35">
      <c r="A114" s="5">
        <v>2022</v>
      </c>
      <c r="B114" s="5">
        <v>1</v>
      </c>
      <c r="C114" s="5">
        <v>3</v>
      </c>
      <c r="D114" s="9">
        <f t="shared" si="4"/>
        <v>11545046.307000689</v>
      </c>
      <c r="E114" s="10">
        <f t="shared" si="5"/>
        <v>7.3499660689465562E-2</v>
      </c>
      <c r="F114" s="1">
        <v>47599496.487974904</v>
      </c>
      <c r="G114" s="3">
        <f t="shared" si="8"/>
        <v>7.3499660689465562E-2</v>
      </c>
      <c r="H114">
        <f t="shared" si="6"/>
        <v>331342.82901091978</v>
      </c>
      <c r="I114" s="11">
        <f t="shared" si="7"/>
        <v>782816440.3498019</v>
      </c>
      <c r="K114" s="1">
        <v>51258124.138478547</v>
      </c>
      <c r="L114">
        <v>53.63</v>
      </c>
    </row>
    <row r="115" spans="1:12" x14ac:dyDescent="0.35">
      <c r="A115" s="5">
        <v>2022</v>
      </c>
      <c r="B115" s="5">
        <v>2</v>
      </c>
      <c r="C115" s="5">
        <v>6</v>
      </c>
      <c r="D115" s="9">
        <f t="shared" si="4"/>
        <v>11428330.903161658</v>
      </c>
      <c r="E115" s="10">
        <f t="shared" si="5"/>
        <v>-1.0109565673050436E-2</v>
      </c>
      <c r="F115" s="1">
        <v>47118286.252225593</v>
      </c>
      <c r="G115" s="3">
        <f t="shared" si="8"/>
        <v>-1.0109565673050325E-2</v>
      </c>
      <c r="H115">
        <f t="shared" si="6"/>
        <v>327993.09692073957</v>
      </c>
      <c r="I115" s="11">
        <f t="shared" si="7"/>
        <v>793913428.42395258</v>
      </c>
      <c r="K115" s="1">
        <v>51399257.806135453</v>
      </c>
      <c r="L115">
        <v>55.54</v>
      </c>
    </row>
    <row r="116" spans="1:12" x14ac:dyDescent="0.35">
      <c r="A116" s="5">
        <v>2022</v>
      </c>
      <c r="B116" s="5">
        <v>3</v>
      </c>
      <c r="C116" s="5">
        <v>9</v>
      </c>
      <c r="D116" s="9">
        <f t="shared" si="4"/>
        <v>12480875.328107199</v>
      </c>
      <c r="E116" s="10">
        <f t="shared" si="5"/>
        <v>9.2099575507947007E-2</v>
      </c>
      <c r="F116" s="1">
        <v>51457860.414717503</v>
      </c>
      <c r="G116" s="3">
        <f t="shared" si="8"/>
        <v>9.2099575507947007E-2</v>
      </c>
      <c r="H116">
        <f t="shared" si="6"/>
        <v>358201.12191667658</v>
      </c>
      <c r="I116" s="11">
        <f t="shared" si="7"/>
        <v>806066310.65513909</v>
      </c>
      <c r="K116" s="1">
        <v>51540780.069990166</v>
      </c>
      <c r="L116">
        <v>55.82</v>
      </c>
    </row>
    <row r="117" spans="1:12" x14ac:dyDescent="0.35">
      <c r="A117" s="5">
        <v>2022</v>
      </c>
      <c r="B117" s="5">
        <v>4</v>
      </c>
      <c r="C117" s="5">
        <v>12</v>
      </c>
      <c r="D117" s="9">
        <f t="shared" si="4"/>
        <v>12955962.729853695</v>
      </c>
      <c r="E117" s="10">
        <f t="shared" si="5"/>
        <v>3.8065230943905792E-2</v>
      </c>
      <c r="F117" s="1">
        <v>53416615.755282998</v>
      </c>
      <c r="G117" s="3">
        <f t="shared" si="8"/>
        <v>3.8065230943905792E-2</v>
      </c>
      <c r="H117">
        <f t="shared" si="6"/>
        <v>371836.13034680107</v>
      </c>
      <c r="I117" s="11">
        <f t="shared" si="7"/>
        <v>818664072.26307619</v>
      </c>
      <c r="K117" s="1">
        <v>51682692.000000015</v>
      </c>
      <c r="L117">
        <v>56.5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29D8-9404-4C33-BE44-6ED9FA433FCE}">
  <sheetPr filterMode="1"/>
  <dimension ref="A1:E285"/>
  <sheetViews>
    <sheetView topLeftCell="A250" workbookViewId="0">
      <selection activeCell="A4" sqref="A4:C4 A7:C7 A10:C10 A13:C13 A16:C16 A19:C19 A22:C22 A25:C25 A28:C28 A31:C31 A34:C34 A37:C37 A40:C40 A43:C43 A46:C46 A49:C49 A52:C52 A55:C55 A58:C58 A61:C61 A64:C64 A67:C67 A70:C70 A73:C73 A76:C76 A79:C79 A82:C82 A85:C85 A88:C88 A91:C91 A94:C94 A97:C97 A100:C100 A103:C103 A106:C106 A109:C109 A112:C112 A115:C115 A118:C118 A121:C121 A124:C124 A127:C127 A130:C130 A133:C133 A136:C136 A139:C139 A142:C142 A145:C145 A148:C148 A151:C151 A154:C154 A157:C157 A160:C160 A163:C163 A166:C166 A169:C169 A172:C172 A175:C175 A178:C178 A181:C181 A184:C184 A187:C187 A190:C190 A193:C193 A196:C196 A199:C199 A202:C202 A205:C205 A208:C208 A211:C211 A214:C214 A217:C217 A220:C220 A223:C223 A226:C226 A229:C229 A232:C232 A235:C235 A238:C238 A241:C241 A244:C244 A247:C247 A250:C250 A253:C253 A256:C256 A259:C259 A262:C262 A265:C265 A268:C268 A271:C271 A274:C274 A277:C277 A280:C280 A283:C283"/>
    </sheetView>
  </sheetViews>
  <sheetFormatPr baseColWidth="10" defaultRowHeight="14.5" x14ac:dyDescent="0.35"/>
  <cols>
    <col min="5" max="5" width="11.1796875" bestFit="1" customWidth="1"/>
  </cols>
  <sheetData>
    <row r="1" spans="1:5" x14ac:dyDescent="0.35">
      <c r="A1" t="s">
        <v>0</v>
      </c>
      <c r="B1" t="s">
        <v>13</v>
      </c>
      <c r="C1" t="s">
        <v>28</v>
      </c>
      <c r="D1" t="s">
        <v>29</v>
      </c>
      <c r="E1" t="s">
        <v>30</v>
      </c>
    </row>
    <row r="2" spans="1:5" hidden="1" x14ac:dyDescent="0.35">
      <c r="A2">
        <v>2001</v>
      </c>
      <c r="B2">
        <v>1</v>
      </c>
      <c r="C2">
        <v>57.58</v>
      </c>
      <c r="D2">
        <f>+IF(OR(B2=1,B2=2,B2=3),1,IF(OR(B2=4,B2=5,B2=6),2,IF(OR(B2=7,B2=8,B2=9),3,4)))</f>
        <v>1</v>
      </c>
      <c r="E2" t="str">
        <f>+IF(B2=3,1,IF(B2=6,2,IF(B2=9,3,IF(B2=12,4,"No aplica"))))</f>
        <v>No aplica</v>
      </c>
    </row>
    <row r="3" spans="1:5" hidden="1" x14ac:dyDescent="0.35">
      <c r="A3">
        <v>2001</v>
      </c>
      <c r="B3">
        <v>2</v>
      </c>
      <c r="C3">
        <v>56.93</v>
      </c>
      <c r="D3">
        <f t="shared" ref="D3:D66" si="0">+IF(OR(B3=1,B3=2,B3=3),1,IF(OR(B3=4,B3=5,B3=6),2,IF(OR(B3=7,B3=8,B3=9),3,4)))</f>
        <v>1</v>
      </c>
      <c r="E3" t="str">
        <f t="shared" ref="E3:E66" si="1">+IF(B3=3,1,IF(B3=6,2,IF(B3=9,3,IF(B3=12,4,"No aplica"))))</f>
        <v>No aplica</v>
      </c>
    </row>
    <row r="4" spans="1:5" x14ac:dyDescent="0.35">
      <c r="A4">
        <v>2001</v>
      </c>
      <c r="B4">
        <v>3</v>
      </c>
      <c r="C4">
        <v>57.57</v>
      </c>
      <c r="D4">
        <f t="shared" si="0"/>
        <v>1</v>
      </c>
      <c r="E4">
        <f t="shared" si="1"/>
        <v>1</v>
      </c>
    </row>
    <row r="5" spans="1:5" hidden="1" x14ac:dyDescent="0.35">
      <c r="A5">
        <v>2001</v>
      </c>
      <c r="B5">
        <v>4</v>
      </c>
      <c r="C5">
        <v>55.76</v>
      </c>
      <c r="D5">
        <f t="shared" si="0"/>
        <v>2</v>
      </c>
      <c r="E5" t="str">
        <f t="shared" si="1"/>
        <v>No aplica</v>
      </c>
    </row>
    <row r="6" spans="1:5" hidden="1" x14ac:dyDescent="0.35">
      <c r="A6">
        <v>2001</v>
      </c>
      <c r="B6">
        <v>5</v>
      </c>
      <c r="C6">
        <v>56.23</v>
      </c>
      <c r="D6">
        <f t="shared" si="0"/>
        <v>2</v>
      </c>
      <c r="E6" t="str">
        <f t="shared" si="1"/>
        <v>No aplica</v>
      </c>
    </row>
    <row r="7" spans="1:5" x14ac:dyDescent="0.35">
      <c r="A7">
        <v>2001</v>
      </c>
      <c r="B7">
        <v>6</v>
      </c>
      <c r="C7">
        <v>56.18</v>
      </c>
      <c r="D7">
        <f t="shared" si="0"/>
        <v>2</v>
      </c>
      <c r="E7">
        <f t="shared" si="1"/>
        <v>2</v>
      </c>
    </row>
    <row r="8" spans="1:5" hidden="1" x14ac:dyDescent="0.35">
      <c r="A8">
        <v>2001</v>
      </c>
      <c r="B8">
        <v>7</v>
      </c>
      <c r="C8">
        <v>56.61</v>
      </c>
      <c r="D8">
        <f t="shared" si="0"/>
        <v>3</v>
      </c>
      <c r="E8" t="str">
        <f t="shared" si="1"/>
        <v>No aplica</v>
      </c>
    </row>
    <row r="9" spans="1:5" hidden="1" x14ac:dyDescent="0.35">
      <c r="A9">
        <v>2001</v>
      </c>
      <c r="B9">
        <v>8</v>
      </c>
      <c r="C9">
        <v>57.38</v>
      </c>
      <c r="D9">
        <f t="shared" si="0"/>
        <v>3</v>
      </c>
      <c r="E9" t="str">
        <f t="shared" si="1"/>
        <v>No aplica</v>
      </c>
    </row>
    <row r="10" spans="1:5" x14ac:dyDescent="0.35">
      <c r="A10">
        <v>2001</v>
      </c>
      <c r="B10">
        <v>9</v>
      </c>
      <c r="C10">
        <v>58.69</v>
      </c>
      <c r="D10">
        <f t="shared" si="0"/>
        <v>3</v>
      </c>
      <c r="E10">
        <f t="shared" si="1"/>
        <v>3</v>
      </c>
    </row>
    <row r="11" spans="1:5" hidden="1" x14ac:dyDescent="0.35">
      <c r="A11">
        <v>2001</v>
      </c>
      <c r="B11">
        <v>10</v>
      </c>
      <c r="C11">
        <v>58.56</v>
      </c>
      <c r="D11">
        <f t="shared" si="0"/>
        <v>4</v>
      </c>
      <c r="E11" t="str">
        <f t="shared" si="1"/>
        <v>No aplica</v>
      </c>
    </row>
    <row r="12" spans="1:5" hidden="1" x14ac:dyDescent="0.35">
      <c r="A12">
        <v>2001</v>
      </c>
      <c r="B12">
        <v>11</v>
      </c>
      <c r="C12">
        <v>60.15</v>
      </c>
      <c r="D12">
        <f t="shared" si="0"/>
        <v>4</v>
      </c>
      <c r="E12" t="str">
        <f t="shared" si="1"/>
        <v>No aplica</v>
      </c>
    </row>
    <row r="13" spans="1:5" x14ac:dyDescent="0.35">
      <c r="A13">
        <v>2001</v>
      </c>
      <c r="B13">
        <v>12</v>
      </c>
      <c r="C13">
        <v>59.44</v>
      </c>
      <c r="D13">
        <f t="shared" si="0"/>
        <v>4</v>
      </c>
      <c r="E13">
        <f t="shared" si="1"/>
        <v>4</v>
      </c>
    </row>
    <row r="14" spans="1:5" hidden="1" x14ac:dyDescent="0.35">
      <c r="A14">
        <v>2002</v>
      </c>
      <c r="B14">
        <v>1</v>
      </c>
      <c r="C14">
        <v>56.12</v>
      </c>
      <c r="D14">
        <f t="shared" si="0"/>
        <v>1</v>
      </c>
      <c r="E14" t="str">
        <f t="shared" si="1"/>
        <v>No aplica</v>
      </c>
    </row>
    <row r="15" spans="1:5" hidden="1" x14ac:dyDescent="0.35">
      <c r="A15">
        <v>2002</v>
      </c>
      <c r="B15">
        <v>2</v>
      </c>
      <c r="C15">
        <v>57.17</v>
      </c>
      <c r="D15">
        <f t="shared" si="0"/>
        <v>1</v>
      </c>
      <c r="E15" t="str">
        <f t="shared" si="1"/>
        <v>No aplica</v>
      </c>
    </row>
    <row r="16" spans="1:5" x14ac:dyDescent="0.35">
      <c r="A16">
        <v>2002</v>
      </c>
      <c r="B16">
        <v>3</v>
      </c>
      <c r="C16">
        <v>57.01</v>
      </c>
      <c r="D16">
        <f t="shared" si="0"/>
        <v>1</v>
      </c>
      <c r="E16">
        <f t="shared" si="1"/>
        <v>1</v>
      </c>
    </row>
    <row r="17" spans="1:5" hidden="1" x14ac:dyDescent="0.35">
      <c r="A17">
        <v>2002</v>
      </c>
      <c r="B17">
        <v>4</v>
      </c>
      <c r="C17">
        <v>57.81</v>
      </c>
      <c r="D17">
        <f t="shared" si="0"/>
        <v>2</v>
      </c>
      <c r="E17" t="str">
        <f t="shared" si="1"/>
        <v>No aplica</v>
      </c>
    </row>
    <row r="18" spans="1:5" hidden="1" x14ac:dyDescent="0.35">
      <c r="A18">
        <v>2002</v>
      </c>
      <c r="B18">
        <v>5</v>
      </c>
      <c r="C18">
        <v>56.68</v>
      </c>
      <c r="D18">
        <f t="shared" si="0"/>
        <v>2</v>
      </c>
      <c r="E18" t="str">
        <f t="shared" si="1"/>
        <v>No aplica</v>
      </c>
    </row>
    <row r="19" spans="1:5" x14ac:dyDescent="0.35">
      <c r="A19">
        <v>2002</v>
      </c>
      <c r="B19">
        <v>6</v>
      </c>
      <c r="C19">
        <v>55.97</v>
      </c>
      <c r="D19">
        <f t="shared" si="0"/>
        <v>2</v>
      </c>
      <c r="E19">
        <f t="shared" si="1"/>
        <v>2</v>
      </c>
    </row>
    <row r="20" spans="1:5" hidden="1" x14ac:dyDescent="0.35">
      <c r="A20">
        <v>2002</v>
      </c>
      <c r="B20">
        <v>7</v>
      </c>
      <c r="C20">
        <v>57.02</v>
      </c>
      <c r="D20">
        <f t="shared" si="0"/>
        <v>3</v>
      </c>
      <c r="E20" t="str">
        <f t="shared" si="1"/>
        <v>No aplica</v>
      </c>
    </row>
    <row r="21" spans="1:5" hidden="1" x14ac:dyDescent="0.35">
      <c r="A21">
        <v>2002</v>
      </c>
      <c r="B21">
        <v>8</v>
      </c>
      <c r="C21">
        <v>55.93</v>
      </c>
      <c r="D21">
        <f t="shared" si="0"/>
        <v>3</v>
      </c>
      <c r="E21" t="str">
        <f t="shared" si="1"/>
        <v>No aplica</v>
      </c>
    </row>
    <row r="22" spans="1:5" x14ac:dyDescent="0.35">
      <c r="A22">
        <v>2002</v>
      </c>
      <c r="B22">
        <v>9</v>
      </c>
      <c r="C22">
        <v>57.02</v>
      </c>
      <c r="D22">
        <f t="shared" si="0"/>
        <v>3</v>
      </c>
      <c r="E22">
        <f t="shared" si="1"/>
        <v>3</v>
      </c>
    </row>
    <row r="23" spans="1:5" hidden="1" x14ac:dyDescent="0.35">
      <c r="A23">
        <v>2002</v>
      </c>
      <c r="B23">
        <v>10</v>
      </c>
      <c r="C23">
        <v>58.34</v>
      </c>
      <c r="D23">
        <f t="shared" si="0"/>
        <v>4</v>
      </c>
      <c r="E23" t="str">
        <f t="shared" si="1"/>
        <v>No aplica</v>
      </c>
    </row>
    <row r="24" spans="1:5" hidden="1" x14ac:dyDescent="0.35">
      <c r="A24">
        <v>2002</v>
      </c>
      <c r="B24">
        <v>11</v>
      </c>
      <c r="C24">
        <v>58.02</v>
      </c>
      <c r="D24">
        <f t="shared" si="0"/>
        <v>4</v>
      </c>
      <c r="E24" t="str">
        <f t="shared" si="1"/>
        <v>No aplica</v>
      </c>
    </row>
    <row r="25" spans="1:5" x14ac:dyDescent="0.35">
      <c r="A25">
        <v>2002</v>
      </c>
      <c r="B25">
        <v>12</v>
      </c>
      <c r="C25">
        <v>56.67</v>
      </c>
      <c r="D25">
        <f t="shared" si="0"/>
        <v>4</v>
      </c>
      <c r="E25">
        <f t="shared" si="1"/>
        <v>4</v>
      </c>
    </row>
    <row r="26" spans="1:5" hidden="1" x14ac:dyDescent="0.35">
      <c r="A26">
        <v>2003</v>
      </c>
      <c r="B26">
        <v>1</v>
      </c>
      <c r="C26">
        <v>56.43</v>
      </c>
      <c r="D26">
        <f t="shared" si="0"/>
        <v>1</v>
      </c>
      <c r="E26" t="str">
        <f t="shared" si="1"/>
        <v>No aplica</v>
      </c>
    </row>
    <row r="27" spans="1:5" hidden="1" x14ac:dyDescent="0.35">
      <c r="A27">
        <v>2003</v>
      </c>
      <c r="B27">
        <v>2</v>
      </c>
      <c r="C27">
        <v>57.08</v>
      </c>
      <c r="D27">
        <f t="shared" si="0"/>
        <v>1</v>
      </c>
      <c r="E27" t="str">
        <f t="shared" si="1"/>
        <v>No aplica</v>
      </c>
    </row>
    <row r="28" spans="1:5" x14ac:dyDescent="0.35">
      <c r="A28">
        <v>2003</v>
      </c>
      <c r="B28">
        <v>3</v>
      </c>
      <c r="C28">
        <v>59.02</v>
      </c>
      <c r="D28">
        <f t="shared" si="0"/>
        <v>1</v>
      </c>
      <c r="E28">
        <f t="shared" si="1"/>
        <v>1</v>
      </c>
    </row>
    <row r="29" spans="1:5" hidden="1" x14ac:dyDescent="0.35">
      <c r="A29">
        <v>2003</v>
      </c>
      <c r="B29">
        <v>4</v>
      </c>
      <c r="C29">
        <v>57.42</v>
      </c>
      <c r="D29">
        <f t="shared" si="0"/>
        <v>2</v>
      </c>
      <c r="E29" t="str">
        <f t="shared" si="1"/>
        <v>No aplica</v>
      </c>
    </row>
    <row r="30" spans="1:5" hidden="1" x14ac:dyDescent="0.35">
      <c r="A30">
        <v>2003</v>
      </c>
      <c r="B30">
        <v>5</v>
      </c>
      <c r="C30">
        <v>59.54</v>
      </c>
      <c r="D30">
        <f t="shared" si="0"/>
        <v>2</v>
      </c>
      <c r="E30" t="str">
        <f t="shared" si="1"/>
        <v>No aplica</v>
      </c>
    </row>
    <row r="31" spans="1:5" x14ac:dyDescent="0.35">
      <c r="A31">
        <v>2003</v>
      </c>
      <c r="B31">
        <v>6</v>
      </c>
      <c r="C31">
        <v>57.09</v>
      </c>
      <c r="D31">
        <f t="shared" si="0"/>
        <v>2</v>
      </c>
      <c r="E31">
        <f t="shared" si="1"/>
        <v>2</v>
      </c>
    </row>
    <row r="32" spans="1:5" hidden="1" x14ac:dyDescent="0.35">
      <c r="A32">
        <v>2003</v>
      </c>
      <c r="B32">
        <v>7</v>
      </c>
      <c r="C32">
        <v>57.77</v>
      </c>
      <c r="D32">
        <f t="shared" si="0"/>
        <v>3</v>
      </c>
      <c r="E32" t="str">
        <f t="shared" si="1"/>
        <v>No aplica</v>
      </c>
    </row>
    <row r="33" spans="1:5" hidden="1" x14ac:dyDescent="0.35">
      <c r="A33">
        <v>2003</v>
      </c>
      <c r="B33">
        <v>8</v>
      </c>
      <c r="C33">
        <v>58.79</v>
      </c>
      <c r="D33">
        <f t="shared" si="0"/>
        <v>3</v>
      </c>
      <c r="E33" t="str">
        <f t="shared" si="1"/>
        <v>No aplica</v>
      </c>
    </row>
    <row r="34" spans="1:5" x14ac:dyDescent="0.35">
      <c r="A34">
        <v>2003</v>
      </c>
      <c r="B34">
        <v>9</v>
      </c>
      <c r="C34">
        <v>59.05</v>
      </c>
      <c r="D34">
        <f t="shared" si="0"/>
        <v>3</v>
      </c>
      <c r="E34">
        <f t="shared" si="1"/>
        <v>3</v>
      </c>
    </row>
    <row r="35" spans="1:5" hidden="1" x14ac:dyDescent="0.35">
      <c r="A35">
        <v>2003</v>
      </c>
      <c r="B35">
        <v>10</v>
      </c>
      <c r="C35">
        <v>60.29</v>
      </c>
      <c r="D35">
        <f t="shared" si="0"/>
        <v>4</v>
      </c>
      <c r="E35" t="str">
        <f t="shared" si="1"/>
        <v>No aplica</v>
      </c>
    </row>
    <row r="36" spans="1:5" hidden="1" x14ac:dyDescent="0.35">
      <c r="A36">
        <v>2003</v>
      </c>
      <c r="B36">
        <v>11</v>
      </c>
      <c r="C36">
        <v>60.4</v>
      </c>
      <c r="D36">
        <f t="shared" si="0"/>
        <v>4</v>
      </c>
      <c r="E36" t="str">
        <f t="shared" si="1"/>
        <v>No aplica</v>
      </c>
    </row>
    <row r="37" spans="1:5" x14ac:dyDescent="0.35">
      <c r="A37">
        <v>2003</v>
      </c>
      <c r="B37">
        <v>12</v>
      </c>
      <c r="C37">
        <v>59.84</v>
      </c>
      <c r="D37">
        <f t="shared" si="0"/>
        <v>4</v>
      </c>
      <c r="E37">
        <f t="shared" si="1"/>
        <v>4</v>
      </c>
    </row>
    <row r="38" spans="1:5" hidden="1" x14ac:dyDescent="0.35">
      <c r="A38">
        <v>2004</v>
      </c>
      <c r="B38">
        <v>1</v>
      </c>
      <c r="C38">
        <v>56.37</v>
      </c>
      <c r="D38">
        <f t="shared" si="0"/>
        <v>1</v>
      </c>
      <c r="E38" t="str">
        <f t="shared" si="1"/>
        <v>No aplica</v>
      </c>
    </row>
    <row r="39" spans="1:5" hidden="1" x14ac:dyDescent="0.35">
      <c r="A39">
        <v>2004</v>
      </c>
      <c r="B39">
        <v>2</v>
      </c>
      <c r="C39">
        <v>56.8</v>
      </c>
      <c r="D39">
        <f t="shared" si="0"/>
        <v>1</v>
      </c>
      <c r="E39" t="str">
        <f t="shared" si="1"/>
        <v>No aplica</v>
      </c>
    </row>
    <row r="40" spans="1:5" x14ac:dyDescent="0.35">
      <c r="A40">
        <v>2004</v>
      </c>
      <c r="B40">
        <v>3</v>
      </c>
      <c r="C40">
        <v>58.4</v>
      </c>
      <c r="D40">
        <f t="shared" si="0"/>
        <v>1</v>
      </c>
      <c r="E40">
        <f t="shared" si="1"/>
        <v>1</v>
      </c>
    </row>
    <row r="41" spans="1:5" hidden="1" x14ac:dyDescent="0.35">
      <c r="A41">
        <v>2004</v>
      </c>
      <c r="B41">
        <v>4</v>
      </c>
      <c r="C41">
        <v>57.16</v>
      </c>
      <c r="D41">
        <f t="shared" si="0"/>
        <v>2</v>
      </c>
      <c r="E41" t="str">
        <f t="shared" si="1"/>
        <v>No aplica</v>
      </c>
    </row>
    <row r="42" spans="1:5" hidden="1" x14ac:dyDescent="0.35">
      <c r="A42">
        <v>2004</v>
      </c>
      <c r="B42">
        <v>5</v>
      </c>
      <c r="C42">
        <v>57.74</v>
      </c>
      <c r="D42">
        <f t="shared" si="0"/>
        <v>2</v>
      </c>
      <c r="E42" t="str">
        <f t="shared" si="1"/>
        <v>No aplica</v>
      </c>
    </row>
    <row r="43" spans="1:5" x14ac:dyDescent="0.35">
      <c r="A43">
        <v>2004</v>
      </c>
      <c r="B43">
        <v>6</v>
      </c>
      <c r="C43">
        <v>56.41</v>
      </c>
      <c r="D43">
        <f t="shared" si="0"/>
        <v>2</v>
      </c>
      <c r="E43">
        <f t="shared" si="1"/>
        <v>2</v>
      </c>
    </row>
    <row r="44" spans="1:5" hidden="1" x14ac:dyDescent="0.35">
      <c r="A44">
        <v>2004</v>
      </c>
      <c r="B44">
        <v>7</v>
      </c>
      <c r="C44">
        <v>58.1</v>
      </c>
      <c r="D44">
        <f t="shared" si="0"/>
        <v>3</v>
      </c>
      <c r="E44" t="str">
        <f t="shared" si="1"/>
        <v>No aplica</v>
      </c>
    </row>
    <row r="45" spans="1:5" hidden="1" x14ac:dyDescent="0.35">
      <c r="A45">
        <v>2004</v>
      </c>
      <c r="B45">
        <v>8</v>
      </c>
      <c r="C45">
        <v>57.52</v>
      </c>
      <c r="D45">
        <f t="shared" si="0"/>
        <v>3</v>
      </c>
      <c r="E45" t="str">
        <f t="shared" si="1"/>
        <v>No aplica</v>
      </c>
    </row>
    <row r="46" spans="1:5" x14ac:dyDescent="0.35">
      <c r="A46">
        <v>2004</v>
      </c>
      <c r="B46">
        <v>9</v>
      </c>
      <c r="C46">
        <v>57.94</v>
      </c>
      <c r="D46">
        <f t="shared" si="0"/>
        <v>3</v>
      </c>
      <c r="E46">
        <f t="shared" si="1"/>
        <v>3</v>
      </c>
    </row>
    <row r="47" spans="1:5" hidden="1" x14ac:dyDescent="0.35">
      <c r="A47">
        <v>2004</v>
      </c>
      <c r="B47">
        <v>10</v>
      </c>
      <c r="C47">
        <v>58.6</v>
      </c>
      <c r="D47">
        <f t="shared" si="0"/>
        <v>4</v>
      </c>
      <c r="E47" t="str">
        <f t="shared" si="1"/>
        <v>No aplica</v>
      </c>
    </row>
    <row r="48" spans="1:5" hidden="1" x14ac:dyDescent="0.35">
      <c r="A48">
        <v>2004</v>
      </c>
      <c r="B48">
        <v>11</v>
      </c>
      <c r="C48">
        <v>59.33</v>
      </c>
      <c r="D48">
        <f t="shared" si="0"/>
        <v>4</v>
      </c>
      <c r="E48" t="str">
        <f t="shared" si="1"/>
        <v>No aplica</v>
      </c>
    </row>
    <row r="49" spans="1:5" x14ac:dyDescent="0.35">
      <c r="A49">
        <v>2004</v>
      </c>
      <c r="B49">
        <v>12</v>
      </c>
      <c r="C49">
        <v>58.06</v>
      </c>
      <c r="D49">
        <f t="shared" si="0"/>
        <v>4</v>
      </c>
      <c r="E49">
        <f t="shared" si="1"/>
        <v>4</v>
      </c>
    </row>
    <row r="50" spans="1:5" hidden="1" x14ac:dyDescent="0.35">
      <c r="A50">
        <v>2005</v>
      </c>
      <c r="B50">
        <v>1</v>
      </c>
      <c r="C50">
        <v>56.97</v>
      </c>
      <c r="D50">
        <f t="shared" si="0"/>
        <v>1</v>
      </c>
      <c r="E50" t="str">
        <f t="shared" si="1"/>
        <v>No aplica</v>
      </c>
    </row>
    <row r="51" spans="1:5" hidden="1" x14ac:dyDescent="0.35">
      <c r="A51">
        <v>2005</v>
      </c>
      <c r="B51">
        <v>2</v>
      </c>
      <c r="C51">
        <v>56.76</v>
      </c>
      <c r="D51">
        <f t="shared" si="0"/>
        <v>1</v>
      </c>
      <c r="E51" t="str">
        <f t="shared" si="1"/>
        <v>No aplica</v>
      </c>
    </row>
    <row r="52" spans="1:5" x14ac:dyDescent="0.35">
      <c r="A52">
        <v>2005</v>
      </c>
      <c r="B52">
        <v>3</v>
      </c>
      <c r="C52">
        <v>57.19</v>
      </c>
      <c r="D52">
        <f t="shared" si="0"/>
        <v>1</v>
      </c>
      <c r="E52">
        <f t="shared" si="1"/>
        <v>1</v>
      </c>
    </row>
    <row r="53" spans="1:5" hidden="1" x14ac:dyDescent="0.35">
      <c r="A53">
        <v>2005</v>
      </c>
      <c r="B53">
        <v>4</v>
      </c>
      <c r="C53">
        <v>57.73</v>
      </c>
      <c r="D53">
        <f t="shared" si="0"/>
        <v>2</v>
      </c>
      <c r="E53" t="str">
        <f t="shared" si="1"/>
        <v>No aplica</v>
      </c>
    </row>
    <row r="54" spans="1:5" hidden="1" x14ac:dyDescent="0.35">
      <c r="A54">
        <v>2005</v>
      </c>
      <c r="B54">
        <v>5</v>
      </c>
      <c r="C54">
        <v>57.74</v>
      </c>
      <c r="D54">
        <f t="shared" si="0"/>
        <v>2</v>
      </c>
      <c r="E54" t="str">
        <f t="shared" si="1"/>
        <v>No aplica</v>
      </c>
    </row>
    <row r="55" spans="1:5" x14ac:dyDescent="0.35">
      <c r="A55">
        <v>2005</v>
      </c>
      <c r="B55">
        <v>6</v>
      </c>
      <c r="C55">
        <v>57.42</v>
      </c>
      <c r="D55">
        <f t="shared" si="0"/>
        <v>2</v>
      </c>
      <c r="E55">
        <f t="shared" si="1"/>
        <v>2</v>
      </c>
    </row>
    <row r="56" spans="1:5" hidden="1" x14ac:dyDescent="0.35">
      <c r="A56">
        <v>2005</v>
      </c>
      <c r="B56">
        <v>7</v>
      </c>
      <c r="C56">
        <v>58.52</v>
      </c>
      <c r="D56">
        <f t="shared" si="0"/>
        <v>3</v>
      </c>
      <c r="E56" t="str">
        <f t="shared" si="1"/>
        <v>No aplica</v>
      </c>
    </row>
    <row r="57" spans="1:5" hidden="1" x14ac:dyDescent="0.35">
      <c r="A57">
        <v>2005</v>
      </c>
      <c r="B57">
        <v>8</v>
      </c>
      <c r="C57">
        <v>57.71</v>
      </c>
      <c r="D57">
        <f t="shared" si="0"/>
        <v>3</v>
      </c>
      <c r="E57" t="str">
        <f t="shared" si="1"/>
        <v>No aplica</v>
      </c>
    </row>
    <row r="58" spans="1:5" x14ac:dyDescent="0.35">
      <c r="A58">
        <v>2005</v>
      </c>
      <c r="B58">
        <v>9</v>
      </c>
      <c r="C58">
        <v>58.29</v>
      </c>
      <c r="D58">
        <f t="shared" si="0"/>
        <v>3</v>
      </c>
      <c r="E58">
        <f t="shared" si="1"/>
        <v>3</v>
      </c>
    </row>
    <row r="59" spans="1:5" hidden="1" x14ac:dyDescent="0.35">
      <c r="A59">
        <v>2005</v>
      </c>
      <c r="B59">
        <v>10</v>
      </c>
      <c r="C59">
        <v>60.32</v>
      </c>
      <c r="D59">
        <f t="shared" si="0"/>
        <v>4</v>
      </c>
      <c r="E59" t="str">
        <f t="shared" si="1"/>
        <v>No aplica</v>
      </c>
    </row>
    <row r="60" spans="1:5" hidden="1" x14ac:dyDescent="0.35">
      <c r="A60">
        <v>2005</v>
      </c>
      <c r="B60">
        <v>11</v>
      </c>
      <c r="C60">
        <v>59.4</v>
      </c>
      <c r="D60">
        <f t="shared" si="0"/>
        <v>4</v>
      </c>
      <c r="E60" t="str">
        <f t="shared" si="1"/>
        <v>No aplica</v>
      </c>
    </row>
    <row r="61" spans="1:5" x14ac:dyDescent="0.35">
      <c r="A61">
        <v>2005</v>
      </c>
      <c r="B61">
        <v>12</v>
      </c>
      <c r="C61">
        <v>59.81</v>
      </c>
      <c r="D61">
        <f t="shared" si="0"/>
        <v>4</v>
      </c>
      <c r="E61">
        <f t="shared" si="1"/>
        <v>4</v>
      </c>
    </row>
    <row r="62" spans="1:5" hidden="1" x14ac:dyDescent="0.35">
      <c r="A62">
        <v>2006</v>
      </c>
      <c r="B62">
        <v>1</v>
      </c>
      <c r="C62">
        <v>56.83</v>
      </c>
      <c r="D62">
        <f t="shared" si="0"/>
        <v>1</v>
      </c>
      <c r="E62" t="str">
        <f t="shared" si="1"/>
        <v>No aplica</v>
      </c>
    </row>
    <row r="63" spans="1:5" hidden="1" x14ac:dyDescent="0.35">
      <c r="A63">
        <v>2006</v>
      </c>
      <c r="B63">
        <v>2</v>
      </c>
      <c r="C63">
        <v>57.18</v>
      </c>
      <c r="D63">
        <f t="shared" si="0"/>
        <v>1</v>
      </c>
      <c r="E63" t="str">
        <f t="shared" si="1"/>
        <v>No aplica</v>
      </c>
    </row>
    <row r="64" spans="1:5" x14ac:dyDescent="0.35">
      <c r="A64">
        <v>2006</v>
      </c>
      <c r="B64">
        <v>3</v>
      </c>
      <c r="C64">
        <v>58.65</v>
      </c>
      <c r="D64">
        <f t="shared" si="0"/>
        <v>1</v>
      </c>
      <c r="E64">
        <f t="shared" si="1"/>
        <v>1</v>
      </c>
    </row>
    <row r="65" spans="1:5" hidden="1" x14ac:dyDescent="0.35">
      <c r="A65">
        <v>2006</v>
      </c>
      <c r="B65">
        <v>4</v>
      </c>
      <c r="C65">
        <v>56.75</v>
      </c>
      <c r="D65">
        <f t="shared" si="0"/>
        <v>2</v>
      </c>
      <c r="E65" t="str">
        <f t="shared" si="1"/>
        <v>No aplica</v>
      </c>
    </row>
    <row r="66" spans="1:5" hidden="1" x14ac:dyDescent="0.35">
      <c r="A66">
        <v>2006</v>
      </c>
      <c r="B66">
        <v>5</v>
      </c>
      <c r="C66">
        <v>57.25</v>
      </c>
      <c r="D66">
        <f t="shared" si="0"/>
        <v>2</v>
      </c>
      <c r="E66" t="str">
        <f t="shared" si="1"/>
        <v>No aplica</v>
      </c>
    </row>
    <row r="67" spans="1:5" x14ac:dyDescent="0.35">
      <c r="A67">
        <v>2006</v>
      </c>
      <c r="B67">
        <v>6</v>
      </c>
      <c r="C67">
        <v>59.27</v>
      </c>
      <c r="D67">
        <f t="shared" ref="D67:D130" si="2">+IF(OR(B67=1,B67=2,B67=3),1,IF(OR(B67=4,B67=5,B67=6),2,IF(OR(B67=7,B67=8,B67=9),3,4)))</f>
        <v>2</v>
      </c>
      <c r="E67">
        <f t="shared" ref="E67:E130" si="3">+IF(B67=3,1,IF(B67=6,2,IF(B67=9,3,IF(B67=12,4,"No aplica"))))</f>
        <v>2</v>
      </c>
    </row>
    <row r="68" spans="1:5" hidden="1" x14ac:dyDescent="0.35">
      <c r="A68">
        <v>2006</v>
      </c>
      <c r="B68">
        <v>7</v>
      </c>
      <c r="C68">
        <v>57.75</v>
      </c>
      <c r="D68">
        <f t="shared" si="2"/>
        <v>3</v>
      </c>
      <c r="E68" t="str">
        <f t="shared" si="3"/>
        <v>No aplica</v>
      </c>
    </row>
    <row r="69" spans="1:5" hidden="1" x14ac:dyDescent="0.35">
      <c r="A69">
        <v>2006</v>
      </c>
      <c r="B69">
        <v>8</v>
      </c>
      <c r="C69">
        <v>55.57</v>
      </c>
      <c r="D69">
        <f t="shared" si="2"/>
        <v>3</v>
      </c>
      <c r="E69" t="str">
        <f t="shared" si="3"/>
        <v>No aplica</v>
      </c>
    </row>
    <row r="70" spans="1:5" x14ac:dyDescent="0.35">
      <c r="A70">
        <v>2006</v>
      </c>
      <c r="B70">
        <v>9</v>
      </c>
      <c r="C70">
        <v>54.74</v>
      </c>
      <c r="D70">
        <f t="shared" si="2"/>
        <v>3</v>
      </c>
      <c r="E70">
        <f t="shared" si="3"/>
        <v>3</v>
      </c>
    </row>
    <row r="71" spans="1:5" hidden="1" x14ac:dyDescent="0.35">
      <c r="A71">
        <v>2006</v>
      </c>
      <c r="B71">
        <v>10</v>
      </c>
      <c r="C71">
        <v>55.69</v>
      </c>
      <c r="D71">
        <f t="shared" si="2"/>
        <v>4</v>
      </c>
      <c r="E71" t="str">
        <f t="shared" si="3"/>
        <v>No aplica</v>
      </c>
    </row>
    <row r="72" spans="1:5" hidden="1" x14ac:dyDescent="0.35">
      <c r="A72">
        <v>2006</v>
      </c>
      <c r="B72">
        <v>11</v>
      </c>
      <c r="C72">
        <v>55.9</v>
      </c>
      <c r="D72">
        <f t="shared" si="2"/>
        <v>4</v>
      </c>
      <c r="E72" t="str">
        <f t="shared" si="3"/>
        <v>No aplica</v>
      </c>
    </row>
    <row r="73" spans="1:5" x14ac:dyDescent="0.35">
      <c r="A73">
        <v>2006</v>
      </c>
      <c r="B73">
        <v>12</v>
      </c>
      <c r="C73">
        <v>55.14</v>
      </c>
      <c r="D73">
        <f t="shared" si="2"/>
        <v>4</v>
      </c>
      <c r="E73">
        <f t="shared" si="3"/>
        <v>4</v>
      </c>
    </row>
    <row r="74" spans="1:5" hidden="1" x14ac:dyDescent="0.35">
      <c r="A74">
        <v>2007</v>
      </c>
      <c r="B74">
        <v>1</v>
      </c>
      <c r="C74">
        <v>53.25</v>
      </c>
      <c r="D74">
        <f t="shared" si="2"/>
        <v>1</v>
      </c>
      <c r="E74" t="str">
        <f t="shared" si="3"/>
        <v>No aplica</v>
      </c>
    </row>
    <row r="75" spans="1:5" hidden="1" x14ac:dyDescent="0.35">
      <c r="A75">
        <v>2007</v>
      </c>
      <c r="B75">
        <v>2</v>
      </c>
      <c r="C75">
        <v>55.72</v>
      </c>
      <c r="D75">
        <f t="shared" si="2"/>
        <v>1</v>
      </c>
      <c r="E75" t="str">
        <f t="shared" si="3"/>
        <v>No aplica</v>
      </c>
    </row>
    <row r="76" spans="1:5" x14ac:dyDescent="0.35">
      <c r="A76">
        <v>2007</v>
      </c>
      <c r="B76">
        <v>3</v>
      </c>
      <c r="C76">
        <v>55.1</v>
      </c>
      <c r="D76">
        <f t="shared" si="2"/>
        <v>1</v>
      </c>
      <c r="E76">
        <f t="shared" si="3"/>
        <v>1</v>
      </c>
    </row>
    <row r="77" spans="1:5" hidden="1" x14ac:dyDescent="0.35">
      <c r="A77">
        <v>2007</v>
      </c>
      <c r="B77">
        <v>4</v>
      </c>
      <c r="C77">
        <v>57.42</v>
      </c>
      <c r="D77">
        <f t="shared" si="2"/>
        <v>2</v>
      </c>
      <c r="E77" t="str">
        <f t="shared" si="3"/>
        <v>No aplica</v>
      </c>
    </row>
    <row r="78" spans="1:5" hidden="1" x14ac:dyDescent="0.35">
      <c r="A78">
        <v>2007</v>
      </c>
      <c r="B78">
        <v>5</v>
      </c>
      <c r="C78">
        <v>55.99</v>
      </c>
      <c r="D78">
        <f t="shared" si="2"/>
        <v>2</v>
      </c>
      <c r="E78" t="str">
        <f t="shared" si="3"/>
        <v>No aplica</v>
      </c>
    </row>
    <row r="79" spans="1:5" x14ac:dyDescent="0.35">
      <c r="A79">
        <v>2007</v>
      </c>
      <c r="B79">
        <v>6</v>
      </c>
      <c r="C79">
        <v>56.24</v>
      </c>
      <c r="D79">
        <f t="shared" si="2"/>
        <v>2</v>
      </c>
      <c r="E79">
        <f t="shared" si="3"/>
        <v>2</v>
      </c>
    </row>
    <row r="80" spans="1:5" hidden="1" x14ac:dyDescent="0.35">
      <c r="A80">
        <v>2007</v>
      </c>
      <c r="B80">
        <v>7</v>
      </c>
      <c r="C80">
        <v>56.12</v>
      </c>
      <c r="D80">
        <f t="shared" si="2"/>
        <v>3</v>
      </c>
      <c r="E80" t="str">
        <f t="shared" si="3"/>
        <v>No aplica</v>
      </c>
    </row>
    <row r="81" spans="1:5" hidden="1" x14ac:dyDescent="0.35">
      <c r="A81">
        <v>2007</v>
      </c>
      <c r="B81">
        <v>8</v>
      </c>
      <c r="C81">
        <v>56.16</v>
      </c>
      <c r="D81">
        <f t="shared" si="2"/>
        <v>3</v>
      </c>
      <c r="E81" t="str">
        <f t="shared" si="3"/>
        <v>No aplica</v>
      </c>
    </row>
    <row r="82" spans="1:5" x14ac:dyDescent="0.35">
      <c r="A82">
        <v>2007</v>
      </c>
      <c r="B82">
        <v>9</v>
      </c>
      <c r="C82">
        <v>56.76</v>
      </c>
      <c r="D82">
        <f t="shared" si="2"/>
        <v>3</v>
      </c>
      <c r="E82">
        <f t="shared" si="3"/>
        <v>3</v>
      </c>
    </row>
    <row r="83" spans="1:5" hidden="1" x14ac:dyDescent="0.35">
      <c r="A83">
        <v>2007</v>
      </c>
      <c r="B83">
        <v>10</v>
      </c>
      <c r="C83">
        <v>59.42</v>
      </c>
      <c r="D83">
        <f t="shared" si="2"/>
        <v>4</v>
      </c>
      <c r="E83" t="str">
        <f t="shared" si="3"/>
        <v>No aplica</v>
      </c>
    </row>
    <row r="84" spans="1:5" hidden="1" x14ac:dyDescent="0.35">
      <c r="A84">
        <v>2007</v>
      </c>
      <c r="B84">
        <v>11</v>
      </c>
      <c r="C84">
        <v>58.62</v>
      </c>
      <c r="D84">
        <f t="shared" si="2"/>
        <v>4</v>
      </c>
      <c r="E84" t="str">
        <f t="shared" si="3"/>
        <v>No aplica</v>
      </c>
    </row>
    <row r="85" spans="1:5" x14ac:dyDescent="0.35">
      <c r="A85">
        <v>2007</v>
      </c>
      <c r="B85">
        <v>12</v>
      </c>
      <c r="C85">
        <v>56.88</v>
      </c>
      <c r="D85">
        <f t="shared" si="2"/>
        <v>4</v>
      </c>
      <c r="E85">
        <f t="shared" si="3"/>
        <v>4</v>
      </c>
    </row>
    <row r="86" spans="1:5" hidden="1" x14ac:dyDescent="0.35">
      <c r="A86">
        <v>2008</v>
      </c>
      <c r="B86">
        <v>1</v>
      </c>
      <c r="C86">
        <v>54.65</v>
      </c>
      <c r="D86">
        <f t="shared" si="2"/>
        <v>1</v>
      </c>
      <c r="E86" t="str">
        <f t="shared" si="3"/>
        <v>No aplica</v>
      </c>
    </row>
    <row r="87" spans="1:5" hidden="1" x14ac:dyDescent="0.35">
      <c r="A87">
        <v>2008</v>
      </c>
      <c r="B87">
        <v>2</v>
      </c>
      <c r="C87">
        <v>56.67</v>
      </c>
      <c r="D87">
        <f t="shared" si="2"/>
        <v>1</v>
      </c>
      <c r="E87" t="str">
        <f t="shared" si="3"/>
        <v>No aplica</v>
      </c>
    </row>
    <row r="88" spans="1:5" x14ac:dyDescent="0.35">
      <c r="A88">
        <v>2008</v>
      </c>
      <c r="B88">
        <v>3</v>
      </c>
      <c r="C88">
        <v>57.39</v>
      </c>
      <c r="D88">
        <f t="shared" si="2"/>
        <v>1</v>
      </c>
      <c r="E88">
        <f t="shared" si="3"/>
        <v>1</v>
      </c>
    </row>
    <row r="89" spans="1:5" hidden="1" x14ac:dyDescent="0.35">
      <c r="A89">
        <v>2008</v>
      </c>
      <c r="B89">
        <v>4</v>
      </c>
      <c r="C89">
        <v>57.92</v>
      </c>
      <c r="D89">
        <f t="shared" si="2"/>
        <v>2</v>
      </c>
      <c r="E89" t="str">
        <f t="shared" si="3"/>
        <v>No aplica</v>
      </c>
    </row>
    <row r="90" spans="1:5" hidden="1" x14ac:dyDescent="0.35">
      <c r="A90">
        <v>2008</v>
      </c>
      <c r="B90">
        <v>5</v>
      </c>
      <c r="C90">
        <v>57.53</v>
      </c>
      <c r="D90">
        <f t="shared" si="2"/>
        <v>2</v>
      </c>
      <c r="E90" t="str">
        <f t="shared" si="3"/>
        <v>No aplica</v>
      </c>
    </row>
    <row r="91" spans="1:5" x14ac:dyDescent="0.35">
      <c r="A91">
        <v>2008</v>
      </c>
      <c r="B91">
        <v>6</v>
      </c>
      <c r="C91">
        <v>55.33</v>
      </c>
      <c r="D91">
        <f t="shared" si="2"/>
        <v>2</v>
      </c>
      <c r="E91">
        <f t="shared" si="3"/>
        <v>2</v>
      </c>
    </row>
    <row r="92" spans="1:5" hidden="1" x14ac:dyDescent="0.35">
      <c r="A92">
        <v>2008</v>
      </c>
      <c r="B92">
        <v>7</v>
      </c>
      <c r="C92">
        <v>56.26</v>
      </c>
      <c r="D92">
        <f t="shared" si="2"/>
        <v>3</v>
      </c>
      <c r="E92" t="str">
        <f t="shared" si="3"/>
        <v>No aplica</v>
      </c>
    </row>
    <row r="93" spans="1:5" hidden="1" x14ac:dyDescent="0.35">
      <c r="A93">
        <v>2008</v>
      </c>
      <c r="B93">
        <v>8</v>
      </c>
      <c r="C93">
        <v>56.17</v>
      </c>
      <c r="D93">
        <f t="shared" si="2"/>
        <v>3</v>
      </c>
      <c r="E93" t="str">
        <f t="shared" si="3"/>
        <v>No aplica</v>
      </c>
    </row>
    <row r="94" spans="1:5" x14ac:dyDescent="0.35">
      <c r="A94">
        <v>2008</v>
      </c>
      <c r="B94">
        <v>9</v>
      </c>
      <c r="C94">
        <v>56.84</v>
      </c>
      <c r="D94">
        <f t="shared" si="2"/>
        <v>3</v>
      </c>
      <c r="E94">
        <f t="shared" si="3"/>
        <v>3</v>
      </c>
    </row>
    <row r="95" spans="1:5" hidden="1" x14ac:dyDescent="0.35">
      <c r="A95">
        <v>2008</v>
      </c>
      <c r="B95">
        <v>10</v>
      </c>
      <c r="C95">
        <v>57.08</v>
      </c>
      <c r="D95">
        <f t="shared" si="2"/>
        <v>4</v>
      </c>
      <c r="E95" t="str">
        <f t="shared" si="3"/>
        <v>No aplica</v>
      </c>
    </row>
    <row r="96" spans="1:5" hidden="1" x14ac:dyDescent="0.35">
      <c r="A96">
        <v>2008</v>
      </c>
      <c r="B96">
        <v>11</v>
      </c>
      <c r="C96">
        <v>55.66</v>
      </c>
      <c r="D96">
        <f t="shared" si="2"/>
        <v>4</v>
      </c>
      <c r="E96" t="str">
        <f t="shared" si="3"/>
        <v>No aplica</v>
      </c>
    </row>
    <row r="97" spans="1:5" x14ac:dyDescent="0.35">
      <c r="A97">
        <v>2008</v>
      </c>
      <c r="B97">
        <v>12</v>
      </c>
      <c r="C97">
        <v>57.04</v>
      </c>
      <c r="D97">
        <f t="shared" si="2"/>
        <v>4</v>
      </c>
      <c r="E97">
        <f t="shared" si="3"/>
        <v>4</v>
      </c>
    </row>
    <row r="98" spans="1:5" hidden="1" x14ac:dyDescent="0.35">
      <c r="A98">
        <v>2009</v>
      </c>
      <c r="B98">
        <v>1</v>
      </c>
      <c r="C98">
        <v>54.66</v>
      </c>
      <c r="D98">
        <f t="shared" si="2"/>
        <v>1</v>
      </c>
      <c r="E98" t="str">
        <f t="shared" si="3"/>
        <v>No aplica</v>
      </c>
    </row>
    <row r="99" spans="1:5" hidden="1" x14ac:dyDescent="0.35">
      <c r="A99">
        <v>2009</v>
      </c>
      <c r="B99">
        <v>2</v>
      </c>
      <c r="C99">
        <v>56.83</v>
      </c>
      <c r="D99">
        <f t="shared" si="2"/>
        <v>1</v>
      </c>
      <c r="E99" t="str">
        <f t="shared" si="3"/>
        <v>No aplica</v>
      </c>
    </row>
    <row r="100" spans="1:5" x14ac:dyDescent="0.35">
      <c r="A100">
        <v>2009</v>
      </c>
      <c r="B100">
        <v>3</v>
      </c>
      <c r="C100">
        <v>57.88</v>
      </c>
      <c r="D100">
        <f t="shared" si="2"/>
        <v>1</v>
      </c>
      <c r="E100">
        <f t="shared" si="3"/>
        <v>1</v>
      </c>
    </row>
    <row r="101" spans="1:5" hidden="1" x14ac:dyDescent="0.35">
      <c r="A101">
        <v>2009</v>
      </c>
      <c r="B101">
        <v>4</v>
      </c>
      <c r="C101">
        <v>58.96</v>
      </c>
      <c r="D101">
        <f t="shared" si="2"/>
        <v>2</v>
      </c>
      <c r="E101" t="str">
        <f t="shared" si="3"/>
        <v>No aplica</v>
      </c>
    </row>
    <row r="102" spans="1:5" hidden="1" x14ac:dyDescent="0.35">
      <c r="A102">
        <v>2009</v>
      </c>
      <c r="B102">
        <v>5</v>
      </c>
      <c r="C102">
        <v>59.21</v>
      </c>
      <c r="D102">
        <f t="shared" si="2"/>
        <v>2</v>
      </c>
      <c r="E102" t="str">
        <f t="shared" si="3"/>
        <v>No aplica</v>
      </c>
    </row>
    <row r="103" spans="1:5" x14ac:dyDescent="0.35">
      <c r="A103">
        <v>2009</v>
      </c>
      <c r="B103">
        <v>6</v>
      </c>
      <c r="C103">
        <v>58.92</v>
      </c>
      <c r="D103">
        <f t="shared" si="2"/>
        <v>2</v>
      </c>
      <c r="E103">
        <f t="shared" si="3"/>
        <v>2</v>
      </c>
    </row>
    <row r="104" spans="1:5" hidden="1" x14ac:dyDescent="0.35">
      <c r="A104">
        <v>2009</v>
      </c>
      <c r="B104">
        <v>7</v>
      </c>
      <c r="C104">
        <v>58.6</v>
      </c>
      <c r="D104">
        <f t="shared" si="2"/>
        <v>3</v>
      </c>
      <c r="E104" t="str">
        <f t="shared" si="3"/>
        <v>No aplica</v>
      </c>
    </row>
    <row r="105" spans="1:5" hidden="1" x14ac:dyDescent="0.35">
      <c r="A105">
        <v>2009</v>
      </c>
      <c r="B105">
        <v>8</v>
      </c>
      <c r="C105">
        <v>57.72</v>
      </c>
      <c r="D105">
        <f t="shared" si="2"/>
        <v>3</v>
      </c>
      <c r="E105" t="str">
        <f t="shared" si="3"/>
        <v>No aplica</v>
      </c>
    </row>
    <row r="106" spans="1:5" x14ac:dyDescent="0.35">
      <c r="A106">
        <v>2009</v>
      </c>
      <c r="B106">
        <v>9</v>
      </c>
      <c r="C106">
        <v>57.89</v>
      </c>
      <c r="D106">
        <f t="shared" si="2"/>
        <v>3</v>
      </c>
      <c r="E106">
        <f t="shared" si="3"/>
        <v>3</v>
      </c>
    </row>
    <row r="107" spans="1:5" hidden="1" x14ac:dyDescent="0.35">
      <c r="A107">
        <v>2009</v>
      </c>
      <c r="B107">
        <v>10</v>
      </c>
      <c r="C107">
        <v>60.82</v>
      </c>
      <c r="D107">
        <f t="shared" si="2"/>
        <v>4</v>
      </c>
      <c r="E107" t="str">
        <f t="shared" si="3"/>
        <v>No aplica</v>
      </c>
    </row>
    <row r="108" spans="1:5" hidden="1" x14ac:dyDescent="0.35">
      <c r="A108">
        <v>2009</v>
      </c>
      <c r="B108">
        <v>11</v>
      </c>
      <c r="C108">
        <v>60.34</v>
      </c>
      <c r="D108">
        <f t="shared" si="2"/>
        <v>4</v>
      </c>
      <c r="E108" t="str">
        <f t="shared" si="3"/>
        <v>No aplica</v>
      </c>
    </row>
    <row r="109" spans="1:5" x14ac:dyDescent="0.35">
      <c r="A109">
        <v>2009</v>
      </c>
      <c r="B109">
        <v>12</v>
      </c>
      <c r="C109">
        <v>60.02</v>
      </c>
      <c r="D109">
        <f t="shared" si="2"/>
        <v>4</v>
      </c>
      <c r="E109">
        <f t="shared" si="3"/>
        <v>4</v>
      </c>
    </row>
    <row r="110" spans="1:5" hidden="1" x14ac:dyDescent="0.35">
      <c r="A110">
        <v>2010</v>
      </c>
      <c r="B110">
        <v>1</v>
      </c>
      <c r="C110">
        <v>57.25</v>
      </c>
      <c r="D110">
        <f t="shared" si="2"/>
        <v>1</v>
      </c>
      <c r="E110" t="str">
        <f t="shared" si="3"/>
        <v>No aplica</v>
      </c>
    </row>
    <row r="111" spans="1:5" hidden="1" x14ac:dyDescent="0.35">
      <c r="A111">
        <v>2010</v>
      </c>
      <c r="B111">
        <v>2</v>
      </c>
      <c r="C111">
        <v>58.96</v>
      </c>
      <c r="D111">
        <f t="shared" si="2"/>
        <v>1</v>
      </c>
      <c r="E111" t="str">
        <f t="shared" si="3"/>
        <v>No aplica</v>
      </c>
    </row>
    <row r="112" spans="1:5" x14ac:dyDescent="0.35">
      <c r="A112">
        <v>2010</v>
      </c>
      <c r="B112">
        <v>3</v>
      </c>
      <c r="C112">
        <v>58.57</v>
      </c>
      <c r="D112">
        <f t="shared" si="2"/>
        <v>1</v>
      </c>
      <c r="E112">
        <f t="shared" si="3"/>
        <v>1</v>
      </c>
    </row>
    <row r="113" spans="1:5" hidden="1" x14ac:dyDescent="0.35">
      <c r="A113">
        <v>2010</v>
      </c>
      <c r="B113">
        <v>4</v>
      </c>
      <c r="C113">
        <v>59.81</v>
      </c>
      <c r="D113">
        <f t="shared" si="2"/>
        <v>2</v>
      </c>
      <c r="E113" t="str">
        <f t="shared" si="3"/>
        <v>No aplica</v>
      </c>
    </row>
    <row r="114" spans="1:5" hidden="1" x14ac:dyDescent="0.35">
      <c r="A114">
        <v>2010</v>
      </c>
      <c r="B114">
        <v>5</v>
      </c>
      <c r="C114">
        <v>59.03</v>
      </c>
      <c r="D114">
        <f t="shared" si="2"/>
        <v>2</v>
      </c>
      <c r="E114" t="str">
        <f t="shared" si="3"/>
        <v>No aplica</v>
      </c>
    </row>
    <row r="115" spans="1:5" x14ac:dyDescent="0.35">
      <c r="A115">
        <v>2010</v>
      </c>
      <c r="B115">
        <v>6</v>
      </c>
      <c r="C115">
        <v>59.55</v>
      </c>
      <c r="D115">
        <f t="shared" si="2"/>
        <v>2</v>
      </c>
      <c r="E115">
        <f t="shared" si="3"/>
        <v>2</v>
      </c>
    </row>
    <row r="116" spans="1:5" hidden="1" x14ac:dyDescent="0.35">
      <c r="A116">
        <v>2010</v>
      </c>
      <c r="B116">
        <v>7</v>
      </c>
      <c r="C116">
        <v>58.9</v>
      </c>
      <c r="D116">
        <f t="shared" si="2"/>
        <v>3</v>
      </c>
      <c r="E116" t="str">
        <f t="shared" si="3"/>
        <v>No aplica</v>
      </c>
    </row>
    <row r="117" spans="1:5" hidden="1" x14ac:dyDescent="0.35">
      <c r="A117">
        <v>2010</v>
      </c>
      <c r="B117">
        <v>8</v>
      </c>
      <c r="C117">
        <v>59.59</v>
      </c>
      <c r="D117">
        <f t="shared" si="2"/>
        <v>3</v>
      </c>
      <c r="E117" t="str">
        <f t="shared" si="3"/>
        <v>No aplica</v>
      </c>
    </row>
    <row r="118" spans="1:5" x14ac:dyDescent="0.35">
      <c r="A118">
        <v>2010</v>
      </c>
      <c r="B118">
        <v>9</v>
      </c>
      <c r="C118">
        <v>60.82</v>
      </c>
      <c r="D118">
        <f t="shared" si="2"/>
        <v>3</v>
      </c>
      <c r="E118">
        <f t="shared" si="3"/>
        <v>3</v>
      </c>
    </row>
    <row r="119" spans="1:5" hidden="1" x14ac:dyDescent="0.35">
      <c r="A119">
        <v>2010</v>
      </c>
      <c r="B119">
        <v>10</v>
      </c>
      <c r="C119">
        <v>61.54</v>
      </c>
      <c r="D119">
        <f t="shared" si="2"/>
        <v>4</v>
      </c>
      <c r="E119" t="str">
        <f t="shared" si="3"/>
        <v>No aplica</v>
      </c>
    </row>
    <row r="120" spans="1:5" hidden="1" x14ac:dyDescent="0.35">
      <c r="A120">
        <v>2010</v>
      </c>
      <c r="B120">
        <v>11</v>
      </c>
      <c r="C120">
        <v>61.01</v>
      </c>
      <c r="D120">
        <f t="shared" si="2"/>
        <v>4</v>
      </c>
      <c r="E120" t="str">
        <f t="shared" si="3"/>
        <v>No aplica</v>
      </c>
    </row>
    <row r="121" spans="1:5" x14ac:dyDescent="0.35">
      <c r="A121">
        <v>2010</v>
      </c>
      <c r="B121">
        <v>12</v>
      </c>
      <c r="C121">
        <v>60.08</v>
      </c>
      <c r="D121">
        <f t="shared" si="2"/>
        <v>4</v>
      </c>
      <c r="E121">
        <f t="shared" si="3"/>
        <v>4</v>
      </c>
    </row>
    <row r="122" spans="1:5" hidden="1" x14ac:dyDescent="0.35">
      <c r="A122">
        <v>2011</v>
      </c>
      <c r="B122">
        <v>1</v>
      </c>
      <c r="C122">
        <v>58.38</v>
      </c>
      <c r="D122">
        <f t="shared" si="2"/>
        <v>1</v>
      </c>
      <c r="E122" t="str">
        <f t="shared" si="3"/>
        <v>No aplica</v>
      </c>
    </row>
    <row r="123" spans="1:5" hidden="1" x14ac:dyDescent="0.35">
      <c r="A123">
        <v>2011</v>
      </c>
      <c r="B123">
        <v>2</v>
      </c>
      <c r="C123">
        <v>58.4</v>
      </c>
      <c r="D123">
        <f t="shared" si="2"/>
        <v>1</v>
      </c>
      <c r="E123" t="str">
        <f t="shared" si="3"/>
        <v>No aplica</v>
      </c>
    </row>
    <row r="124" spans="1:5" x14ac:dyDescent="0.35">
      <c r="A124">
        <v>2011</v>
      </c>
      <c r="B124">
        <v>3</v>
      </c>
      <c r="C124">
        <v>59.97</v>
      </c>
      <c r="D124">
        <f t="shared" si="2"/>
        <v>1</v>
      </c>
      <c r="E124">
        <f t="shared" si="3"/>
        <v>1</v>
      </c>
    </row>
    <row r="125" spans="1:5" hidden="1" x14ac:dyDescent="0.35">
      <c r="A125">
        <v>2011</v>
      </c>
      <c r="B125">
        <v>4</v>
      </c>
      <c r="C125">
        <v>59.8</v>
      </c>
      <c r="D125">
        <f t="shared" si="2"/>
        <v>2</v>
      </c>
      <c r="E125" t="str">
        <f t="shared" si="3"/>
        <v>No aplica</v>
      </c>
    </row>
    <row r="126" spans="1:5" hidden="1" x14ac:dyDescent="0.35">
      <c r="A126">
        <v>2011</v>
      </c>
      <c r="B126">
        <v>5</v>
      </c>
      <c r="C126">
        <v>60.24</v>
      </c>
      <c r="D126">
        <f t="shared" si="2"/>
        <v>2</v>
      </c>
      <c r="E126" t="str">
        <f t="shared" si="3"/>
        <v>No aplica</v>
      </c>
    </row>
    <row r="127" spans="1:5" x14ac:dyDescent="0.35">
      <c r="A127">
        <v>2011</v>
      </c>
      <c r="B127">
        <v>6</v>
      </c>
      <c r="C127">
        <v>60.08</v>
      </c>
      <c r="D127">
        <f t="shared" si="2"/>
        <v>2</v>
      </c>
      <c r="E127">
        <f t="shared" si="3"/>
        <v>2</v>
      </c>
    </row>
    <row r="128" spans="1:5" hidden="1" x14ac:dyDescent="0.35">
      <c r="A128">
        <v>2011</v>
      </c>
      <c r="B128">
        <v>7</v>
      </c>
      <c r="C128">
        <v>59.91</v>
      </c>
      <c r="D128">
        <f t="shared" si="2"/>
        <v>3</v>
      </c>
      <c r="E128" t="str">
        <f t="shared" si="3"/>
        <v>No aplica</v>
      </c>
    </row>
    <row r="129" spans="1:5" hidden="1" x14ac:dyDescent="0.35">
      <c r="A129">
        <v>2011</v>
      </c>
      <c r="B129">
        <v>8</v>
      </c>
      <c r="C129">
        <v>59.96</v>
      </c>
      <c r="D129">
        <f t="shared" si="2"/>
        <v>3</v>
      </c>
      <c r="E129" t="str">
        <f t="shared" si="3"/>
        <v>No aplica</v>
      </c>
    </row>
    <row r="130" spans="1:5" x14ac:dyDescent="0.35">
      <c r="A130">
        <v>2011</v>
      </c>
      <c r="B130">
        <v>9</v>
      </c>
      <c r="C130">
        <v>61.45</v>
      </c>
      <c r="D130">
        <f t="shared" si="2"/>
        <v>3</v>
      </c>
      <c r="E130">
        <f t="shared" si="3"/>
        <v>3</v>
      </c>
    </row>
    <row r="131" spans="1:5" hidden="1" x14ac:dyDescent="0.35">
      <c r="A131">
        <v>2011</v>
      </c>
      <c r="B131">
        <v>10</v>
      </c>
      <c r="C131">
        <v>64.010000000000005</v>
      </c>
      <c r="D131">
        <f t="shared" ref="D131:D194" si="4">+IF(OR(B131=1,B131=2,B131=3),1,IF(OR(B131=4,B131=5,B131=6),2,IF(OR(B131=7,B131=8,B131=9),3,4)))</f>
        <v>4</v>
      </c>
      <c r="E131" t="str">
        <f t="shared" ref="E131:E194" si="5">+IF(B131=3,1,IF(B131=6,2,IF(B131=9,3,IF(B131=12,4,"No aplica"))))</f>
        <v>No aplica</v>
      </c>
    </row>
    <row r="132" spans="1:5" hidden="1" x14ac:dyDescent="0.35">
      <c r="A132">
        <v>2011</v>
      </c>
      <c r="B132">
        <v>11</v>
      </c>
      <c r="C132">
        <v>62.93</v>
      </c>
      <c r="D132">
        <f t="shared" si="4"/>
        <v>4</v>
      </c>
      <c r="E132" t="str">
        <f t="shared" si="5"/>
        <v>No aplica</v>
      </c>
    </row>
    <row r="133" spans="1:5" x14ac:dyDescent="0.35">
      <c r="A133">
        <v>2011</v>
      </c>
      <c r="B133">
        <v>12</v>
      </c>
      <c r="C133">
        <v>61.62</v>
      </c>
      <c r="D133">
        <f t="shared" si="4"/>
        <v>4</v>
      </c>
      <c r="E133">
        <f t="shared" si="5"/>
        <v>4</v>
      </c>
    </row>
    <row r="134" spans="1:5" hidden="1" x14ac:dyDescent="0.35">
      <c r="A134">
        <v>2012</v>
      </c>
      <c r="B134">
        <v>1</v>
      </c>
      <c r="C134">
        <v>59.67</v>
      </c>
      <c r="D134">
        <f t="shared" si="4"/>
        <v>1</v>
      </c>
      <c r="E134" t="str">
        <f t="shared" si="5"/>
        <v>No aplica</v>
      </c>
    </row>
    <row r="135" spans="1:5" hidden="1" x14ac:dyDescent="0.35">
      <c r="A135">
        <v>2012</v>
      </c>
      <c r="B135">
        <v>2</v>
      </c>
      <c r="C135">
        <v>60.51</v>
      </c>
      <c r="D135">
        <f t="shared" si="4"/>
        <v>1</v>
      </c>
      <c r="E135" t="str">
        <f t="shared" si="5"/>
        <v>No aplica</v>
      </c>
    </row>
    <row r="136" spans="1:5" x14ac:dyDescent="0.35">
      <c r="A136">
        <v>2012</v>
      </c>
      <c r="B136">
        <v>3</v>
      </c>
      <c r="C136">
        <v>61.55</v>
      </c>
      <c r="D136">
        <f t="shared" si="4"/>
        <v>1</v>
      </c>
      <c r="E136">
        <f t="shared" si="5"/>
        <v>1</v>
      </c>
    </row>
    <row r="137" spans="1:5" hidden="1" x14ac:dyDescent="0.35">
      <c r="A137">
        <v>2012</v>
      </c>
      <c r="B137">
        <v>4</v>
      </c>
      <c r="C137">
        <v>61.19</v>
      </c>
      <c r="D137">
        <f t="shared" si="4"/>
        <v>2</v>
      </c>
      <c r="E137" t="str">
        <f t="shared" si="5"/>
        <v>No aplica</v>
      </c>
    </row>
    <row r="138" spans="1:5" hidden="1" x14ac:dyDescent="0.35">
      <c r="A138">
        <v>2012</v>
      </c>
      <c r="B138">
        <v>5</v>
      </c>
      <c r="C138">
        <v>61.52</v>
      </c>
      <c r="D138">
        <f t="shared" si="4"/>
        <v>2</v>
      </c>
      <c r="E138" t="str">
        <f t="shared" si="5"/>
        <v>No aplica</v>
      </c>
    </row>
    <row r="139" spans="1:5" x14ac:dyDescent="0.35">
      <c r="A139">
        <v>2012</v>
      </c>
      <c r="B139">
        <v>6</v>
      </c>
      <c r="C139">
        <v>62.36</v>
      </c>
      <c r="D139">
        <f t="shared" si="4"/>
        <v>2</v>
      </c>
      <c r="E139">
        <f t="shared" si="5"/>
        <v>2</v>
      </c>
    </row>
    <row r="140" spans="1:5" hidden="1" x14ac:dyDescent="0.35">
      <c r="A140">
        <v>2012</v>
      </c>
      <c r="B140">
        <v>7</v>
      </c>
      <c r="C140">
        <v>60.53</v>
      </c>
      <c r="D140">
        <f t="shared" si="4"/>
        <v>3</v>
      </c>
      <c r="E140" t="str">
        <f t="shared" si="5"/>
        <v>No aplica</v>
      </c>
    </row>
    <row r="141" spans="1:5" hidden="1" x14ac:dyDescent="0.35">
      <c r="A141">
        <v>2012</v>
      </c>
      <c r="B141">
        <v>8</v>
      </c>
      <c r="C141">
        <v>61.57</v>
      </c>
      <c r="D141">
        <f t="shared" si="4"/>
        <v>3</v>
      </c>
      <c r="E141" t="str">
        <f t="shared" si="5"/>
        <v>No aplica</v>
      </c>
    </row>
    <row r="142" spans="1:5" x14ac:dyDescent="0.35">
      <c r="A142">
        <v>2012</v>
      </c>
      <c r="B142">
        <v>9</v>
      </c>
      <c r="C142">
        <v>60.74</v>
      </c>
      <c r="D142">
        <f t="shared" si="4"/>
        <v>3</v>
      </c>
      <c r="E142">
        <f t="shared" si="5"/>
        <v>3</v>
      </c>
    </row>
    <row r="143" spans="1:5" hidden="1" x14ac:dyDescent="0.35">
      <c r="A143">
        <v>2012</v>
      </c>
      <c r="B143">
        <v>10</v>
      </c>
      <c r="C143">
        <v>62.73</v>
      </c>
      <c r="D143">
        <f t="shared" si="4"/>
        <v>4</v>
      </c>
      <c r="E143" t="str">
        <f t="shared" si="5"/>
        <v>No aplica</v>
      </c>
    </row>
    <row r="144" spans="1:5" hidden="1" x14ac:dyDescent="0.35">
      <c r="A144">
        <v>2012</v>
      </c>
      <c r="B144">
        <v>11</v>
      </c>
      <c r="C144">
        <v>61.61</v>
      </c>
      <c r="D144">
        <f t="shared" si="4"/>
        <v>4</v>
      </c>
      <c r="E144" t="str">
        <f t="shared" si="5"/>
        <v>No aplica</v>
      </c>
    </row>
    <row r="145" spans="1:5" x14ac:dyDescent="0.35">
      <c r="A145">
        <v>2012</v>
      </c>
      <c r="B145">
        <v>12</v>
      </c>
      <c r="C145">
        <v>61.5</v>
      </c>
      <c r="D145">
        <f t="shared" si="4"/>
        <v>4</v>
      </c>
      <c r="E145">
        <f t="shared" si="5"/>
        <v>4</v>
      </c>
    </row>
    <row r="146" spans="1:5" hidden="1" x14ac:dyDescent="0.35">
      <c r="A146">
        <v>2013</v>
      </c>
      <c r="B146">
        <v>1</v>
      </c>
      <c r="C146">
        <v>59.39</v>
      </c>
      <c r="D146">
        <f t="shared" si="4"/>
        <v>1</v>
      </c>
      <c r="E146" t="str">
        <f t="shared" si="5"/>
        <v>No aplica</v>
      </c>
    </row>
    <row r="147" spans="1:5" hidden="1" x14ac:dyDescent="0.35">
      <c r="A147">
        <v>2013</v>
      </c>
      <c r="B147">
        <v>2</v>
      </c>
      <c r="C147">
        <v>59.38</v>
      </c>
      <c r="D147">
        <f t="shared" si="4"/>
        <v>1</v>
      </c>
      <c r="E147" t="str">
        <f t="shared" si="5"/>
        <v>No aplica</v>
      </c>
    </row>
    <row r="148" spans="1:5" x14ac:dyDescent="0.35">
      <c r="A148">
        <v>2013</v>
      </c>
      <c r="B148">
        <v>3</v>
      </c>
      <c r="C148">
        <v>59.78</v>
      </c>
      <c r="D148">
        <f t="shared" si="4"/>
        <v>1</v>
      </c>
      <c r="E148">
        <f t="shared" si="5"/>
        <v>1</v>
      </c>
    </row>
    <row r="149" spans="1:5" hidden="1" x14ac:dyDescent="0.35">
      <c r="A149">
        <v>2013</v>
      </c>
      <c r="B149">
        <v>4</v>
      </c>
      <c r="C149">
        <v>60.44</v>
      </c>
      <c r="D149">
        <f t="shared" si="4"/>
        <v>2</v>
      </c>
      <c r="E149" t="str">
        <f t="shared" si="5"/>
        <v>No aplica</v>
      </c>
    </row>
    <row r="150" spans="1:5" hidden="1" x14ac:dyDescent="0.35">
      <c r="A150">
        <v>2013</v>
      </c>
      <c r="B150">
        <v>5</v>
      </c>
      <c r="C150">
        <v>61.77</v>
      </c>
      <c r="D150">
        <f t="shared" si="4"/>
        <v>2</v>
      </c>
      <c r="E150" t="str">
        <f t="shared" si="5"/>
        <v>No aplica</v>
      </c>
    </row>
    <row r="151" spans="1:5" x14ac:dyDescent="0.35">
      <c r="A151">
        <v>2013</v>
      </c>
      <c r="B151">
        <v>6</v>
      </c>
      <c r="C151">
        <v>61.06</v>
      </c>
      <c r="D151">
        <f t="shared" si="4"/>
        <v>2</v>
      </c>
      <c r="E151">
        <f t="shared" si="5"/>
        <v>2</v>
      </c>
    </row>
    <row r="152" spans="1:5" hidden="1" x14ac:dyDescent="0.35">
      <c r="A152">
        <v>2013</v>
      </c>
      <c r="B152">
        <v>7</v>
      </c>
      <c r="C152">
        <v>61.05</v>
      </c>
      <c r="D152">
        <f t="shared" si="4"/>
        <v>3</v>
      </c>
      <c r="E152" t="str">
        <f t="shared" si="5"/>
        <v>No aplica</v>
      </c>
    </row>
    <row r="153" spans="1:5" hidden="1" x14ac:dyDescent="0.35">
      <c r="A153">
        <v>2013</v>
      </c>
      <c r="B153">
        <v>8</v>
      </c>
      <c r="C153">
        <v>61.43</v>
      </c>
      <c r="D153">
        <f t="shared" si="4"/>
        <v>3</v>
      </c>
      <c r="E153" t="str">
        <f t="shared" si="5"/>
        <v>No aplica</v>
      </c>
    </row>
    <row r="154" spans="1:5" x14ac:dyDescent="0.35">
      <c r="A154">
        <v>2013</v>
      </c>
      <c r="B154">
        <v>9</v>
      </c>
      <c r="C154">
        <v>61.29</v>
      </c>
      <c r="D154">
        <f t="shared" si="4"/>
        <v>3</v>
      </c>
      <c r="E154">
        <f t="shared" si="5"/>
        <v>3</v>
      </c>
    </row>
    <row r="155" spans="1:5" hidden="1" x14ac:dyDescent="0.35">
      <c r="A155">
        <v>2013</v>
      </c>
      <c r="B155">
        <v>10</v>
      </c>
      <c r="C155">
        <v>63.45</v>
      </c>
      <c r="D155">
        <f t="shared" si="4"/>
        <v>4</v>
      </c>
      <c r="E155" t="str">
        <f t="shared" si="5"/>
        <v>No aplica</v>
      </c>
    </row>
    <row r="156" spans="1:5" hidden="1" x14ac:dyDescent="0.35">
      <c r="A156">
        <v>2013</v>
      </c>
      <c r="B156">
        <v>11</v>
      </c>
      <c r="C156">
        <v>61.8</v>
      </c>
      <c r="D156">
        <f t="shared" si="4"/>
        <v>4</v>
      </c>
      <c r="E156" t="str">
        <f t="shared" si="5"/>
        <v>No aplica</v>
      </c>
    </row>
    <row r="157" spans="1:5" x14ac:dyDescent="0.35">
      <c r="A157">
        <v>2013</v>
      </c>
      <c r="B157">
        <v>12</v>
      </c>
      <c r="C157">
        <v>61.74</v>
      </c>
      <c r="D157">
        <f t="shared" si="4"/>
        <v>4</v>
      </c>
      <c r="E157">
        <f t="shared" si="5"/>
        <v>4</v>
      </c>
    </row>
    <row r="158" spans="1:5" hidden="1" x14ac:dyDescent="0.35">
      <c r="A158">
        <v>2014</v>
      </c>
      <c r="B158">
        <v>1</v>
      </c>
      <c r="C158">
        <v>59.33</v>
      </c>
      <c r="D158">
        <f t="shared" si="4"/>
        <v>1</v>
      </c>
      <c r="E158" t="str">
        <f t="shared" si="5"/>
        <v>No aplica</v>
      </c>
    </row>
    <row r="159" spans="1:5" hidden="1" x14ac:dyDescent="0.35">
      <c r="A159">
        <v>2014</v>
      </c>
      <c r="B159">
        <v>2</v>
      </c>
      <c r="C159">
        <v>59.37</v>
      </c>
      <c r="D159">
        <f t="shared" si="4"/>
        <v>1</v>
      </c>
      <c r="E159" t="str">
        <f t="shared" si="5"/>
        <v>No aplica</v>
      </c>
    </row>
    <row r="160" spans="1:5" x14ac:dyDescent="0.35">
      <c r="A160">
        <v>2014</v>
      </c>
      <c r="B160">
        <v>3</v>
      </c>
      <c r="C160">
        <v>60.04</v>
      </c>
      <c r="D160">
        <f t="shared" si="4"/>
        <v>1</v>
      </c>
      <c r="E160">
        <f t="shared" si="5"/>
        <v>1</v>
      </c>
    </row>
    <row r="161" spans="1:5" hidden="1" x14ac:dyDescent="0.35">
      <c r="A161">
        <v>2014</v>
      </c>
      <c r="B161">
        <v>4</v>
      </c>
      <c r="C161">
        <v>61.21</v>
      </c>
      <c r="D161">
        <f t="shared" si="4"/>
        <v>2</v>
      </c>
      <c r="E161" t="str">
        <f t="shared" si="5"/>
        <v>No aplica</v>
      </c>
    </row>
    <row r="162" spans="1:5" hidden="1" x14ac:dyDescent="0.35">
      <c r="A162">
        <v>2014</v>
      </c>
      <c r="B162">
        <v>5</v>
      </c>
      <c r="C162">
        <v>61.25</v>
      </c>
      <c r="D162">
        <f t="shared" si="4"/>
        <v>2</v>
      </c>
      <c r="E162" t="str">
        <f t="shared" si="5"/>
        <v>No aplica</v>
      </c>
    </row>
    <row r="163" spans="1:5" x14ac:dyDescent="0.35">
      <c r="A163">
        <v>2014</v>
      </c>
      <c r="B163">
        <v>6</v>
      </c>
      <c r="C163">
        <v>61.29</v>
      </c>
      <c r="D163">
        <f t="shared" si="4"/>
        <v>2</v>
      </c>
      <c r="E163">
        <f t="shared" si="5"/>
        <v>2</v>
      </c>
    </row>
    <row r="164" spans="1:5" hidden="1" x14ac:dyDescent="0.35">
      <c r="A164">
        <v>2014</v>
      </c>
      <c r="B164">
        <v>7</v>
      </c>
      <c r="C164">
        <v>60.36</v>
      </c>
      <c r="D164">
        <f t="shared" si="4"/>
        <v>3</v>
      </c>
      <c r="E164" t="str">
        <f t="shared" si="5"/>
        <v>No aplica</v>
      </c>
    </row>
    <row r="165" spans="1:5" hidden="1" x14ac:dyDescent="0.35">
      <c r="A165">
        <v>2014</v>
      </c>
      <c r="B165">
        <v>8</v>
      </c>
      <c r="C165">
        <v>61.49</v>
      </c>
      <c r="D165">
        <f t="shared" si="4"/>
        <v>3</v>
      </c>
      <c r="E165" t="str">
        <f t="shared" si="5"/>
        <v>No aplica</v>
      </c>
    </row>
    <row r="166" spans="1:5" x14ac:dyDescent="0.35">
      <c r="A166">
        <v>2014</v>
      </c>
      <c r="B166">
        <v>9</v>
      </c>
      <c r="C166">
        <v>61.73</v>
      </c>
      <c r="D166">
        <f t="shared" si="4"/>
        <v>3</v>
      </c>
      <c r="E166">
        <f t="shared" si="5"/>
        <v>3</v>
      </c>
    </row>
    <row r="167" spans="1:5" hidden="1" x14ac:dyDescent="0.35">
      <c r="A167">
        <v>2014</v>
      </c>
      <c r="B167">
        <v>10</v>
      </c>
      <c r="C167">
        <v>63.61</v>
      </c>
      <c r="D167">
        <f t="shared" si="4"/>
        <v>4</v>
      </c>
      <c r="E167" t="str">
        <f t="shared" si="5"/>
        <v>No aplica</v>
      </c>
    </row>
    <row r="168" spans="1:5" hidden="1" x14ac:dyDescent="0.35">
      <c r="A168">
        <v>2014</v>
      </c>
      <c r="B168">
        <v>11</v>
      </c>
      <c r="C168">
        <v>62.55</v>
      </c>
      <c r="D168">
        <f t="shared" si="4"/>
        <v>4</v>
      </c>
      <c r="E168" t="str">
        <f t="shared" si="5"/>
        <v>No aplica</v>
      </c>
    </row>
    <row r="169" spans="1:5" x14ac:dyDescent="0.35">
      <c r="A169">
        <v>2014</v>
      </c>
      <c r="B169">
        <v>12</v>
      </c>
      <c r="C169">
        <v>60.88</v>
      </c>
      <c r="D169">
        <f t="shared" si="4"/>
        <v>4</v>
      </c>
      <c r="E169">
        <f t="shared" si="5"/>
        <v>4</v>
      </c>
    </row>
    <row r="170" spans="1:5" hidden="1" x14ac:dyDescent="0.35">
      <c r="A170">
        <v>2015</v>
      </c>
      <c r="B170">
        <v>1</v>
      </c>
      <c r="C170">
        <v>59.17</v>
      </c>
      <c r="D170">
        <f t="shared" si="4"/>
        <v>1</v>
      </c>
      <c r="E170" t="str">
        <f t="shared" si="5"/>
        <v>No aplica</v>
      </c>
    </row>
    <row r="171" spans="1:5" hidden="1" x14ac:dyDescent="0.35">
      <c r="A171">
        <v>2015</v>
      </c>
      <c r="B171">
        <v>2</v>
      </c>
      <c r="C171">
        <v>59.96</v>
      </c>
      <c r="D171">
        <f t="shared" si="4"/>
        <v>1</v>
      </c>
      <c r="E171" t="str">
        <f t="shared" si="5"/>
        <v>No aplica</v>
      </c>
    </row>
    <row r="172" spans="1:5" x14ac:dyDescent="0.35">
      <c r="A172">
        <v>2015</v>
      </c>
      <c r="B172">
        <v>3</v>
      </c>
      <c r="C172">
        <v>60.73</v>
      </c>
      <c r="D172">
        <f t="shared" si="4"/>
        <v>1</v>
      </c>
      <c r="E172">
        <f t="shared" si="5"/>
        <v>1</v>
      </c>
    </row>
    <row r="173" spans="1:5" hidden="1" x14ac:dyDescent="0.35">
      <c r="A173">
        <v>2015</v>
      </c>
      <c r="B173">
        <v>4</v>
      </c>
      <c r="C173">
        <v>61.43</v>
      </c>
      <c r="D173">
        <f t="shared" si="4"/>
        <v>2</v>
      </c>
      <c r="E173" t="str">
        <f t="shared" si="5"/>
        <v>No aplica</v>
      </c>
    </row>
    <row r="174" spans="1:5" hidden="1" x14ac:dyDescent="0.35">
      <c r="A174">
        <v>2015</v>
      </c>
      <c r="B174">
        <v>5</v>
      </c>
      <c r="C174">
        <v>61.35</v>
      </c>
      <c r="D174">
        <f t="shared" si="4"/>
        <v>2</v>
      </c>
      <c r="E174" t="str">
        <f t="shared" si="5"/>
        <v>No aplica</v>
      </c>
    </row>
    <row r="175" spans="1:5" x14ac:dyDescent="0.35">
      <c r="A175">
        <v>2015</v>
      </c>
      <c r="B175">
        <v>6</v>
      </c>
      <c r="C175">
        <v>61.59</v>
      </c>
      <c r="D175">
        <f t="shared" si="4"/>
        <v>2</v>
      </c>
      <c r="E175">
        <f t="shared" si="5"/>
        <v>2</v>
      </c>
    </row>
    <row r="176" spans="1:5" hidden="1" x14ac:dyDescent="0.35">
      <c r="A176">
        <v>2015</v>
      </c>
      <c r="B176">
        <v>7</v>
      </c>
      <c r="C176">
        <v>60.83</v>
      </c>
      <c r="D176">
        <f t="shared" si="4"/>
        <v>3</v>
      </c>
      <c r="E176" t="str">
        <f t="shared" si="5"/>
        <v>No aplica</v>
      </c>
    </row>
    <row r="177" spans="1:5" hidden="1" x14ac:dyDescent="0.35">
      <c r="A177">
        <v>2015</v>
      </c>
      <c r="B177">
        <v>8</v>
      </c>
      <c r="C177">
        <v>61.19</v>
      </c>
      <c r="D177">
        <f t="shared" si="4"/>
        <v>3</v>
      </c>
      <c r="E177" t="str">
        <f t="shared" si="5"/>
        <v>No aplica</v>
      </c>
    </row>
    <row r="178" spans="1:5" x14ac:dyDescent="0.35">
      <c r="A178">
        <v>2015</v>
      </c>
      <c r="B178">
        <v>9</v>
      </c>
      <c r="C178">
        <v>61.27</v>
      </c>
      <c r="D178">
        <f t="shared" si="4"/>
        <v>3</v>
      </c>
      <c r="E178">
        <f t="shared" si="5"/>
        <v>3</v>
      </c>
    </row>
    <row r="179" spans="1:5" hidden="1" x14ac:dyDescent="0.35">
      <c r="A179">
        <v>2015</v>
      </c>
      <c r="B179">
        <v>10</v>
      </c>
      <c r="C179">
        <v>63.29</v>
      </c>
      <c r="D179">
        <f t="shared" si="4"/>
        <v>4</v>
      </c>
      <c r="E179" t="str">
        <f t="shared" si="5"/>
        <v>No aplica</v>
      </c>
    </row>
    <row r="180" spans="1:5" hidden="1" x14ac:dyDescent="0.35">
      <c r="A180">
        <v>2015</v>
      </c>
      <c r="B180">
        <v>11</v>
      </c>
      <c r="C180">
        <v>62.93</v>
      </c>
      <c r="D180">
        <f t="shared" si="4"/>
        <v>4</v>
      </c>
      <c r="E180" t="str">
        <f t="shared" si="5"/>
        <v>No aplica</v>
      </c>
    </row>
    <row r="181" spans="1:5" x14ac:dyDescent="0.35">
      <c r="A181">
        <v>2015</v>
      </c>
      <c r="B181">
        <v>12</v>
      </c>
      <c r="C181">
        <v>61.52</v>
      </c>
      <c r="D181">
        <f t="shared" si="4"/>
        <v>4</v>
      </c>
      <c r="E181">
        <f t="shared" si="5"/>
        <v>4</v>
      </c>
    </row>
    <row r="182" spans="1:5" hidden="1" x14ac:dyDescent="0.35">
      <c r="A182">
        <v>2016</v>
      </c>
      <c r="B182">
        <v>1</v>
      </c>
      <c r="C182">
        <v>58.96</v>
      </c>
      <c r="D182">
        <f t="shared" si="4"/>
        <v>1</v>
      </c>
      <c r="E182" t="str">
        <f t="shared" si="5"/>
        <v>No aplica</v>
      </c>
    </row>
    <row r="183" spans="1:5" hidden="1" x14ac:dyDescent="0.35">
      <c r="A183">
        <v>2016</v>
      </c>
      <c r="B183">
        <v>2</v>
      </c>
      <c r="C183">
        <v>59.89</v>
      </c>
      <c r="D183">
        <f t="shared" si="4"/>
        <v>1</v>
      </c>
      <c r="E183" t="str">
        <f t="shared" si="5"/>
        <v>No aplica</v>
      </c>
    </row>
    <row r="184" spans="1:5" x14ac:dyDescent="0.35">
      <c r="A184">
        <v>2016</v>
      </c>
      <c r="B184">
        <v>3</v>
      </c>
      <c r="C184">
        <v>59.19</v>
      </c>
      <c r="D184">
        <f t="shared" si="4"/>
        <v>1</v>
      </c>
      <c r="E184">
        <f t="shared" si="5"/>
        <v>1</v>
      </c>
    </row>
    <row r="185" spans="1:5" hidden="1" x14ac:dyDescent="0.35">
      <c r="A185">
        <v>2016</v>
      </c>
      <c r="B185">
        <v>4</v>
      </c>
      <c r="C185">
        <v>61.19</v>
      </c>
      <c r="D185">
        <f t="shared" si="4"/>
        <v>2</v>
      </c>
      <c r="E185" t="str">
        <f t="shared" si="5"/>
        <v>No aplica</v>
      </c>
    </row>
    <row r="186" spans="1:5" hidden="1" x14ac:dyDescent="0.35">
      <c r="A186">
        <v>2016</v>
      </c>
      <c r="B186">
        <v>5</v>
      </c>
      <c r="C186">
        <v>60.23</v>
      </c>
      <c r="D186">
        <f t="shared" si="4"/>
        <v>2</v>
      </c>
      <c r="E186" t="str">
        <f t="shared" si="5"/>
        <v>No aplica</v>
      </c>
    </row>
    <row r="187" spans="1:5" x14ac:dyDescent="0.35">
      <c r="A187">
        <v>2016</v>
      </c>
      <c r="B187">
        <v>6</v>
      </c>
      <c r="C187">
        <v>61.09</v>
      </c>
      <c r="D187">
        <f t="shared" si="4"/>
        <v>2</v>
      </c>
      <c r="E187">
        <f t="shared" si="5"/>
        <v>2</v>
      </c>
    </row>
    <row r="188" spans="1:5" hidden="1" x14ac:dyDescent="0.35">
      <c r="A188">
        <v>2016</v>
      </c>
      <c r="B188">
        <v>7</v>
      </c>
      <c r="C188">
        <v>59.35</v>
      </c>
      <c r="D188">
        <f t="shared" si="4"/>
        <v>3</v>
      </c>
      <c r="E188" t="str">
        <f t="shared" si="5"/>
        <v>No aplica</v>
      </c>
    </row>
    <row r="189" spans="1:5" hidden="1" x14ac:dyDescent="0.35">
      <c r="A189">
        <v>2016</v>
      </c>
      <c r="B189">
        <v>8</v>
      </c>
      <c r="C189">
        <v>60.54</v>
      </c>
      <c r="D189">
        <f t="shared" si="4"/>
        <v>3</v>
      </c>
      <c r="E189" t="str">
        <f t="shared" si="5"/>
        <v>No aplica</v>
      </c>
    </row>
    <row r="190" spans="1:5" x14ac:dyDescent="0.35">
      <c r="A190">
        <v>2016</v>
      </c>
      <c r="B190">
        <v>9</v>
      </c>
      <c r="C190">
        <v>60.48</v>
      </c>
      <c r="D190">
        <f t="shared" si="4"/>
        <v>3</v>
      </c>
      <c r="E190">
        <f t="shared" si="5"/>
        <v>3</v>
      </c>
    </row>
    <row r="191" spans="1:5" hidden="1" x14ac:dyDescent="0.35">
      <c r="A191">
        <v>2016</v>
      </c>
      <c r="B191">
        <v>10</v>
      </c>
      <c r="C191">
        <v>62.26</v>
      </c>
      <c r="D191">
        <f t="shared" si="4"/>
        <v>4</v>
      </c>
      <c r="E191" t="str">
        <f t="shared" si="5"/>
        <v>No aplica</v>
      </c>
    </row>
    <row r="192" spans="1:5" hidden="1" x14ac:dyDescent="0.35">
      <c r="A192">
        <v>2016</v>
      </c>
      <c r="B192">
        <v>11</v>
      </c>
      <c r="C192">
        <v>61.98</v>
      </c>
      <c r="D192">
        <f t="shared" si="4"/>
        <v>4</v>
      </c>
      <c r="E192" t="str">
        <f t="shared" si="5"/>
        <v>No aplica</v>
      </c>
    </row>
    <row r="193" spans="1:5" x14ac:dyDescent="0.35">
      <c r="A193">
        <v>2016</v>
      </c>
      <c r="B193">
        <v>12</v>
      </c>
      <c r="C193">
        <v>60.71</v>
      </c>
      <c r="D193">
        <f t="shared" si="4"/>
        <v>4</v>
      </c>
      <c r="E193">
        <f t="shared" si="5"/>
        <v>4</v>
      </c>
    </row>
    <row r="194" spans="1:5" hidden="1" x14ac:dyDescent="0.35">
      <c r="A194">
        <v>2017</v>
      </c>
      <c r="B194">
        <v>1</v>
      </c>
      <c r="C194">
        <v>58.3</v>
      </c>
      <c r="D194">
        <f t="shared" si="4"/>
        <v>1</v>
      </c>
      <c r="E194" t="str">
        <f t="shared" si="5"/>
        <v>No aplica</v>
      </c>
    </row>
    <row r="195" spans="1:5" hidden="1" x14ac:dyDescent="0.35">
      <c r="A195">
        <v>2017</v>
      </c>
      <c r="B195">
        <v>2</v>
      </c>
      <c r="C195">
        <v>59.13</v>
      </c>
      <c r="D195">
        <f t="shared" ref="D195:D258" si="6">+IF(OR(B195=1,B195=2,B195=3),1,IF(OR(B195=4,B195=5,B195=6),2,IF(OR(B195=7,B195=8,B195=9),3,4)))</f>
        <v>1</v>
      </c>
      <c r="E195" t="str">
        <f t="shared" ref="E195:E258" si="7">+IF(B195=3,1,IF(B195=6,2,IF(B195=9,3,IF(B195=12,4,"No aplica"))))</f>
        <v>No aplica</v>
      </c>
    </row>
    <row r="196" spans="1:5" x14ac:dyDescent="0.35">
      <c r="A196">
        <v>2017</v>
      </c>
      <c r="B196">
        <v>3</v>
      </c>
      <c r="C196">
        <v>59.24</v>
      </c>
      <c r="D196">
        <f t="shared" si="6"/>
        <v>1</v>
      </c>
      <c r="E196">
        <f t="shared" si="7"/>
        <v>1</v>
      </c>
    </row>
    <row r="197" spans="1:5" hidden="1" x14ac:dyDescent="0.35">
      <c r="A197">
        <v>2017</v>
      </c>
      <c r="B197">
        <v>4</v>
      </c>
      <c r="C197">
        <v>60.87</v>
      </c>
      <c r="D197">
        <f t="shared" si="6"/>
        <v>2</v>
      </c>
      <c r="E197" t="str">
        <f t="shared" si="7"/>
        <v>No aplica</v>
      </c>
    </row>
    <row r="198" spans="1:5" hidden="1" x14ac:dyDescent="0.35">
      <c r="A198">
        <v>2017</v>
      </c>
      <c r="B198">
        <v>5</v>
      </c>
      <c r="C198">
        <v>59.84</v>
      </c>
      <c r="D198">
        <f t="shared" si="6"/>
        <v>2</v>
      </c>
      <c r="E198" t="str">
        <f t="shared" si="7"/>
        <v>No aplica</v>
      </c>
    </row>
    <row r="199" spans="1:5" x14ac:dyDescent="0.35">
      <c r="A199">
        <v>2017</v>
      </c>
      <c r="B199">
        <v>6</v>
      </c>
      <c r="C199">
        <v>61.32</v>
      </c>
      <c r="D199">
        <f t="shared" si="6"/>
        <v>2</v>
      </c>
      <c r="E199">
        <f t="shared" si="7"/>
        <v>2</v>
      </c>
    </row>
    <row r="200" spans="1:5" hidden="1" x14ac:dyDescent="0.35">
      <c r="A200">
        <v>2017</v>
      </c>
      <c r="B200">
        <v>7</v>
      </c>
      <c r="C200">
        <v>59.43</v>
      </c>
      <c r="D200">
        <f t="shared" si="6"/>
        <v>3</v>
      </c>
      <c r="E200" t="str">
        <f t="shared" si="7"/>
        <v>No aplica</v>
      </c>
    </row>
    <row r="201" spans="1:5" hidden="1" x14ac:dyDescent="0.35">
      <c r="A201">
        <v>2017</v>
      </c>
      <c r="B201">
        <v>8</v>
      </c>
      <c r="C201">
        <v>60.12</v>
      </c>
      <c r="D201">
        <f t="shared" si="6"/>
        <v>3</v>
      </c>
      <c r="E201" t="str">
        <f t="shared" si="7"/>
        <v>No aplica</v>
      </c>
    </row>
    <row r="202" spans="1:5" x14ac:dyDescent="0.35">
      <c r="A202">
        <v>2017</v>
      </c>
      <c r="B202">
        <v>9</v>
      </c>
      <c r="C202">
        <v>59.7</v>
      </c>
      <c r="D202">
        <f t="shared" si="6"/>
        <v>3</v>
      </c>
      <c r="E202">
        <f t="shared" si="7"/>
        <v>3</v>
      </c>
    </row>
    <row r="203" spans="1:5" hidden="1" x14ac:dyDescent="0.35">
      <c r="A203">
        <v>2017</v>
      </c>
      <c r="B203">
        <v>10</v>
      </c>
      <c r="C203">
        <v>61.36</v>
      </c>
      <c r="D203">
        <f t="shared" si="6"/>
        <v>4</v>
      </c>
      <c r="E203" t="str">
        <f t="shared" si="7"/>
        <v>No aplica</v>
      </c>
    </row>
    <row r="204" spans="1:5" hidden="1" x14ac:dyDescent="0.35">
      <c r="A204">
        <v>2017</v>
      </c>
      <c r="B204">
        <v>11</v>
      </c>
      <c r="C204">
        <v>60.61</v>
      </c>
      <c r="D204">
        <f t="shared" si="6"/>
        <v>4</v>
      </c>
      <c r="E204" t="str">
        <f t="shared" si="7"/>
        <v>No aplica</v>
      </c>
    </row>
    <row r="205" spans="1:5" x14ac:dyDescent="0.35">
      <c r="A205">
        <v>2017</v>
      </c>
      <c r="B205">
        <v>12</v>
      </c>
      <c r="C205">
        <v>60.21</v>
      </c>
      <c r="D205">
        <f t="shared" si="6"/>
        <v>4</v>
      </c>
      <c r="E205">
        <f t="shared" si="7"/>
        <v>4</v>
      </c>
    </row>
    <row r="206" spans="1:5" hidden="1" x14ac:dyDescent="0.35">
      <c r="A206">
        <v>2018</v>
      </c>
      <c r="B206">
        <v>1</v>
      </c>
      <c r="C206">
        <v>57.39</v>
      </c>
      <c r="D206">
        <f t="shared" si="6"/>
        <v>1</v>
      </c>
      <c r="E206" t="str">
        <f t="shared" si="7"/>
        <v>No aplica</v>
      </c>
    </row>
    <row r="207" spans="1:5" hidden="1" x14ac:dyDescent="0.35">
      <c r="A207">
        <v>2018</v>
      </c>
      <c r="B207">
        <v>2</v>
      </c>
      <c r="C207">
        <v>57.83</v>
      </c>
      <c r="D207">
        <f t="shared" si="6"/>
        <v>1</v>
      </c>
      <c r="E207" t="str">
        <f t="shared" si="7"/>
        <v>No aplica</v>
      </c>
    </row>
    <row r="208" spans="1:5" x14ac:dyDescent="0.35">
      <c r="A208">
        <v>2018</v>
      </c>
      <c r="B208">
        <v>3</v>
      </c>
      <c r="C208">
        <v>58.73</v>
      </c>
      <c r="D208">
        <f t="shared" si="6"/>
        <v>1</v>
      </c>
      <c r="E208">
        <f t="shared" si="7"/>
        <v>1</v>
      </c>
    </row>
    <row r="209" spans="1:5" hidden="1" x14ac:dyDescent="0.35">
      <c r="A209">
        <v>2018</v>
      </c>
      <c r="B209">
        <v>4</v>
      </c>
      <c r="C209">
        <v>59.84</v>
      </c>
      <c r="D209">
        <f t="shared" si="6"/>
        <v>2</v>
      </c>
      <c r="E209" t="str">
        <f t="shared" si="7"/>
        <v>No aplica</v>
      </c>
    </row>
    <row r="210" spans="1:5" hidden="1" x14ac:dyDescent="0.35">
      <c r="A210">
        <v>2018</v>
      </c>
      <c r="B210">
        <v>5</v>
      </c>
      <c r="C210">
        <v>59.25</v>
      </c>
      <c r="D210">
        <f t="shared" si="6"/>
        <v>2</v>
      </c>
      <c r="E210" t="str">
        <f t="shared" si="7"/>
        <v>No aplica</v>
      </c>
    </row>
    <row r="211" spans="1:5" x14ac:dyDescent="0.35">
      <c r="A211">
        <v>2018</v>
      </c>
      <c r="B211">
        <v>6</v>
      </c>
      <c r="C211">
        <v>59.89</v>
      </c>
      <c r="D211">
        <f t="shared" si="6"/>
        <v>2</v>
      </c>
      <c r="E211">
        <f t="shared" si="7"/>
        <v>2</v>
      </c>
    </row>
    <row r="212" spans="1:5" hidden="1" x14ac:dyDescent="0.35">
      <c r="A212">
        <v>2018</v>
      </c>
      <c r="B212">
        <v>7</v>
      </c>
      <c r="C212">
        <v>58.88</v>
      </c>
      <c r="D212">
        <f t="shared" si="6"/>
        <v>3</v>
      </c>
      <c r="E212" t="str">
        <f t="shared" si="7"/>
        <v>No aplica</v>
      </c>
    </row>
    <row r="213" spans="1:5" hidden="1" x14ac:dyDescent="0.35">
      <c r="A213">
        <v>2018</v>
      </c>
      <c r="B213">
        <v>8</v>
      </c>
      <c r="C213">
        <v>59.59</v>
      </c>
      <c r="D213">
        <f t="shared" si="6"/>
        <v>3</v>
      </c>
      <c r="E213" t="str">
        <f t="shared" si="7"/>
        <v>No aplica</v>
      </c>
    </row>
    <row r="214" spans="1:5" x14ac:dyDescent="0.35">
      <c r="A214">
        <v>2018</v>
      </c>
      <c r="B214">
        <v>9</v>
      </c>
      <c r="C214">
        <v>59.47</v>
      </c>
      <c r="D214">
        <f t="shared" si="6"/>
        <v>3</v>
      </c>
      <c r="E214">
        <f t="shared" si="7"/>
        <v>3</v>
      </c>
    </row>
    <row r="215" spans="1:5" hidden="1" x14ac:dyDescent="0.35">
      <c r="A215">
        <v>2018</v>
      </c>
      <c r="B215">
        <v>10</v>
      </c>
      <c r="C215">
        <v>60.07</v>
      </c>
      <c r="D215">
        <f t="shared" si="6"/>
        <v>4</v>
      </c>
      <c r="E215" t="str">
        <f t="shared" si="7"/>
        <v>No aplica</v>
      </c>
    </row>
    <row r="216" spans="1:5" hidden="1" x14ac:dyDescent="0.35">
      <c r="A216">
        <v>2018</v>
      </c>
      <c r="B216">
        <v>11</v>
      </c>
      <c r="C216">
        <v>58.8</v>
      </c>
      <c r="D216">
        <f t="shared" si="6"/>
        <v>4</v>
      </c>
      <c r="E216" t="str">
        <f t="shared" si="7"/>
        <v>No aplica</v>
      </c>
    </row>
    <row r="217" spans="1:5" x14ac:dyDescent="0.35">
      <c r="A217">
        <v>2018</v>
      </c>
      <c r="B217">
        <v>12</v>
      </c>
      <c r="C217">
        <v>59.78</v>
      </c>
      <c r="D217">
        <f t="shared" si="6"/>
        <v>4</v>
      </c>
      <c r="E217">
        <f t="shared" si="7"/>
        <v>4</v>
      </c>
    </row>
    <row r="218" spans="1:5" hidden="1" x14ac:dyDescent="0.35">
      <c r="A218">
        <v>2019</v>
      </c>
      <c r="B218">
        <v>1</v>
      </c>
      <c r="C218">
        <v>56.47</v>
      </c>
      <c r="D218">
        <f t="shared" si="6"/>
        <v>1</v>
      </c>
      <c r="E218" t="str">
        <f t="shared" si="7"/>
        <v>No aplica</v>
      </c>
    </row>
    <row r="219" spans="1:5" hidden="1" x14ac:dyDescent="0.35">
      <c r="A219">
        <v>2019</v>
      </c>
      <c r="B219">
        <v>2</v>
      </c>
      <c r="C219">
        <v>57.55</v>
      </c>
      <c r="D219">
        <f t="shared" si="6"/>
        <v>1</v>
      </c>
      <c r="E219" t="str">
        <f t="shared" si="7"/>
        <v>No aplica</v>
      </c>
    </row>
    <row r="220" spans="1:5" x14ac:dyDescent="0.35">
      <c r="A220">
        <v>2019</v>
      </c>
      <c r="B220">
        <v>3</v>
      </c>
      <c r="C220">
        <v>57.68</v>
      </c>
      <c r="D220">
        <f t="shared" si="6"/>
        <v>1</v>
      </c>
      <c r="E220">
        <f t="shared" si="7"/>
        <v>1</v>
      </c>
    </row>
    <row r="221" spans="1:5" hidden="1" x14ac:dyDescent="0.35">
      <c r="A221">
        <v>2019</v>
      </c>
      <c r="B221">
        <v>4</v>
      </c>
      <c r="C221">
        <v>57.31</v>
      </c>
      <c r="D221">
        <f t="shared" si="6"/>
        <v>2</v>
      </c>
      <c r="E221" t="str">
        <f t="shared" si="7"/>
        <v>No aplica</v>
      </c>
    </row>
    <row r="222" spans="1:5" hidden="1" x14ac:dyDescent="0.35">
      <c r="A222">
        <v>2019</v>
      </c>
      <c r="B222">
        <v>5</v>
      </c>
      <c r="C222">
        <v>57.58</v>
      </c>
      <c r="D222">
        <f t="shared" si="6"/>
        <v>2</v>
      </c>
      <c r="E222" t="str">
        <f t="shared" si="7"/>
        <v>No aplica</v>
      </c>
    </row>
    <row r="223" spans="1:5" x14ac:dyDescent="0.35">
      <c r="A223">
        <v>2019</v>
      </c>
      <c r="B223">
        <v>6</v>
      </c>
      <c r="C223">
        <v>58.78</v>
      </c>
      <c r="D223">
        <f t="shared" si="6"/>
        <v>2</v>
      </c>
      <c r="E223">
        <f t="shared" si="7"/>
        <v>2</v>
      </c>
    </row>
    <row r="224" spans="1:5" hidden="1" x14ac:dyDescent="0.35">
      <c r="A224">
        <v>2019</v>
      </c>
      <c r="B224">
        <v>7</v>
      </c>
      <c r="C224">
        <v>57.08</v>
      </c>
      <c r="D224">
        <f t="shared" si="6"/>
        <v>3</v>
      </c>
      <c r="E224" t="str">
        <f t="shared" si="7"/>
        <v>No aplica</v>
      </c>
    </row>
    <row r="225" spans="1:5" hidden="1" x14ac:dyDescent="0.35">
      <c r="A225">
        <v>2019</v>
      </c>
      <c r="B225">
        <v>8</v>
      </c>
      <c r="C225">
        <v>56.86</v>
      </c>
      <c r="D225">
        <f t="shared" si="6"/>
        <v>3</v>
      </c>
      <c r="E225" t="str">
        <f t="shared" si="7"/>
        <v>No aplica</v>
      </c>
    </row>
    <row r="226" spans="1:5" x14ac:dyDescent="0.35">
      <c r="A226">
        <v>2019</v>
      </c>
      <c r="B226">
        <v>9</v>
      </c>
      <c r="C226">
        <v>57.36</v>
      </c>
      <c r="D226">
        <f t="shared" si="6"/>
        <v>3</v>
      </c>
      <c r="E226">
        <f t="shared" si="7"/>
        <v>3</v>
      </c>
    </row>
    <row r="227" spans="1:5" hidden="1" x14ac:dyDescent="0.35">
      <c r="A227">
        <v>2019</v>
      </c>
      <c r="B227">
        <v>10</v>
      </c>
      <c r="C227">
        <v>58.86</v>
      </c>
      <c r="D227">
        <f t="shared" si="6"/>
        <v>4</v>
      </c>
      <c r="E227" t="str">
        <f t="shared" si="7"/>
        <v>No aplica</v>
      </c>
    </row>
    <row r="228" spans="1:5" hidden="1" x14ac:dyDescent="0.35">
      <c r="A228">
        <v>2019</v>
      </c>
      <c r="B228">
        <v>11</v>
      </c>
      <c r="C228">
        <v>58.74</v>
      </c>
      <c r="D228">
        <f t="shared" si="6"/>
        <v>4</v>
      </c>
      <c r="E228" t="str">
        <f t="shared" si="7"/>
        <v>No aplica</v>
      </c>
    </row>
    <row r="229" spans="1:5" x14ac:dyDescent="0.35">
      <c r="A229">
        <v>2019</v>
      </c>
      <c r="B229">
        <v>12</v>
      </c>
      <c r="C229">
        <v>58.19</v>
      </c>
      <c r="D229">
        <f t="shared" si="6"/>
        <v>4</v>
      </c>
      <c r="E229">
        <f t="shared" si="7"/>
        <v>4</v>
      </c>
    </row>
    <row r="230" spans="1:5" hidden="1" x14ac:dyDescent="0.35">
      <c r="A230">
        <v>2020</v>
      </c>
      <c r="B230">
        <v>1</v>
      </c>
      <c r="C230">
        <v>55.33</v>
      </c>
      <c r="D230">
        <f t="shared" si="6"/>
        <v>1</v>
      </c>
      <c r="E230" t="str">
        <f t="shared" si="7"/>
        <v>No aplica</v>
      </c>
    </row>
    <row r="231" spans="1:5" hidden="1" x14ac:dyDescent="0.35">
      <c r="A231">
        <v>2020</v>
      </c>
      <c r="B231">
        <v>2</v>
      </c>
      <c r="C231">
        <v>56.07</v>
      </c>
      <c r="D231">
        <f t="shared" si="6"/>
        <v>1</v>
      </c>
      <c r="E231" t="str">
        <f t="shared" si="7"/>
        <v>No aplica</v>
      </c>
    </row>
    <row r="232" spans="1:5" x14ac:dyDescent="0.35">
      <c r="A232">
        <v>2020</v>
      </c>
      <c r="B232">
        <v>3</v>
      </c>
      <c r="C232">
        <v>52.45</v>
      </c>
      <c r="D232">
        <f t="shared" si="6"/>
        <v>1</v>
      </c>
      <c r="E232">
        <f t="shared" si="7"/>
        <v>1</v>
      </c>
    </row>
    <row r="233" spans="1:5" hidden="1" x14ac:dyDescent="0.35">
      <c r="A233">
        <v>2020</v>
      </c>
      <c r="B233">
        <v>4</v>
      </c>
      <c r="C233">
        <v>42.5</v>
      </c>
      <c r="D233">
        <f t="shared" si="6"/>
        <v>2</v>
      </c>
      <c r="E233" t="str">
        <f t="shared" si="7"/>
        <v>No aplica</v>
      </c>
    </row>
    <row r="234" spans="1:5" hidden="1" x14ac:dyDescent="0.35">
      <c r="A234">
        <v>2020</v>
      </c>
      <c r="B234">
        <v>5</v>
      </c>
      <c r="C234">
        <v>44.24</v>
      </c>
      <c r="D234">
        <f t="shared" si="6"/>
        <v>2</v>
      </c>
      <c r="E234" t="str">
        <f t="shared" si="7"/>
        <v>No aplica</v>
      </c>
    </row>
    <row r="235" spans="1:5" x14ac:dyDescent="0.35">
      <c r="A235">
        <v>2020</v>
      </c>
      <c r="B235">
        <v>6</v>
      </c>
      <c r="C235">
        <v>46.89</v>
      </c>
      <c r="D235">
        <f t="shared" si="6"/>
        <v>2</v>
      </c>
      <c r="E235">
        <f t="shared" si="7"/>
        <v>2</v>
      </c>
    </row>
    <row r="236" spans="1:5" hidden="1" x14ac:dyDescent="0.35">
      <c r="A236">
        <v>2020</v>
      </c>
      <c r="B236">
        <v>7</v>
      </c>
      <c r="C236">
        <v>45.95</v>
      </c>
      <c r="D236">
        <f t="shared" si="6"/>
        <v>3</v>
      </c>
      <c r="E236" t="str">
        <f t="shared" si="7"/>
        <v>No aplica</v>
      </c>
    </row>
    <row r="237" spans="1:5" hidden="1" x14ac:dyDescent="0.35">
      <c r="A237">
        <v>2020</v>
      </c>
      <c r="B237">
        <v>8</v>
      </c>
      <c r="C237">
        <v>49.73</v>
      </c>
      <c r="D237">
        <f t="shared" si="6"/>
        <v>3</v>
      </c>
      <c r="E237" t="str">
        <f t="shared" si="7"/>
        <v>No aplica</v>
      </c>
    </row>
    <row r="238" spans="1:5" x14ac:dyDescent="0.35">
      <c r="A238">
        <v>2020</v>
      </c>
      <c r="B238">
        <v>9</v>
      </c>
      <c r="C238">
        <v>51.07</v>
      </c>
      <c r="D238">
        <f t="shared" si="6"/>
        <v>3</v>
      </c>
      <c r="E238">
        <f t="shared" si="7"/>
        <v>3</v>
      </c>
    </row>
    <row r="239" spans="1:5" hidden="1" x14ac:dyDescent="0.35">
      <c r="A239">
        <v>2020</v>
      </c>
      <c r="B239">
        <v>10</v>
      </c>
      <c r="C239">
        <v>53.66</v>
      </c>
      <c r="D239">
        <f t="shared" si="6"/>
        <v>4</v>
      </c>
      <c r="E239" t="str">
        <f t="shared" si="7"/>
        <v>No aplica</v>
      </c>
    </row>
    <row r="240" spans="1:5" hidden="1" x14ac:dyDescent="0.35">
      <c r="A240">
        <v>2020</v>
      </c>
      <c r="B240">
        <v>11</v>
      </c>
      <c r="C240">
        <v>53.55</v>
      </c>
      <c r="D240">
        <f t="shared" si="6"/>
        <v>4</v>
      </c>
      <c r="E240" t="str">
        <f t="shared" si="7"/>
        <v>No aplica</v>
      </c>
    </row>
    <row r="241" spans="1:5" x14ac:dyDescent="0.35">
      <c r="A241">
        <v>2020</v>
      </c>
      <c r="B241">
        <v>12</v>
      </c>
      <c r="C241">
        <v>53.74</v>
      </c>
      <c r="D241">
        <f t="shared" si="6"/>
        <v>4</v>
      </c>
      <c r="E241">
        <f t="shared" si="7"/>
        <v>4</v>
      </c>
    </row>
    <row r="242" spans="1:5" hidden="1" x14ac:dyDescent="0.35">
      <c r="A242">
        <v>2021</v>
      </c>
      <c r="B242">
        <v>1</v>
      </c>
      <c r="C242">
        <v>50.08</v>
      </c>
      <c r="D242">
        <f t="shared" si="6"/>
        <v>1</v>
      </c>
      <c r="E242" t="str">
        <f t="shared" si="7"/>
        <v>No aplica</v>
      </c>
    </row>
    <row r="243" spans="1:5" hidden="1" x14ac:dyDescent="0.35">
      <c r="A243">
        <v>2021</v>
      </c>
      <c r="B243">
        <v>2</v>
      </c>
      <c r="C243">
        <v>52.77</v>
      </c>
      <c r="D243">
        <f t="shared" si="6"/>
        <v>1</v>
      </c>
      <c r="E243" t="str">
        <f t="shared" si="7"/>
        <v>No aplica</v>
      </c>
    </row>
    <row r="244" spans="1:5" x14ac:dyDescent="0.35">
      <c r="A244">
        <v>2021</v>
      </c>
      <c r="B244">
        <v>3</v>
      </c>
      <c r="C244">
        <v>52.53</v>
      </c>
      <c r="D244">
        <f t="shared" si="6"/>
        <v>1</v>
      </c>
      <c r="E244">
        <f t="shared" si="7"/>
        <v>1</v>
      </c>
    </row>
    <row r="245" spans="1:5" hidden="1" x14ac:dyDescent="0.35">
      <c r="A245">
        <v>2021</v>
      </c>
      <c r="B245">
        <v>4</v>
      </c>
      <c r="C245">
        <v>51.57</v>
      </c>
      <c r="D245">
        <f t="shared" si="6"/>
        <v>2</v>
      </c>
      <c r="E245" t="str">
        <f t="shared" si="7"/>
        <v>No aplica</v>
      </c>
    </row>
    <row r="246" spans="1:5" hidden="1" x14ac:dyDescent="0.35">
      <c r="A246">
        <v>2021</v>
      </c>
      <c r="B246">
        <v>5</v>
      </c>
      <c r="C246">
        <v>52.11</v>
      </c>
      <c r="D246">
        <f t="shared" si="6"/>
        <v>2</v>
      </c>
      <c r="E246" t="str">
        <f t="shared" si="7"/>
        <v>No aplica</v>
      </c>
    </row>
    <row r="247" spans="1:5" x14ac:dyDescent="0.35">
      <c r="A247">
        <v>2021</v>
      </c>
      <c r="B247">
        <v>6</v>
      </c>
      <c r="C247">
        <v>52.25</v>
      </c>
      <c r="D247">
        <f t="shared" si="6"/>
        <v>2</v>
      </c>
      <c r="E247">
        <f t="shared" si="7"/>
        <v>2</v>
      </c>
    </row>
    <row r="248" spans="1:5" hidden="1" x14ac:dyDescent="0.35">
      <c r="A248">
        <v>2021</v>
      </c>
      <c r="B248">
        <v>7</v>
      </c>
      <c r="C248">
        <v>53.09</v>
      </c>
      <c r="D248">
        <f t="shared" si="6"/>
        <v>3</v>
      </c>
      <c r="E248" t="str">
        <f t="shared" si="7"/>
        <v>No aplica</v>
      </c>
    </row>
    <row r="249" spans="1:5" hidden="1" x14ac:dyDescent="0.35">
      <c r="A249">
        <v>2021</v>
      </c>
      <c r="B249">
        <v>8</v>
      </c>
      <c r="C249">
        <v>53.43</v>
      </c>
      <c r="D249">
        <f t="shared" si="6"/>
        <v>3</v>
      </c>
      <c r="E249" t="str">
        <f t="shared" si="7"/>
        <v>No aplica</v>
      </c>
    </row>
    <row r="250" spans="1:5" x14ac:dyDescent="0.35">
      <c r="A250">
        <v>2021</v>
      </c>
      <c r="B250">
        <v>9</v>
      </c>
      <c r="C250">
        <v>53.63</v>
      </c>
      <c r="D250">
        <f t="shared" si="6"/>
        <v>3</v>
      </c>
      <c r="E250">
        <f t="shared" si="7"/>
        <v>3</v>
      </c>
    </row>
    <row r="251" spans="1:5" hidden="1" x14ac:dyDescent="0.35">
      <c r="A251">
        <v>2021</v>
      </c>
      <c r="B251">
        <v>10</v>
      </c>
      <c r="C251">
        <v>54.61</v>
      </c>
      <c r="D251">
        <f t="shared" si="6"/>
        <v>4</v>
      </c>
      <c r="E251" t="str">
        <f t="shared" si="7"/>
        <v>No aplica</v>
      </c>
    </row>
    <row r="252" spans="1:5" hidden="1" x14ac:dyDescent="0.35">
      <c r="A252">
        <v>2021</v>
      </c>
      <c r="B252">
        <v>11</v>
      </c>
      <c r="C252">
        <v>55.02</v>
      </c>
      <c r="D252">
        <f t="shared" si="6"/>
        <v>4</v>
      </c>
      <c r="E252" t="str">
        <f t="shared" si="7"/>
        <v>No aplica</v>
      </c>
    </row>
    <row r="253" spans="1:5" x14ac:dyDescent="0.35">
      <c r="A253">
        <v>2021</v>
      </c>
      <c r="B253">
        <v>12</v>
      </c>
      <c r="C253">
        <v>55.54</v>
      </c>
      <c r="D253">
        <f t="shared" si="6"/>
        <v>4</v>
      </c>
      <c r="E253">
        <f t="shared" si="7"/>
        <v>4</v>
      </c>
    </row>
    <row r="254" spans="1:5" hidden="1" x14ac:dyDescent="0.35">
      <c r="A254">
        <v>2022</v>
      </c>
      <c r="B254">
        <v>1</v>
      </c>
      <c r="C254">
        <v>53.41</v>
      </c>
      <c r="D254">
        <f t="shared" si="6"/>
        <v>1</v>
      </c>
      <c r="E254" t="str">
        <f t="shared" si="7"/>
        <v>No aplica</v>
      </c>
    </row>
    <row r="255" spans="1:5" hidden="1" x14ac:dyDescent="0.35">
      <c r="A255">
        <v>2022</v>
      </c>
      <c r="B255">
        <v>2</v>
      </c>
      <c r="C255">
        <v>55.88</v>
      </c>
      <c r="D255">
        <f t="shared" si="6"/>
        <v>1</v>
      </c>
      <c r="E255" t="str">
        <f t="shared" si="7"/>
        <v>No aplica</v>
      </c>
    </row>
    <row r="256" spans="1:5" x14ac:dyDescent="0.35">
      <c r="A256">
        <v>2022</v>
      </c>
      <c r="B256">
        <v>3</v>
      </c>
      <c r="C256">
        <v>55.82</v>
      </c>
      <c r="D256">
        <f t="shared" si="6"/>
        <v>1</v>
      </c>
      <c r="E256">
        <f t="shared" si="7"/>
        <v>1</v>
      </c>
    </row>
    <row r="257" spans="1:5" hidden="1" x14ac:dyDescent="0.35">
      <c r="A257">
        <v>2022</v>
      </c>
      <c r="B257">
        <v>4</v>
      </c>
      <c r="C257">
        <v>56.47</v>
      </c>
      <c r="D257">
        <f t="shared" si="6"/>
        <v>2</v>
      </c>
      <c r="E257" t="str">
        <f t="shared" si="7"/>
        <v>No aplica</v>
      </c>
    </row>
    <row r="258" spans="1:5" hidden="1" x14ac:dyDescent="0.35">
      <c r="A258">
        <v>2022</v>
      </c>
      <c r="B258">
        <v>5</v>
      </c>
      <c r="C258">
        <v>56.99</v>
      </c>
      <c r="D258">
        <f t="shared" si="6"/>
        <v>2</v>
      </c>
      <c r="E258" t="str">
        <f t="shared" si="7"/>
        <v>No aplica</v>
      </c>
    </row>
    <row r="259" spans="1:5" x14ac:dyDescent="0.35">
      <c r="A259">
        <v>2022</v>
      </c>
      <c r="B259">
        <v>6</v>
      </c>
      <c r="C259">
        <v>56.5</v>
      </c>
      <c r="D259">
        <f t="shared" ref="D259:D285" si="8">+IF(OR(B259=1,B259=2,B259=3),1,IF(OR(B259=4,B259=5,B259=6),2,IF(OR(B259=7,B259=8,B259=9),3,4)))</f>
        <v>2</v>
      </c>
      <c r="E259">
        <f t="shared" ref="E259:E285" si="9">+IF(B259=3,1,IF(B259=6,2,IF(B259=9,3,IF(B259=12,4,"No aplica"))))</f>
        <v>2</v>
      </c>
    </row>
    <row r="260" spans="1:5" hidden="1" x14ac:dyDescent="0.35">
      <c r="A260">
        <v>2022</v>
      </c>
      <c r="B260">
        <v>7</v>
      </c>
      <c r="C260">
        <v>56.53</v>
      </c>
      <c r="D260">
        <f t="shared" si="8"/>
        <v>3</v>
      </c>
      <c r="E260" t="str">
        <f t="shared" si="9"/>
        <v>No aplica</v>
      </c>
    </row>
    <row r="261" spans="1:5" hidden="1" x14ac:dyDescent="0.35">
      <c r="A261">
        <v>2022</v>
      </c>
      <c r="B261">
        <v>8</v>
      </c>
      <c r="C261">
        <v>56.73</v>
      </c>
      <c r="D261">
        <f t="shared" si="8"/>
        <v>3</v>
      </c>
      <c r="E261" t="str">
        <f t="shared" si="9"/>
        <v>No aplica</v>
      </c>
    </row>
    <row r="262" spans="1:5" x14ac:dyDescent="0.35">
      <c r="A262">
        <v>2022</v>
      </c>
      <c r="B262">
        <v>9</v>
      </c>
      <c r="C262">
        <v>57.25</v>
      </c>
      <c r="D262">
        <f t="shared" si="8"/>
        <v>3</v>
      </c>
      <c r="E262">
        <f t="shared" si="9"/>
        <v>3</v>
      </c>
    </row>
    <row r="263" spans="1:5" hidden="1" x14ac:dyDescent="0.35">
      <c r="A263">
        <v>2022</v>
      </c>
      <c r="B263">
        <v>10</v>
      </c>
      <c r="C263">
        <v>57.74</v>
      </c>
      <c r="D263">
        <f t="shared" si="8"/>
        <v>4</v>
      </c>
      <c r="E263" t="str">
        <f t="shared" si="9"/>
        <v>No aplica</v>
      </c>
    </row>
    <row r="264" spans="1:5" hidden="1" x14ac:dyDescent="0.35">
      <c r="A264">
        <v>2022</v>
      </c>
      <c r="B264">
        <v>11</v>
      </c>
      <c r="C264">
        <v>57.36</v>
      </c>
      <c r="D264">
        <f t="shared" si="8"/>
        <v>4</v>
      </c>
      <c r="E264" t="str">
        <f t="shared" si="9"/>
        <v>No aplica</v>
      </c>
    </row>
    <row r="265" spans="1:5" x14ac:dyDescent="0.35">
      <c r="A265">
        <v>2022</v>
      </c>
      <c r="B265">
        <v>12</v>
      </c>
      <c r="C265">
        <v>57.25</v>
      </c>
      <c r="D265">
        <f t="shared" si="8"/>
        <v>4</v>
      </c>
      <c r="E265">
        <f t="shared" si="9"/>
        <v>4</v>
      </c>
    </row>
    <row r="266" spans="1:5" hidden="1" x14ac:dyDescent="0.35">
      <c r="A266">
        <v>2023</v>
      </c>
      <c r="B266">
        <v>1</v>
      </c>
      <c r="C266">
        <v>54.7</v>
      </c>
      <c r="D266">
        <f t="shared" si="8"/>
        <v>1</v>
      </c>
      <c r="E266" t="str">
        <f t="shared" si="9"/>
        <v>No aplica</v>
      </c>
    </row>
    <row r="267" spans="1:5" hidden="1" x14ac:dyDescent="0.35">
      <c r="A267">
        <v>2023</v>
      </c>
      <c r="B267">
        <v>2</v>
      </c>
      <c r="C267">
        <v>56.52</v>
      </c>
      <c r="D267">
        <f t="shared" si="8"/>
        <v>1</v>
      </c>
      <c r="E267" t="str">
        <f t="shared" si="9"/>
        <v>No aplica</v>
      </c>
    </row>
    <row r="268" spans="1:5" x14ac:dyDescent="0.35">
      <c r="A268">
        <v>2023</v>
      </c>
      <c r="B268">
        <v>3</v>
      </c>
      <c r="C268">
        <v>57.88</v>
      </c>
      <c r="D268">
        <f t="shared" si="8"/>
        <v>1</v>
      </c>
      <c r="E268">
        <f t="shared" si="9"/>
        <v>1</v>
      </c>
    </row>
    <row r="269" spans="1:5" hidden="1" x14ac:dyDescent="0.35">
      <c r="A269">
        <v>2023</v>
      </c>
      <c r="B269">
        <v>4</v>
      </c>
      <c r="C269">
        <v>57.68</v>
      </c>
      <c r="D269">
        <f t="shared" si="8"/>
        <v>2</v>
      </c>
      <c r="E269" t="str">
        <f t="shared" si="9"/>
        <v>No aplica</v>
      </c>
    </row>
    <row r="270" spans="1:5" hidden="1" x14ac:dyDescent="0.35">
      <c r="A270">
        <v>2023</v>
      </c>
      <c r="B270">
        <v>5</v>
      </c>
      <c r="C270">
        <v>57.17</v>
      </c>
      <c r="D270">
        <f t="shared" si="8"/>
        <v>2</v>
      </c>
      <c r="E270" t="str">
        <f t="shared" si="9"/>
        <v>No aplica</v>
      </c>
    </row>
    <row r="271" spans="1:5" x14ac:dyDescent="0.35">
      <c r="A271">
        <v>2023</v>
      </c>
      <c r="B271">
        <v>6</v>
      </c>
      <c r="C271">
        <v>58.32</v>
      </c>
      <c r="D271">
        <f t="shared" si="8"/>
        <v>2</v>
      </c>
      <c r="E271">
        <f t="shared" si="9"/>
        <v>2</v>
      </c>
    </row>
    <row r="272" spans="1:5" hidden="1" x14ac:dyDescent="0.35">
      <c r="A272">
        <v>2023</v>
      </c>
      <c r="B272">
        <v>7</v>
      </c>
      <c r="C272">
        <v>58.59</v>
      </c>
      <c r="D272">
        <f t="shared" si="8"/>
        <v>3</v>
      </c>
      <c r="E272" t="str">
        <f t="shared" si="9"/>
        <v>No aplica</v>
      </c>
    </row>
    <row r="273" spans="1:5" hidden="1" x14ac:dyDescent="0.35">
      <c r="A273">
        <v>2023</v>
      </c>
      <c r="B273">
        <v>8</v>
      </c>
      <c r="C273">
        <v>58.47</v>
      </c>
      <c r="D273">
        <f t="shared" si="8"/>
        <v>3</v>
      </c>
      <c r="E273" t="str">
        <f t="shared" si="9"/>
        <v>No aplica</v>
      </c>
    </row>
    <row r="274" spans="1:5" x14ac:dyDescent="0.35">
      <c r="A274">
        <v>2023</v>
      </c>
      <c r="B274">
        <v>9</v>
      </c>
      <c r="C274">
        <v>58.25</v>
      </c>
      <c r="D274">
        <f t="shared" si="8"/>
        <v>3</v>
      </c>
      <c r="E274">
        <f t="shared" si="9"/>
        <v>3</v>
      </c>
    </row>
    <row r="275" spans="1:5" hidden="1" x14ac:dyDescent="0.35">
      <c r="A275">
        <v>2023</v>
      </c>
      <c r="B275">
        <v>10</v>
      </c>
      <c r="C275">
        <v>58.12</v>
      </c>
      <c r="D275">
        <f t="shared" si="8"/>
        <v>4</v>
      </c>
      <c r="E275" t="str">
        <f t="shared" si="9"/>
        <v>No aplica</v>
      </c>
    </row>
    <row r="276" spans="1:5" hidden="1" x14ac:dyDescent="0.35">
      <c r="A276">
        <v>2023</v>
      </c>
      <c r="B276">
        <v>11</v>
      </c>
      <c r="C276">
        <v>58.31</v>
      </c>
      <c r="D276">
        <f t="shared" si="8"/>
        <v>4</v>
      </c>
      <c r="E276" t="str">
        <f t="shared" si="9"/>
        <v>No aplica</v>
      </c>
    </row>
    <row r="277" spans="1:5" x14ac:dyDescent="0.35">
      <c r="A277">
        <v>2023</v>
      </c>
      <c r="B277">
        <v>12</v>
      </c>
      <c r="C277">
        <v>57.43</v>
      </c>
      <c r="D277">
        <f t="shared" si="8"/>
        <v>4</v>
      </c>
      <c r="E277">
        <f t="shared" si="9"/>
        <v>4</v>
      </c>
    </row>
    <row r="278" spans="1:5" hidden="1" x14ac:dyDescent="0.35">
      <c r="A278">
        <v>2024</v>
      </c>
      <c r="B278">
        <v>1</v>
      </c>
      <c r="C278">
        <v>55.26</v>
      </c>
      <c r="D278">
        <f t="shared" si="8"/>
        <v>1</v>
      </c>
      <c r="E278" t="str">
        <f t="shared" si="9"/>
        <v>No aplica</v>
      </c>
    </row>
    <row r="279" spans="1:5" hidden="1" x14ac:dyDescent="0.35">
      <c r="A279">
        <v>2024</v>
      </c>
      <c r="B279">
        <v>2</v>
      </c>
      <c r="C279">
        <v>56.36</v>
      </c>
      <c r="D279">
        <f t="shared" si="8"/>
        <v>1</v>
      </c>
      <c r="E279" t="str">
        <f t="shared" si="9"/>
        <v>No aplica</v>
      </c>
    </row>
    <row r="280" spans="1:5" x14ac:dyDescent="0.35">
      <c r="A280">
        <v>2024</v>
      </c>
      <c r="B280">
        <v>3</v>
      </c>
      <c r="C280">
        <v>56.68</v>
      </c>
      <c r="D280">
        <f t="shared" si="8"/>
        <v>1</v>
      </c>
      <c r="E280">
        <f t="shared" si="9"/>
        <v>1</v>
      </c>
    </row>
    <row r="281" spans="1:5" hidden="1" x14ac:dyDescent="0.35">
      <c r="A281">
        <v>2024</v>
      </c>
      <c r="B281">
        <v>4</v>
      </c>
      <c r="C281">
        <v>57.16</v>
      </c>
      <c r="D281">
        <f t="shared" si="8"/>
        <v>2</v>
      </c>
      <c r="E281" t="str">
        <f t="shared" si="9"/>
        <v>No aplica</v>
      </c>
    </row>
    <row r="282" spans="1:5" hidden="1" x14ac:dyDescent="0.35">
      <c r="A282">
        <v>2024</v>
      </c>
      <c r="B282">
        <v>5</v>
      </c>
      <c r="C282">
        <v>57.5</v>
      </c>
      <c r="D282">
        <f t="shared" si="8"/>
        <v>2</v>
      </c>
      <c r="E282" t="str">
        <f t="shared" si="9"/>
        <v>No aplica</v>
      </c>
    </row>
    <row r="283" spans="1:5" x14ac:dyDescent="0.35">
      <c r="A283">
        <v>2024</v>
      </c>
      <c r="B283">
        <v>6</v>
      </c>
      <c r="C283">
        <v>57.16</v>
      </c>
      <c r="D283">
        <f t="shared" si="8"/>
        <v>2</v>
      </c>
      <c r="E283">
        <f t="shared" si="9"/>
        <v>2</v>
      </c>
    </row>
    <row r="284" spans="1:5" hidden="1" x14ac:dyDescent="0.35">
      <c r="A284">
        <v>2024</v>
      </c>
      <c r="B284">
        <v>7</v>
      </c>
      <c r="C284">
        <v>57.8</v>
      </c>
      <c r="D284">
        <f t="shared" si="8"/>
        <v>3</v>
      </c>
      <c r="E284" t="str">
        <f t="shared" si="9"/>
        <v>No aplica</v>
      </c>
    </row>
    <row r="285" spans="1:5" hidden="1" x14ac:dyDescent="0.35">
      <c r="A285">
        <v>2024</v>
      </c>
      <c r="B285">
        <v>8</v>
      </c>
      <c r="C285">
        <v>58.27</v>
      </c>
      <c r="D285">
        <f t="shared" si="8"/>
        <v>3</v>
      </c>
      <c r="E285" t="str">
        <f t="shared" si="9"/>
        <v>No aplica</v>
      </c>
    </row>
  </sheetData>
  <autoFilter ref="A1:E285" xr:uid="{F38A29D8-9404-4C33-BE44-6ED9FA433FCE}">
    <filterColumn colId="4">
      <filters>
        <filter val="1"/>
        <filter val="2"/>
        <filter val="3"/>
        <filter val="4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9364-E41C-43F1-AE6C-316126D13331}">
  <dimension ref="A1:B4"/>
  <sheetViews>
    <sheetView workbookViewId="0">
      <selection activeCell="B5" sqref="B5"/>
    </sheetView>
  </sheetViews>
  <sheetFormatPr baseColWidth="10" defaultRowHeight="14.5" x14ac:dyDescent="0.35"/>
  <sheetData>
    <row r="1" spans="1:2" x14ac:dyDescent="0.35">
      <c r="A1">
        <v>1</v>
      </c>
      <c r="B1">
        <v>3</v>
      </c>
    </row>
    <row r="2" spans="1:2" x14ac:dyDescent="0.35">
      <c r="A2">
        <v>2</v>
      </c>
      <c r="B2">
        <v>6</v>
      </c>
    </row>
    <row r="3" spans="1:2" x14ac:dyDescent="0.35">
      <c r="A3">
        <v>3</v>
      </c>
      <c r="B3">
        <v>9</v>
      </c>
    </row>
    <row r="4" spans="1:2" x14ac:dyDescent="0.35">
      <c r="A4">
        <v>4</v>
      </c>
      <c r="B4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77C8-9D50-4717-AAFF-2B884143A846}">
  <dimension ref="A1:D32"/>
  <sheetViews>
    <sheetView workbookViewId="0">
      <selection activeCell="B3" sqref="B3"/>
    </sheetView>
  </sheetViews>
  <sheetFormatPr baseColWidth="10" defaultRowHeight="14.5" x14ac:dyDescent="0.35"/>
  <cols>
    <col min="2" max="2" width="13.54296875" bestFit="1" customWidth="1"/>
    <col min="4" max="4" width="15.08984375" bestFit="1" customWidth="1"/>
  </cols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>
        <v>1993</v>
      </c>
      <c r="B2" s="1">
        <v>35032308</v>
      </c>
    </row>
    <row r="3" spans="1:4" x14ac:dyDescent="0.35">
      <c r="A3">
        <v>1994</v>
      </c>
      <c r="B3" s="1">
        <v>35629174</v>
      </c>
      <c r="C3" s="3">
        <f>+B3/B2-1</f>
        <v>1.7037587132426424E-2</v>
      </c>
      <c r="D3" s="3">
        <f t="shared" ref="D3:D32" si="0">+(1+C3)^(1/4)-1</f>
        <v>4.2324504293476117E-3</v>
      </c>
    </row>
    <row r="4" spans="1:4" x14ac:dyDescent="0.35">
      <c r="A4">
        <v>1995</v>
      </c>
      <c r="B4" s="1">
        <v>36229830</v>
      </c>
      <c r="C4" s="3">
        <f t="shared" ref="C4:C32" si="1">+B4/B3-1</f>
        <v>1.6858544068408587E-2</v>
      </c>
      <c r="D4" s="3">
        <f t="shared" si="0"/>
        <v>4.1882503112280478E-3</v>
      </c>
    </row>
    <row r="5" spans="1:4" x14ac:dyDescent="0.35">
      <c r="A5">
        <v>1996</v>
      </c>
      <c r="B5" s="1">
        <v>36830574</v>
      </c>
      <c r="C5" s="3">
        <f t="shared" si="1"/>
        <v>1.6581474436948795E-2</v>
      </c>
      <c r="D5" s="3">
        <f t="shared" si="0"/>
        <v>4.1198390007974872E-3</v>
      </c>
    </row>
    <row r="6" spans="1:4" x14ac:dyDescent="0.35">
      <c r="A6">
        <v>1997</v>
      </c>
      <c r="B6" s="1">
        <v>37426532</v>
      </c>
      <c r="C6" s="3">
        <f t="shared" si="1"/>
        <v>1.618106739254177E-2</v>
      </c>
      <c r="D6" s="3">
        <f t="shared" si="0"/>
        <v>4.0209497169820807E-3</v>
      </c>
    </row>
    <row r="7" spans="1:4" x14ac:dyDescent="0.35">
      <c r="A7">
        <v>1998</v>
      </c>
      <c r="B7" s="1">
        <v>38012359</v>
      </c>
      <c r="C7" s="3">
        <f t="shared" si="1"/>
        <v>1.5652719306186391E-2</v>
      </c>
      <c r="D7" s="3">
        <f t="shared" si="0"/>
        <v>3.8904178597514161E-3</v>
      </c>
    </row>
    <row r="8" spans="1:4" x14ac:dyDescent="0.35">
      <c r="A8">
        <v>1999</v>
      </c>
      <c r="B8" s="1">
        <v>38585016</v>
      </c>
      <c r="C8" s="3">
        <f t="shared" si="1"/>
        <v>1.5065021352660635E-2</v>
      </c>
      <c r="D8" s="3">
        <f t="shared" si="0"/>
        <v>3.7451633852150223E-3</v>
      </c>
    </row>
    <row r="9" spans="1:4" x14ac:dyDescent="0.35">
      <c r="A9">
        <v>2000</v>
      </c>
      <c r="B9" s="1">
        <v>39140080</v>
      </c>
      <c r="C9" s="3">
        <f t="shared" si="1"/>
        <v>1.4385480622840729E-2</v>
      </c>
      <c r="D9" s="3">
        <f t="shared" si="0"/>
        <v>3.577130547869567E-3</v>
      </c>
    </row>
    <row r="10" spans="1:4" x14ac:dyDescent="0.35">
      <c r="A10">
        <v>2001</v>
      </c>
      <c r="B10" s="1">
        <v>39674811</v>
      </c>
      <c r="C10" s="3">
        <f t="shared" si="1"/>
        <v>1.3661980251445494E-2</v>
      </c>
      <c r="D10" s="3">
        <f t="shared" si="0"/>
        <v>3.3981348098961472E-3</v>
      </c>
    </row>
    <row r="11" spans="1:4" x14ac:dyDescent="0.35">
      <c r="A11">
        <v>2002</v>
      </c>
      <c r="B11" s="1">
        <v>40190679</v>
      </c>
      <c r="C11" s="3">
        <f t="shared" si="1"/>
        <v>1.3002405984996468E-2</v>
      </c>
      <c r="D11" s="3">
        <f t="shared" si="0"/>
        <v>3.2348710320284635E-3</v>
      </c>
    </row>
    <row r="12" spans="1:4" x14ac:dyDescent="0.35">
      <c r="A12">
        <v>2003</v>
      </c>
      <c r="B12" s="1">
        <v>40693254</v>
      </c>
      <c r="C12" s="3">
        <f t="shared" si="1"/>
        <v>1.2504765097399728E-2</v>
      </c>
      <c r="D12" s="3">
        <f t="shared" si="0"/>
        <v>3.1116376894717579E-3</v>
      </c>
    </row>
    <row r="13" spans="1:4" x14ac:dyDescent="0.35">
      <c r="A13">
        <v>2004</v>
      </c>
      <c r="B13" s="1">
        <v>41188093</v>
      </c>
      <c r="C13" s="3">
        <f t="shared" si="1"/>
        <v>1.2160221937523197E-2</v>
      </c>
      <c r="D13" s="3">
        <f t="shared" si="0"/>
        <v>3.0262900996889108E-3</v>
      </c>
    </row>
    <row r="14" spans="1:4" x14ac:dyDescent="0.35">
      <c r="A14">
        <v>2005</v>
      </c>
      <c r="B14" s="1">
        <v>41671878</v>
      </c>
      <c r="C14" s="3">
        <f t="shared" si="1"/>
        <v>1.1745748947395995E-2</v>
      </c>
      <c r="D14" s="3">
        <f t="shared" si="0"/>
        <v>2.9235911516913848E-3</v>
      </c>
    </row>
    <row r="15" spans="1:4" x14ac:dyDescent="0.35">
      <c r="A15">
        <v>2006</v>
      </c>
      <c r="B15" s="1">
        <v>42170126</v>
      </c>
      <c r="C15" s="3">
        <f t="shared" si="1"/>
        <v>1.1956456582062458E-2</v>
      </c>
      <c r="D15" s="3">
        <f t="shared" si="0"/>
        <v>2.9758046539234417E-3</v>
      </c>
    </row>
    <row r="16" spans="1:4" x14ac:dyDescent="0.35">
      <c r="A16">
        <v>2007</v>
      </c>
      <c r="B16" s="1">
        <v>42658630</v>
      </c>
      <c r="C16" s="3">
        <f t="shared" si="1"/>
        <v>1.1584124742714863E-2</v>
      </c>
      <c r="D16" s="3">
        <f t="shared" si="0"/>
        <v>2.8835350310389973E-3</v>
      </c>
    </row>
    <row r="17" spans="1:4" x14ac:dyDescent="0.35">
      <c r="A17">
        <v>2008</v>
      </c>
      <c r="B17" s="1">
        <v>43134017</v>
      </c>
      <c r="C17" s="3">
        <f t="shared" si="1"/>
        <v>1.1143981885963106E-2</v>
      </c>
      <c r="D17" s="3">
        <f t="shared" si="0"/>
        <v>2.7744279251888937E-3</v>
      </c>
    </row>
    <row r="18" spans="1:4" x14ac:dyDescent="0.35">
      <c r="A18">
        <v>2009</v>
      </c>
      <c r="B18" s="1">
        <v>43608630</v>
      </c>
      <c r="C18" s="3">
        <f t="shared" si="1"/>
        <v>1.1003218179285179E-2</v>
      </c>
      <c r="D18" s="3">
        <f t="shared" si="0"/>
        <v>2.739526462719688E-3</v>
      </c>
    </row>
    <row r="19" spans="1:4" x14ac:dyDescent="0.35">
      <c r="A19">
        <v>2010</v>
      </c>
      <c r="B19" s="1">
        <v>44086292</v>
      </c>
      <c r="C19" s="3">
        <f t="shared" si="1"/>
        <v>1.0953382392430155E-2</v>
      </c>
      <c r="D19" s="3">
        <f t="shared" si="0"/>
        <v>2.7271691239447726E-3</v>
      </c>
    </row>
    <row r="20" spans="1:4" x14ac:dyDescent="0.35">
      <c r="A20">
        <v>2011</v>
      </c>
      <c r="B20" s="1">
        <v>44553416</v>
      </c>
      <c r="C20" s="3">
        <f t="shared" si="1"/>
        <v>1.0595674501271191E-2</v>
      </c>
      <c r="D20" s="3">
        <f t="shared" si="0"/>
        <v>2.6384580543230562E-3</v>
      </c>
    </row>
    <row r="21" spans="1:4" x14ac:dyDescent="0.35">
      <c r="A21">
        <v>2012</v>
      </c>
      <c r="B21" s="1">
        <v>45001571</v>
      </c>
      <c r="C21" s="3">
        <f t="shared" si="1"/>
        <v>1.0058824670144295E-2</v>
      </c>
      <c r="D21" s="3">
        <f t="shared" si="0"/>
        <v>2.5052758231323136E-3</v>
      </c>
    </row>
    <row r="22" spans="1:4" x14ac:dyDescent="0.35">
      <c r="A22">
        <v>2013</v>
      </c>
      <c r="B22" s="1">
        <v>45434942</v>
      </c>
      <c r="C22" s="3">
        <f t="shared" si="1"/>
        <v>9.6301304681118971E-3</v>
      </c>
      <c r="D22" s="3">
        <f t="shared" si="0"/>
        <v>2.3988868170343736E-3</v>
      </c>
    </row>
    <row r="23" spans="1:4" x14ac:dyDescent="0.35">
      <c r="A23">
        <v>2014</v>
      </c>
      <c r="B23" s="1">
        <v>45866010</v>
      </c>
      <c r="C23" s="3">
        <f t="shared" si="1"/>
        <v>9.4875877689026833E-3</v>
      </c>
      <c r="D23" s="3">
        <f t="shared" si="0"/>
        <v>2.3635045012344591E-3</v>
      </c>
    </row>
    <row r="24" spans="1:4" x14ac:dyDescent="0.35">
      <c r="A24">
        <v>2015</v>
      </c>
      <c r="B24" s="1">
        <v>46313898</v>
      </c>
      <c r="C24" s="3">
        <f t="shared" si="1"/>
        <v>9.7651398061440187E-3</v>
      </c>
      <c r="D24" s="3">
        <f t="shared" si="0"/>
        <v>2.4323957279301922E-3</v>
      </c>
    </row>
    <row r="25" spans="1:4" x14ac:dyDescent="0.35">
      <c r="A25">
        <v>2016</v>
      </c>
      <c r="B25" s="1">
        <v>46830116</v>
      </c>
      <c r="C25" s="3">
        <f t="shared" si="1"/>
        <v>1.1146071099435328E-2</v>
      </c>
      <c r="D25" s="3">
        <f t="shared" si="0"/>
        <v>2.7749459048878045E-3</v>
      </c>
    </row>
    <row r="26" spans="1:4" x14ac:dyDescent="0.35">
      <c r="A26">
        <v>2017</v>
      </c>
      <c r="B26" s="1">
        <v>47419200</v>
      </c>
      <c r="C26" s="3">
        <f t="shared" si="1"/>
        <v>1.257917020747934E-2</v>
      </c>
      <c r="D26" s="3">
        <f t="shared" si="0"/>
        <v>3.1300658928985481E-3</v>
      </c>
    </row>
    <row r="27" spans="1:4" x14ac:dyDescent="0.35">
      <c r="A27">
        <v>2018</v>
      </c>
      <c r="B27" s="1">
        <v>48258494</v>
      </c>
      <c r="C27" s="3">
        <f t="shared" si="1"/>
        <v>1.7699455073050485E-2</v>
      </c>
      <c r="D27" s="3">
        <f t="shared" si="0"/>
        <v>4.3957942246577453E-3</v>
      </c>
    </row>
    <row r="28" spans="1:4" x14ac:dyDescent="0.35">
      <c r="A28">
        <v>2019</v>
      </c>
      <c r="B28" s="1">
        <v>49395678</v>
      </c>
      <c r="C28" s="3">
        <f t="shared" si="1"/>
        <v>2.3564431994085755E-2</v>
      </c>
      <c r="D28" s="3">
        <f t="shared" si="0"/>
        <v>5.8397544579957827E-3</v>
      </c>
    </row>
    <row r="29" spans="1:4" x14ac:dyDescent="0.35">
      <c r="A29">
        <v>2020</v>
      </c>
      <c r="B29" s="1">
        <v>50407647</v>
      </c>
      <c r="C29" s="3">
        <f t="shared" si="1"/>
        <v>2.0486994833839534E-2</v>
      </c>
      <c r="D29" s="3">
        <f t="shared" si="0"/>
        <v>5.082863964112283E-3</v>
      </c>
    </row>
    <row r="30" spans="1:4" x14ac:dyDescent="0.35">
      <c r="A30">
        <v>2021</v>
      </c>
      <c r="B30" s="1">
        <v>51117378</v>
      </c>
      <c r="C30" s="3">
        <f t="shared" si="1"/>
        <v>1.4079828007048212E-2</v>
      </c>
      <c r="D30" s="3">
        <f t="shared" si="0"/>
        <v>3.501523037808596E-3</v>
      </c>
    </row>
    <row r="31" spans="1:4" x14ac:dyDescent="0.35">
      <c r="A31">
        <v>2022</v>
      </c>
      <c r="B31" s="1">
        <v>51682692</v>
      </c>
      <c r="C31" s="3">
        <f>+B31/B30-1</f>
        <v>1.1059135310109269E-2</v>
      </c>
      <c r="D31" s="3">
        <f t="shared" si="0"/>
        <v>2.7533911946451273E-3</v>
      </c>
    </row>
    <row r="32" spans="1:4" x14ac:dyDescent="0.35">
      <c r="A32">
        <v>2023</v>
      </c>
      <c r="B32" s="1">
        <v>52215503</v>
      </c>
      <c r="C32" s="3">
        <f t="shared" si="1"/>
        <v>1.0309273363701799E-2</v>
      </c>
      <c r="D32" s="3">
        <f t="shared" si="0"/>
        <v>2.5674139848055333E-3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Data_base</vt:lpstr>
      <vt:lpstr>FBC</vt:lpstr>
      <vt:lpstr>Hoja2</vt:lpstr>
      <vt:lpstr>Months</vt:lpstr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Pinilla Barrera</dc:creator>
  <cp:lastModifiedBy>Alejandro Pinilla Barrera</cp:lastModifiedBy>
  <dcterms:created xsi:type="dcterms:W3CDTF">2024-05-16T04:42:39Z</dcterms:created>
  <dcterms:modified xsi:type="dcterms:W3CDTF">2024-10-28T23:19:52Z</dcterms:modified>
</cp:coreProperties>
</file>