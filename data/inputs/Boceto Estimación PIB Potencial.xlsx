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 (4)\Coyuntura Económica (Grupo)\PIB Potencial\"/>
    </mc:Choice>
  </mc:AlternateContent>
  <xr:revisionPtr revIDLastSave="0" documentId="13_ncr:1_{1094238E-3F5E-4869-AC5B-5C9975B64220}" xr6:coauthVersionLast="47" xr6:coauthVersionMax="47" xr10:uidLastSave="{00000000-0000-0000-0000-000000000000}"/>
  <bookViews>
    <workbookView xWindow="-28920" yWindow="-120" windowWidth="29040" windowHeight="15720" xr2:uid="{2FF5107F-A3DD-446E-94A5-C318AAA985C0}"/>
  </bookViews>
  <sheets>
    <sheet name="Sheet1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M5" i="1" l="1" a="1"/>
  <c r="BN6" i="1"/>
  <c r="BO6" i="1"/>
  <c r="BN7" i="1"/>
  <c r="BO7" i="1"/>
  <c r="BN8" i="1"/>
  <c r="BO8" i="1"/>
  <c r="BN9" i="1"/>
  <c r="BO9" i="1"/>
  <c r="BN10" i="1"/>
  <c r="BO10" i="1"/>
  <c r="BN11" i="1"/>
  <c r="BO11" i="1"/>
  <c r="BN12" i="1"/>
  <c r="BO12" i="1"/>
  <c r="BN13" i="1"/>
  <c r="BO13" i="1"/>
  <c r="BN14" i="1"/>
  <c r="BO14" i="1"/>
  <c r="BN15" i="1"/>
  <c r="BO15" i="1"/>
  <c r="BN16" i="1"/>
  <c r="BO16" i="1"/>
  <c r="BN17" i="1"/>
  <c r="BO17" i="1"/>
  <c r="BN18" i="1"/>
  <c r="BO18" i="1"/>
  <c r="BN19" i="1"/>
  <c r="BO19" i="1"/>
  <c r="BN20" i="1"/>
  <c r="BO20" i="1"/>
  <c r="BN21" i="1"/>
  <c r="BO21" i="1"/>
  <c r="BN22" i="1"/>
  <c r="BO22" i="1"/>
  <c r="BN23" i="1"/>
  <c r="BO23" i="1"/>
  <c r="BN24" i="1"/>
  <c r="BO24" i="1"/>
  <c r="BN25" i="1"/>
  <c r="BO25" i="1"/>
  <c r="BN26" i="1"/>
  <c r="BO26" i="1"/>
  <c r="BN27" i="1"/>
  <c r="BO27" i="1"/>
  <c r="BN28" i="1"/>
  <c r="BO28" i="1"/>
  <c r="BN29" i="1"/>
  <c r="BO29" i="1"/>
  <c r="BN30" i="1"/>
  <c r="BO30" i="1"/>
  <c r="BN31" i="1"/>
  <c r="BO31" i="1"/>
  <c r="BN32" i="1"/>
  <c r="BO32" i="1"/>
  <c r="BN33" i="1"/>
  <c r="BO33" i="1"/>
  <c r="BN34" i="1"/>
  <c r="BO34" i="1"/>
  <c r="BN35" i="1"/>
  <c r="BO35" i="1"/>
  <c r="BN36" i="1"/>
  <c r="BO36" i="1"/>
  <c r="BN37" i="1"/>
  <c r="BO37" i="1"/>
  <c r="BN38" i="1"/>
  <c r="BO38" i="1"/>
  <c r="BN39" i="1"/>
  <c r="BO39" i="1"/>
  <c r="BN40" i="1"/>
  <c r="BO40" i="1"/>
  <c r="BN41" i="1"/>
  <c r="BO41" i="1"/>
  <c r="BN42" i="1"/>
  <c r="BO42" i="1"/>
  <c r="BN43" i="1"/>
  <c r="BO43" i="1"/>
  <c r="BN44" i="1"/>
  <c r="BO44" i="1"/>
  <c r="BN45" i="1"/>
  <c r="BO45" i="1"/>
  <c r="BN46" i="1"/>
  <c r="BO46" i="1"/>
  <c r="BN47" i="1"/>
  <c r="BO47" i="1"/>
  <c r="BN48" i="1"/>
  <c r="BO48" i="1"/>
  <c r="BN49" i="1"/>
  <c r="BO49" i="1"/>
  <c r="BN50" i="1"/>
  <c r="BO50" i="1"/>
  <c r="BN51" i="1"/>
  <c r="BO51" i="1"/>
  <c r="BN52" i="1"/>
  <c r="BO52" i="1"/>
  <c r="BN53" i="1"/>
  <c r="BO53" i="1"/>
  <c r="BN54" i="1"/>
  <c r="BO54" i="1"/>
  <c r="BN55" i="1"/>
  <c r="BO55" i="1"/>
  <c r="BN56" i="1"/>
  <c r="BO56" i="1"/>
  <c r="BN57" i="1"/>
  <c r="BO57" i="1"/>
  <c r="BN58" i="1"/>
  <c r="BO58" i="1"/>
  <c r="BN59" i="1"/>
  <c r="BO59" i="1"/>
  <c r="BN60" i="1"/>
  <c r="BO60" i="1"/>
  <c r="BN61" i="1"/>
  <c r="BO61" i="1"/>
  <c r="BN62" i="1"/>
  <c r="BO62" i="1"/>
  <c r="BN63" i="1"/>
  <c r="BO63" i="1"/>
  <c r="BN64" i="1"/>
  <c r="BO64" i="1"/>
  <c r="BN65" i="1"/>
  <c r="BO65" i="1"/>
  <c r="BN66" i="1"/>
  <c r="BO66" i="1"/>
  <c r="BN67" i="1"/>
  <c r="BO67" i="1"/>
  <c r="BN68" i="1"/>
  <c r="BO68" i="1"/>
  <c r="BN69" i="1"/>
  <c r="BO69" i="1"/>
  <c r="BN70" i="1"/>
  <c r="BO70" i="1"/>
  <c r="BN71" i="1"/>
  <c r="BO71" i="1"/>
  <c r="BN72" i="1"/>
  <c r="BO72" i="1"/>
  <c r="BN73" i="1"/>
  <c r="BO73" i="1"/>
  <c r="BN74" i="1"/>
  <c r="BO74" i="1"/>
  <c r="BN75" i="1"/>
  <c r="BO75" i="1"/>
  <c r="BN76" i="1"/>
  <c r="BO76" i="1"/>
  <c r="BN77" i="1"/>
  <c r="BO77" i="1"/>
  <c r="BN78" i="1"/>
  <c r="BO78" i="1"/>
  <c r="BN79" i="1"/>
  <c r="BO79" i="1"/>
  <c r="BN80" i="1"/>
  <c r="BO80" i="1"/>
  <c r="BN81" i="1"/>
  <c r="BO81" i="1"/>
  <c r="BN82" i="1"/>
  <c r="BO82" i="1"/>
  <c r="BN83" i="1"/>
  <c r="BO83" i="1"/>
  <c r="BN84" i="1"/>
  <c r="BO84" i="1"/>
  <c r="BN85" i="1"/>
  <c r="BO85" i="1"/>
  <c r="BN86" i="1"/>
  <c r="BO86" i="1"/>
  <c r="BN87" i="1"/>
  <c r="BO87" i="1"/>
  <c r="BN88" i="1"/>
  <c r="BO88" i="1"/>
  <c r="BN89" i="1"/>
  <c r="BO89" i="1"/>
  <c r="BN90" i="1"/>
  <c r="BO90" i="1"/>
  <c r="BN91" i="1"/>
  <c r="BO91" i="1"/>
  <c r="BN92" i="1"/>
  <c r="BO92" i="1"/>
  <c r="BN93" i="1"/>
  <c r="BO93" i="1"/>
  <c r="BN94" i="1"/>
  <c r="BO94" i="1"/>
  <c r="BN95" i="1"/>
  <c r="BO95" i="1"/>
  <c r="BN96" i="1"/>
  <c r="BO96" i="1"/>
  <c r="BN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5" i="1"/>
  <c r="AJ6" i="1"/>
  <c r="AV5" i="1"/>
  <c r="AU7" i="1"/>
  <c r="AU6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5" i="1"/>
  <c r="V93" i="1"/>
  <c r="V94" i="1"/>
  <c r="V95" i="1"/>
  <c r="V96" i="1"/>
  <c r="AP5" i="1"/>
  <c r="BF98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5" i="1"/>
  <c r="AO9" i="1"/>
  <c r="X6" i="1"/>
  <c r="BA5" i="1"/>
  <c r="AJ5" i="1"/>
  <c r="N5" i="1"/>
  <c r="H5" i="1"/>
  <c r="AE97" i="1"/>
  <c r="AE98" i="1"/>
  <c r="AO8" i="1"/>
  <c r="AO7" i="1"/>
  <c r="AO6" i="1"/>
  <c r="AO5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H5" i="1"/>
  <c r="D283" i="1" a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J5" i="1"/>
  <c r="I5" i="1"/>
  <c r="U5" i="1" a="1"/>
  <c r="R6" i="1"/>
  <c r="Q6" i="1"/>
  <c r="S5" i="1"/>
  <c r="C6" i="1"/>
  <c r="B6" i="1"/>
  <c r="D5" i="1"/>
  <c r="BM5" i="1" l="1"/>
  <c r="BO5" i="1" s="1"/>
  <c r="AK5" i="1"/>
  <c r="AK6" i="1"/>
  <c r="BL5" i="1" a="1"/>
  <c r="BK5" i="1" a="1"/>
  <c r="AP6" i="1"/>
  <c r="V6" i="1"/>
  <c r="V7" i="1"/>
  <c r="V8" i="1"/>
  <c r="V9" i="1"/>
  <c r="V10" i="1"/>
  <c r="V11" i="1"/>
  <c r="V12" i="1"/>
  <c r="V13" i="1"/>
  <c r="V14" i="1"/>
  <c r="V15" i="1"/>
  <c r="V16" i="1"/>
  <c r="V17" i="1"/>
  <c r="V19" i="1"/>
  <c r="V21" i="1"/>
  <c r="V23" i="1"/>
  <c r="V24" i="1"/>
  <c r="V25" i="1"/>
  <c r="V27" i="1"/>
  <c r="V30" i="1"/>
  <c r="V34" i="1"/>
  <c r="V37" i="1"/>
  <c r="V40" i="1"/>
  <c r="V43" i="1"/>
  <c r="V46" i="1"/>
  <c r="V50" i="1"/>
  <c r="V52" i="1"/>
  <c r="V56" i="1"/>
  <c r="V58" i="1"/>
  <c r="V62" i="1"/>
  <c r="V65" i="1"/>
  <c r="V68" i="1"/>
  <c r="V71" i="1"/>
  <c r="V75" i="1"/>
  <c r="V79" i="1"/>
  <c r="V84" i="1"/>
  <c r="V87" i="1"/>
  <c r="V91" i="1"/>
  <c r="V18" i="1"/>
  <c r="V28" i="1"/>
  <c r="V32" i="1"/>
  <c r="V38" i="1"/>
  <c r="V41" i="1"/>
  <c r="V44" i="1"/>
  <c r="V47" i="1"/>
  <c r="V49" i="1"/>
  <c r="V54" i="1"/>
  <c r="V57" i="1"/>
  <c r="V60" i="1"/>
  <c r="V63" i="1"/>
  <c r="V67" i="1"/>
  <c r="V69" i="1"/>
  <c r="V72" i="1"/>
  <c r="V77" i="1"/>
  <c r="V81" i="1"/>
  <c r="V85" i="1"/>
  <c r="V89" i="1"/>
  <c r="V20" i="1"/>
  <c r="V26" i="1"/>
  <c r="V29" i="1"/>
  <c r="V31" i="1"/>
  <c r="V36" i="1"/>
  <c r="V39" i="1"/>
  <c r="V42" i="1"/>
  <c r="V45" i="1"/>
  <c r="V48" i="1"/>
  <c r="V51" i="1"/>
  <c r="V53" i="1"/>
  <c r="V55" i="1"/>
  <c r="V59" i="1"/>
  <c r="V61" i="1"/>
  <c r="V64" i="1"/>
  <c r="V66" i="1"/>
  <c r="V70" i="1"/>
  <c r="V74" i="1"/>
  <c r="V78" i="1"/>
  <c r="V82" i="1"/>
  <c r="V86" i="1"/>
  <c r="V90" i="1"/>
  <c r="V22" i="1"/>
  <c r="V33" i="1"/>
  <c r="V35" i="1"/>
  <c r="V76" i="1"/>
  <c r="V80" i="1"/>
  <c r="V83" i="1"/>
  <c r="V88" i="1"/>
  <c r="V92" i="1"/>
  <c r="V73" i="1"/>
  <c r="AQ5" i="1"/>
  <c r="N6" i="1"/>
  <c r="H6" i="1"/>
  <c r="D283" i="1"/>
  <c r="BC6" i="1"/>
  <c r="BC7" i="1"/>
  <c r="BC8" i="1"/>
  <c r="BC9" i="1"/>
  <c r="BC10" i="1"/>
  <c r="BC11" i="1"/>
  <c r="BC12" i="1"/>
  <c r="BC13" i="1"/>
  <c r="BC60" i="1"/>
  <c r="BC70" i="1"/>
  <c r="BC75" i="1"/>
  <c r="BC79" i="1"/>
  <c r="BC65" i="1"/>
  <c r="BC69" i="1"/>
  <c r="BC77" i="1"/>
  <c r="BC84" i="1"/>
  <c r="BC5" i="1"/>
  <c r="BC64" i="1"/>
  <c r="BC67" i="1"/>
  <c r="BC83" i="1"/>
  <c r="BC89" i="1"/>
  <c r="BC96" i="1"/>
  <c r="BC56" i="1"/>
  <c r="BC58" i="1"/>
  <c r="BC73" i="1"/>
  <c r="BC78" i="1"/>
  <c r="BC81" i="1"/>
  <c r="BC85" i="1"/>
  <c r="BC72" i="1"/>
  <c r="BC59" i="1"/>
  <c r="BC74" i="1"/>
  <c r="BC88" i="1"/>
  <c r="BC63" i="1"/>
  <c r="BC76" i="1"/>
  <c r="BC94" i="1"/>
  <c r="BC57" i="1"/>
  <c r="BC71" i="1"/>
  <c r="BC86" i="1"/>
  <c r="BC55" i="1"/>
  <c r="BC61" i="1"/>
  <c r="BC66" i="1"/>
  <c r="BC80" i="1"/>
  <c r="BC62" i="1"/>
  <c r="BC87" i="1"/>
  <c r="BC95" i="1"/>
  <c r="BC68" i="1"/>
  <c r="BC82" i="1"/>
  <c r="BC34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36" i="1"/>
  <c r="BC35" i="1"/>
  <c r="AH6" i="1"/>
  <c r="AI6" i="1" s="1"/>
  <c r="J6" i="1"/>
  <c r="U5" i="1"/>
  <c r="V5" i="1" s="1"/>
  <c r="Q7" i="1"/>
  <c r="AP7" i="1" s="1"/>
  <c r="R7" i="1"/>
  <c r="S6" i="1"/>
  <c r="F5" i="1"/>
  <c r="E5" i="1"/>
  <c r="B7" i="1"/>
  <c r="C7" i="1"/>
  <c r="D6" i="1"/>
  <c r="I6" i="1"/>
  <c r="BL5" i="1" l="1"/>
  <c r="BK5" i="1"/>
  <c r="J7" i="1"/>
  <c r="N7" i="1"/>
  <c r="BC32" i="1"/>
  <c r="BC19" i="1"/>
  <c r="BC28" i="1"/>
  <c r="BC52" i="1"/>
  <c r="BC21" i="1"/>
  <c r="BC27" i="1"/>
  <c r="BC53" i="1"/>
  <c r="BC54" i="1"/>
  <c r="BC31" i="1"/>
  <c r="BC14" i="1"/>
  <c r="BC20" i="1"/>
  <c r="BC24" i="1"/>
  <c r="D421" i="1"/>
  <c r="L245" i="1" s="1"/>
  <c r="BC17" i="1"/>
  <c r="BC16" i="1"/>
  <c r="BC18" i="1"/>
  <c r="D422" i="1"/>
  <c r="L257" i="1" s="1"/>
  <c r="D423" i="1"/>
  <c r="L269" i="1" s="1"/>
  <c r="AH7" i="1"/>
  <c r="AI7" i="1" s="1"/>
  <c r="BC92" i="1"/>
  <c r="BD8" i="1"/>
  <c r="BD12" i="1"/>
  <c r="BD30" i="1"/>
  <c r="BD9" i="1"/>
  <c r="BC33" i="1"/>
  <c r="BD28" i="1"/>
  <c r="BD33" i="1"/>
  <c r="BD32" i="1"/>
  <c r="BC90" i="1"/>
  <c r="BC91" i="1"/>
  <c r="BC93" i="1"/>
  <c r="BD7" i="1"/>
  <c r="BD6" i="1"/>
  <c r="BC22" i="1"/>
  <c r="BC23" i="1"/>
  <c r="BC25" i="1"/>
  <c r="BC26" i="1"/>
  <c r="BC29" i="1"/>
  <c r="BC30" i="1"/>
  <c r="BD23" i="1"/>
  <c r="BD82" i="1"/>
  <c r="BD10" i="1"/>
  <c r="BD11" i="1"/>
  <c r="BD13" i="1"/>
  <c r="BD14" i="1"/>
  <c r="BD15" i="1"/>
  <c r="BD16" i="1"/>
  <c r="BD17" i="1"/>
  <c r="BD18" i="1"/>
  <c r="BD19" i="1"/>
  <c r="BD20" i="1"/>
  <c r="BD21" i="1"/>
  <c r="BD22" i="1"/>
  <c r="BD24" i="1"/>
  <c r="BD27" i="1"/>
  <c r="BD29" i="1"/>
  <c r="BD31" i="1"/>
  <c r="BD34" i="1"/>
  <c r="BC15" i="1"/>
  <c r="BD25" i="1"/>
  <c r="BD26" i="1"/>
  <c r="BD46" i="1"/>
  <c r="BD35" i="1"/>
  <c r="BD36" i="1"/>
  <c r="BD37" i="1"/>
  <c r="BD38" i="1"/>
  <c r="BD39" i="1"/>
  <c r="BD42" i="1"/>
  <c r="BD43" i="1"/>
  <c r="BD45" i="1"/>
  <c r="BD49" i="1"/>
  <c r="BD50" i="1"/>
  <c r="BD52" i="1"/>
  <c r="BD54" i="1"/>
  <c r="BD57" i="1"/>
  <c r="BD58" i="1"/>
  <c r="BD64" i="1"/>
  <c r="BD72" i="1"/>
  <c r="BD80" i="1"/>
  <c r="BD88" i="1"/>
  <c r="BD93" i="1"/>
  <c r="BD53" i="1"/>
  <c r="BD59" i="1"/>
  <c r="BD65" i="1"/>
  <c r="BD76" i="1"/>
  <c r="BD87" i="1"/>
  <c r="BD90" i="1"/>
  <c r="BD51" i="1"/>
  <c r="BD48" i="1"/>
  <c r="BD96" i="1"/>
  <c r="BD5" i="1"/>
  <c r="BD94" i="1"/>
  <c r="BD47" i="1"/>
  <c r="BD67" i="1"/>
  <c r="BD74" i="1"/>
  <c r="BD83" i="1"/>
  <c r="BD56" i="1"/>
  <c r="BD69" i="1"/>
  <c r="BD73" i="1"/>
  <c r="BD81" i="1"/>
  <c r="BD44" i="1"/>
  <c r="BD71" i="1"/>
  <c r="BD84" i="1"/>
  <c r="BD86" i="1"/>
  <c r="BD62" i="1"/>
  <c r="BD40" i="1"/>
  <c r="BD61" i="1"/>
  <c r="BD78" i="1"/>
  <c r="BD41" i="1"/>
  <c r="BD55" i="1"/>
  <c r="BD60" i="1"/>
  <c r="BD63" i="1"/>
  <c r="BD68" i="1"/>
  <c r="BD70" i="1"/>
  <c r="BD75" i="1"/>
  <c r="BD79" i="1"/>
  <c r="BD85" i="1"/>
  <c r="BD91" i="1"/>
  <c r="BD66" i="1"/>
  <c r="BD77" i="1"/>
  <c r="BD95" i="1"/>
  <c r="BD89" i="1"/>
  <c r="BD92" i="1"/>
  <c r="R8" i="1"/>
  <c r="Q8" i="1"/>
  <c r="AP8" i="1" s="1"/>
  <c r="S7" i="1"/>
  <c r="C8" i="1"/>
  <c r="B8" i="1"/>
  <c r="F6" i="1"/>
  <c r="E6" i="1"/>
  <c r="D7" i="1"/>
  <c r="J8" i="1" l="1"/>
  <c r="N8" i="1"/>
  <c r="AH8" i="1"/>
  <c r="AI8" i="1" s="1"/>
  <c r="R9" i="1"/>
  <c r="D8" i="1"/>
  <c r="Q9" i="1"/>
  <c r="S8" i="1"/>
  <c r="C9" i="1"/>
  <c r="B9" i="1"/>
  <c r="I8" i="1"/>
  <c r="H8" i="1"/>
  <c r="E7" i="1"/>
  <c r="F7" i="1"/>
  <c r="J9" i="1" l="1"/>
  <c r="N9" i="1"/>
  <c r="R10" i="1"/>
  <c r="S9" i="1"/>
  <c r="D9" i="1"/>
  <c r="H7" i="1"/>
  <c r="Q10" i="1"/>
  <c r="E8" i="1"/>
  <c r="F8" i="1"/>
  <c r="C10" i="1"/>
  <c r="B10" i="1"/>
  <c r="H9" i="1"/>
  <c r="I9" i="1"/>
  <c r="I7" i="1"/>
  <c r="J10" i="1" l="1"/>
  <c r="N10" i="1"/>
  <c r="S10" i="1"/>
  <c r="D10" i="1"/>
  <c r="R11" i="1"/>
  <c r="F9" i="1"/>
  <c r="Q11" i="1"/>
  <c r="E9" i="1"/>
  <c r="B11" i="1"/>
  <c r="C11" i="1"/>
  <c r="J11" i="1" l="1"/>
  <c r="N11" i="1"/>
  <c r="R12" i="1"/>
  <c r="F10" i="1"/>
  <c r="E10" i="1"/>
  <c r="Q12" i="1"/>
  <c r="S11" i="1"/>
  <c r="D11" i="1"/>
  <c r="C12" i="1"/>
  <c r="B12" i="1"/>
  <c r="H11" i="1"/>
  <c r="I11" i="1"/>
  <c r="J12" i="1" l="1"/>
  <c r="N12" i="1"/>
  <c r="I10" i="1"/>
  <c r="R13" i="1"/>
  <c r="H10" i="1"/>
  <c r="Q13" i="1"/>
  <c r="S12" i="1"/>
  <c r="E11" i="1"/>
  <c r="D12" i="1"/>
  <c r="F11" i="1"/>
  <c r="C13" i="1"/>
  <c r="B13" i="1"/>
  <c r="I12" i="1"/>
  <c r="H12" i="1"/>
  <c r="J13" i="1" l="1"/>
  <c r="N13" i="1"/>
  <c r="R14" i="1"/>
  <c r="Q14" i="1"/>
  <c r="S13" i="1"/>
  <c r="F12" i="1"/>
  <c r="E12" i="1"/>
  <c r="C14" i="1"/>
  <c r="B14" i="1"/>
  <c r="D13" i="1"/>
  <c r="J14" i="1" l="1"/>
  <c r="N14" i="1"/>
  <c r="R15" i="1"/>
  <c r="S14" i="1"/>
  <c r="Q15" i="1"/>
  <c r="D14" i="1"/>
  <c r="C15" i="1"/>
  <c r="B15" i="1"/>
  <c r="I14" i="1"/>
  <c r="H14" i="1"/>
  <c r="F13" i="1"/>
  <c r="I13" i="1" s="1"/>
  <c r="E13" i="1"/>
  <c r="H13" i="1" s="1"/>
  <c r="J15" i="1" l="1"/>
  <c r="N15" i="1"/>
  <c r="R16" i="1"/>
  <c r="S15" i="1"/>
  <c r="Q16" i="1"/>
  <c r="D15" i="1"/>
  <c r="F14" i="1"/>
  <c r="E14" i="1"/>
  <c r="B16" i="1"/>
  <c r="C16" i="1"/>
  <c r="H15" i="1"/>
  <c r="I15" i="1"/>
  <c r="J16" i="1" l="1"/>
  <c r="N16" i="1"/>
  <c r="R17" i="1"/>
  <c r="Q17" i="1"/>
  <c r="S16" i="1"/>
  <c r="E15" i="1"/>
  <c r="F15" i="1"/>
  <c r="C17" i="1"/>
  <c r="B17" i="1"/>
  <c r="D16" i="1"/>
  <c r="J17" i="1" l="1"/>
  <c r="N17" i="1"/>
  <c r="AH12" i="1"/>
  <c r="AI12" i="1" s="1"/>
  <c r="R18" i="1"/>
  <c r="D17" i="1"/>
  <c r="S17" i="1"/>
  <c r="Q18" i="1"/>
  <c r="C18" i="1"/>
  <c r="B18" i="1"/>
  <c r="H17" i="1"/>
  <c r="I17" i="1"/>
  <c r="E16" i="1"/>
  <c r="H16" i="1" s="1"/>
  <c r="F16" i="1"/>
  <c r="I16" i="1" s="1"/>
  <c r="J18" i="1" l="1"/>
  <c r="N18" i="1"/>
  <c r="R19" i="1"/>
  <c r="E17" i="1"/>
  <c r="F17" i="1"/>
  <c r="Q19" i="1"/>
  <c r="S18" i="1"/>
  <c r="D18" i="1"/>
  <c r="B19" i="1"/>
  <c r="C19" i="1"/>
  <c r="H18" i="1"/>
  <c r="I18" i="1"/>
  <c r="J19" i="1" l="1"/>
  <c r="N19" i="1"/>
  <c r="R20" i="1"/>
  <c r="Q20" i="1"/>
  <c r="S19" i="1"/>
  <c r="E18" i="1"/>
  <c r="F18" i="1"/>
  <c r="C20" i="1"/>
  <c r="B20" i="1"/>
  <c r="D19" i="1"/>
  <c r="J20" i="1" l="1"/>
  <c r="N20" i="1"/>
  <c r="R21" i="1"/>
  <c r="D20" i="1"/>
  <c r="S20" i="1"/>
  <c r="Q21" i="1"/>
  <c r="C21" i="1"/>
  <c r="B21" i="1"/>
  <c r="H20" i="1"/>
  <c r="I20" i="1"/>
  <c r="E19" i="1"/>
  <c r="H19" i="1" s="1"/>
  <c r="F19" i="1"/>
  <c r="I19" i="1" s="1"/>
  <c r="J21" i="1" l="1"/>
  <c r="N21" i="1"/>
  <c r="S21" i="1"/>
  <c r="R22" i="1"/>
  <c r="F20" i="1"/>
  <c r="E20" i="1"/>
  <c r="Q22" i="1"/>
  <c r="D21" i="1"/>
  <c r="C22" i="1"/>
  <c r="B22" i="1"/>
  <c r="H21" i="1"/>
  <c r="I21" i="1"/>
  <c r="J22" i="1" l="1"/>
  <c r="N22" i="1"/>
  <c r="R23" i="1"/>
  <c r="Q23" i="1"/>
  <c r="S22" i="1"/>
  <c r="E21" i="1"/>
  <c r="F21" i="1"/>
  <c r="D22" i="1"/>
  <c r="B23" i="1"/>
  <c r="C23" i="1"/>
  <c r="J23" i="1" l="1"/>
  <c r="N23" i="1"/>
  <c r="R24" i="1"/>
  <c r="Q24" i="1"/>
  <c r="S23" i="1"/>
  <c r="E22" i="1"/>
  <c r="F22" i="1"/>
  <c r="B24" i="1"/>
  <c r="C24" i="1"/>
  <c r="H23" i="1"/>
  <c r="I23" i="1"/>
  <c r="D23" i="1"/>
  <c r="J24" i="1" l="1"/>
  <c r="N24" i="1"/>
  <c r="R25" i="1"/>
  <c r="Q25" i="1"/>
  <c r="S24" i="1"/>
  <c r="I22" i="1"/>
  <c r="H22" i="1"/>
  <c r="B25" i="1"/>
  <c r="C25" i="1"/>
  <c r="H24" i="1"/>
  <c r="I24" i="1"/>
  <c r="F23" i="1"/>
  <c r="E23" i="1"/>
  <c r="D24" i="1"/>
  <c r="J25" i="1" l="1"/>
  <c r="N25" i="1"/>
  <c r="R26" i="1"/>
  <c r="S25" i="1"/>
  <c r="Q26" i="1"/>
  <c r="C26" i="1"/>
  <c r="B26" i="1"/>
  <c r="E24" i="1"/>
  <c r="F24" i="1"/>
  <c r="D25" i="1"/>
  <c r="J26" i="1" l="1"/>
  <c r="N26" i="1"/>
  <c r="R27" i="1"/>
  <c r="S26" i="1"/>
  <c r="Q27" i="1"/>
  <c r="C27" i="1"/>
  <c r="B27" i="1"/>
  <c r="I26" i="1"/>
  <c r="H26" i="1"/>
  <c r="E25" i="1"/>
  <c r="F25" i="1"/>
  <c r="D26" i="1"/>
  <c r="J27" i="1" l="1"/>
  <c r="N27" i="1"/>
  <c r="R28" i="1"/>
  <c r="Q28" i="1"/>
  <c r="S27" i="1"/>
  <c r="D27" i="1"/>
  <c r="H25" i="1"/>
  <c r="C28" i="1"/>
  <c r="B28" i="1"/>
  <c r="I27" i="1"/>
  <c r="H27" i="1"/>
  <c r="F26" i="1"/>
  <c r="E26" i="1"/>
  <c r="I25" i="1"/>
  <c r="J28" i="1" l="1"/>
  <c r="N28" i="1"/>
  <c r="R29" i="1"/>
  <c r="S28" i="1"/>
  <c r="Q29" i="1"/>
  <c r="F27" i="1"/>
  <c r="E27" i="1"/>
  <c r="D28" i="1"/>
  <c r="B29" i="1"/>
  <c r="C29" i="1"/>
  <c r="J29" i="1" l="1"/>
  <c r="N29" i="1"/>
  <c r="R30" i="1"/>
  <c r="S29" i="1"/>
  <c r="Q30" i="1"/>
  <c r="E28" i="1"/>
  <c r="F28" i="1"/>
  <c r="D29" i="1"/>
  <c r="B30" i="1"/>
  <c r="C30" i="1"/>
  <c r="I29" i="1"/>
  <c r="H29" i="1"/>
  <c r="J30" i="1" l="1"/>
  <c r="N30" i="1"/>
  <c r="R31" i="1"/>
  <c r="S30" i="1"/>
  <c r="Q31" i="1"/>
  <c r="E29" i="1"/>
  <c r="F29" i="1"/>
  <c r="I28" i="1"/>
  <c r="H28" i="1"/>
  <c r="D30" i="1"/>
  <c r="B31" i="1"/>
  <c r="C31" i="1"/>
  <c r="I30" i="1"/>
  <c r="H30" i="1"/>
  <c r="J31" i="1" l="1"/>
  <c r="N31" i="1"/>
  <c r="R32" i="1"/>
  <c r="Q32" i="1"/>
  <c r="S31" i="1"/>
  <c r="E30" i="1"/>
  <c r="F30" i="1"/>
  <c r="B32" i="1"/>
  <c r="C32" i="1"/>
  <c r="D31" i="1"/>
  <c r="J32" i="1" l="1"/>
  <c r="N32" i="1"/>
  <c r="R33" i="1"/>
  <c r="S32" i="1"/>
  <c r="Q33" i="1"/>
  <c r="B33" i="1"/>
  <c r="C33" i="1"/>
  <c r="I32" i="1"/>
  <c r="H32" i="1"/>
  <c r="E31" i="1"/>
  <c r="H31" i="1" s="1"/>
  <c r="F31" i="1"/>
  <c r="I31" i="1" s="1"/>
  <c r="D32" i="1"/>
  <c r="J33" i="1" l="1"/>
  <c r="N33" i="1"/>
  <c r="R34" i="1"/>
  <c r="S33" i="1"/>
  <c r="Q34" i="1"/>
  <c r="C34" i="1"/>
  <c r="B34" i="1"/>
  <c r="I33" i="1"/>
  <c r="H33" i="1"/>
  <c r="E32" i="1"/>
  <c r="F32" i="1"/>
  <c r="D33" i="1"/>
  <c r="J34" i="1" l="1"/>
  <c r="N34" i="1"/>
  <c r="R35" i="1"/>
  <c r="S34" i="1"/>
  <c r="Q35" i="1"/>
  <c r="D34" i="1"/>
  <c r="B35" i="1"/>
  <c r="C35" i="1"/>
  <c r="F33" i="1"/>
  <c r="E33" i="1"/>
  <c r="J35" i="1" l="1"/>
  <c r="N35" i="1"/>
  <c r="R36" i="1"/>
  <c r="Q36" i="1"/>
  <c r="S35" i="1"/>
  <c r="F34" i="1"/>
  <c r="E34" i="1"/>
  <c r="D35" i="1"/>
  <c r="C36" i="1"/>
  <c r="B36" i="1"/>
  <c r="H35" i="1"/>
  <c r="I35" i="1"/>
  <c r="J36" i="1" l="1"/>
  <c r="N36" i="1"/>
  <c r="R37" i="1"/>
  <c r="Q37" i="1"/>
  <c r="S36" i="1"/>
  <c r="D36" i="1"/>
  <c r="F35" i="1"/>
  <c r="E35" i="1"/>
  <c r="H34" i="1"/>
  <c r="I34" i="1"/>
  <c r="B37" i="1"/>
  <c r="C37" i="1"/>
  <c r="H36" i="1"/>
  <c r="I36" i="1"/>
  <c r="J37" i="1" l="1"/>
  <c r="N37" i="1"/>
  <c r="R38" i="1"/>
  <c r="Q38" i="1"/>
  <c r="S37" i="1"/>
  <c r="E36" i="1"/>
  <c r="F36" i="1"/>
  <c r="D37" i="1"/>
  <c r="C38" i="1"/>
  <c r="B38" i="1"/>
  <c r="J38" i="1" l="1"/>
  <c r="N38" i="1"/>
  <c r="R39" i="1"/>
  <c r="S38" i="1"/>
  <c r="Q39" i="1"/>
  <c r="E37" i="1"/>
  <c r="D38" i="1"/>
  <c r="F37" i="1"/>
  <c r="B39" i="1"/>
  <c r="C39" i="1"/>
  <c r="I38" i="1"/>
  <c r="H38" i="1"/>
  <c r="J39" i="1" l="1"/>
  <c r="N39" i="1"/>
  <c r="R40" i="1"/>
  <c r="Q40" i="1"/>
  <c r="S39" i="1"/>
  <c r="H37" i="1"/>
  <c r="E38" i="1"/>
  <c r="F38" i="1"/>
  <c r="I37" i="1"/>
  <c r="D39" i="1"/>
  <c r="B40" i="1"/>
  <c r="C40" i="1"/>
  <c r="I39" i="1"/>
  <c r="H39" i="1"/>
  <c r="J40" i="1" l="1"/>
  <c r="N40" i="1"/>
  <c r="R41" i="1"/>
  <c r="Q41" i="1"/>
  <c r="S40" i="1"/>
  <c r="F39" i="1"/>
  <c r="E39" i="1"/>
  <c r="B41" i="1"/>
  <c r="C41" i="1"/>
  <c r="D40" i="1"/>
  <c r="J41" i="1" l="1"/>
  <c r="N41" i="1"/>
  <c r="R42" i="1"/>
  <c r="Q42" i="1"/>
  <c r="S41" i="1"/>
  <c r="B42" i="1"/>
  <c r="C42" i="1"/>
  <c r="I41" i="1"/>
  <c r="H41" i="1"/>
  <c r="F40" i="1"/>
  <c r="I40" i="1" s="1"/>
  <c r="E40" i="1"/>
  <c r="H40" i="1" s="1"/>
  <c r="D41" i="1"/>
  <c r="J42" i="1" l="1"/>
  <c r="N42" i="1"/>
  <c r="S42" i="1"/>
  <c r="Q43" i="1"/>
  <c r="R43" i="1"/>
  <c r="D42" i="1"/>
  <c r="B43" i="1"/>
  <c r="C43" i="1"/>
  <c r="I42" i="1"/>
  <c r="H42" i="1"/>
  <c r="E41" i="1"/>
  <c r="F41" i="1"/>
  <c r="J43" i="1" l="1"/>
  <c r="N43" i="1"/>
  <c r="Q44" i="1"/>
  <c r="R44" i="1"/>
  <c r="S43" i="1"/>
  <c r="E42" i="1"/>
  <c r="F42" i="1"/>
  <c r="B44" i="1"/>
  <c r="C44" i="1"/>
  <c r="D43" i="1"/>
  <c r="J44" i="1" l="1"/>
  <c r="N44" i="1"/>
  <c r="R45" i="1"/>
  <c r="Q45" i="1"/>
  <c r="S44" i="1"/>
  <c r="D44" i="1"/>
  <c r="B45" i="1"/>
  <c r="C45" i="1"/>
  <c r="H44" i="1"/>
  <c r="I44" i="1"/>
  <c r="F43" i="1"/>
  <c r="I43" i="1" s="1"/>
  <c r="E43" i="1"/>
  <c r="H43" i="1" s="1"/>
  <c r="J45" i="1" l="1"/>
  <c r="N45" i="1"/>
  <c r="S45" i="1"/>
  <c r="Q46" i="1"/>
  <c r="R46" i="1"/>
  <c r="F44" i="1"/>
  <c r="E44" i="1"/>
  <c r="D45" i="1"/>
  <c r="C46" i="1"/>
  <c r="B46" i="1"/>
  <c r="I45" i="1"/>
  <c r="H45" i="1"/>
  <c r="J46" i="1" l="1"/>
  <c r="N46" i="1"/>
  <c r="Q47" i="1"/>
  <c r="S46" i="1"/>
  <c r="R47" i="1"/>
  <c r="F45" i="1"/>
  <c r="E45" i="1"/>
  <c r="D46" i="1"/>
  <c r="B47" i="1"/>
  <c r="C47" i="1"/>
  <c r="J47" i="1" l="1"/>
  <c r="N47" i="1"/>
  <c r="R48" i="1"/>
  <c r="Q48" i="1"/>
  <c r="S47" i="1"/>
  <c r="F46" i="1"/>
  <c r="E46" i="1"/>
  <c r="C48" i="1"/>
  <c r="B48" i="1"/>
  <c r="I47" i="1"/>
  <c r="H47" i="1"/>
  <c r="D47" i="1"/>
  <c r="J48" i="1" l="1"/>
  <c r="N48" i="1"/>
  <c r="R49" i="1"/>
  <c r="S48" i="1"/>
  <c r="Q49" i="1"/>
  <c r="I46" i="1"/>
  <c r="D48" i="1"/>
  <c r="H46" i="1"/>
  <c r="B49" i="1"/>
  <c r="C49" i="1"/>
  <c r="I48" i="1"/>
  <c r="H48" i="1"/>
  <c r="E47" i="1"/>
  <c r="F47" i="1"/>
  <c r="J49" i="1" l="1"/>
  <c r="N49" i="1"/>
  <c r="R50" i="1"/>
  <c r="Q50" i="1"/>
  <c r="S49" i="1"/>
  <c r="F48" i="1"/>
  <c r="E48" i="1"/>
  <c r="B50" i="1"/>
  <c r="C50" i="1"/>
  <c r="D49" i="1"/>
  <c r="J50" i="1" l="1"/>
  <c r="N50" i="1"/>
  <c r="R51" i="1"/>
  <c r="Q51" i="1"/>
  <c r="S50" i="1"/>
  <c r="B51" i="1"/>
  <c r="C51" i="1"/>
  <c r="I50" i="1"/>
  <c r="H50" i="1"/>
  <c r="E49" i="1"/>
  <c r="H49" i="1" s="1"/>
  <c r="F49" i="1"/>
  <c r="I49" i="1" s="1"/>
  <c r="D50" i="1"/>
  <c r="J51" i="1" l="1"/>
  <c r="N51" i="1"/>
  <c r="S51" i="1"/>
  <c r="R52" i="1"/>
  <c r="Q52" i="1"/>
  <c r="B52" i="1"/>
  <c r="C52" i="1"/>
  <c r="I51" i="1"/>
  <c r="H51" i="1"/>
  <c r="E50" i="1"/>
  <c r="F50" i="1"/>
  <c r="D51" i="1"/>
  <c r="J52" i="1" l="1"/>
  <c r="N52" i="1"/>
  <c r="R53" i="1"/>
  <c r="Q53" i="1"/>
  <c r="S52" i="1"/>
  <c r="D52" i="1"/>
  <c r="B53" i="1"/>
  <c r="C53" i="1"/>
  <c r="E51" i="1"/>
  <c r="F51" i="1"/>
  <c r="J53" i="1" l="1"/>
  <c r="N53" i="1"/>
  <c r="Q54" i="1"/>
  <c r="R54" i="1"/>
  <c r="S53" i="1"/>
  <c r="F52" i="1"/>
  <c r="E52" i="1"/>
  <c r="C54" i="1"/>
  <c r="B54" i="1"/>
  <c r="H53" i="1"/>
  <c r="I53" i="1"/>
  <c r="D53" i="1"/>
  <c r="J54" i="1" l="1"/>
  <c r="N54" i="1"/>
  <c r="R55" i="1"/>
  <c r="Q55" i="1"/>
  <c r="S54" i="1"/>
  <c r="D54" i="1"/>
  <c r="I52" i="1"/>
  <c r="H52" i="1"/>
  <c r="B55" i="1"/>
  <c r="C55" i="1"/>
  <c r="H54" i="1"/>
  <c r="I54" i="1"/>
  <c r="E53" i="1"/>
  <c r="F53" i="1"/>
  <c r="J55" i="1" l="1"/>
  <c r="N55" i="1"/>
  <c r="Q56" i="1"/>
  <c r="S55" i="1"/>
  <c r="R56" i="1"/>
  <c r="F54" i="1"/>
  <c r="E54" i="1"/>
  <c r="D55" i="1"/>
  <c r="B56" i="1"/>
  <c r="C56" i="1"/>
  <c r="J56" i="1" l="1"/>
  <c r="N56" i="1"/>
  <c r="R57" i="1"/>
  <c r="S56" i="1"/>
  <c r="Q57" i="1"/>
  <c r="F55" i="1"/>
  <c r="E55" i="1"/>
  <c r="B57" i="1"/>
  <c r="C57" i="1"/>
  <c r="I56" i="1"/>
  <c r="H56" i="1"/>
  <c r="D56" i="1"/>
  <c r="J57" i="1" l="1"/>
  <c r="N57" i="1"/>
  <c r="R58" i="1"/>
  <c r="Q58" i="1"/>
  <c r="S57" i="1"/>
  <c r="H55" i="1"/>
  <c r="I55" i="1"/>
  <c r="B58" i="1"/>
  <c r="C58" i="1"/>
  <c r="H57" i="1"/>
  <c r="I57" i="1"/>
  <c r="E56" i="1"/>
  <c r="F56" i="1"/>
  <c r="D57" i="1"/>
  <c r="J58" i="1" l="1"/>
  <c r="N58" i="1"/>
  <c r="R59" i="1"/>
  <c r="S58" i="1"/>
  <c r="Q59" i="1"/>
  <c r="D58" i="1"/>
  <c r="B59" i="1"/>
  <c r="C59" i="1"/>
  <c r="E57" i="1"/>
  <c r="F57" i="1"/>
  <c r="J59" i="1" l="1"/>
  <c r="N59" i="1"/>
  <c r="R60" i="1"/>
  <c r="S59" i="1"/>
  <c r="Q60" i="1"/>
  <c r="E58" i="1"/>
  <c r="F58" i="1"/>
  <c r="C60" i="1"/>
  <c r="B60" i="1"/>
  <c r="I59" i="1"/>
  <c r="H59" i="1"/>
  <c r="D59" i="1"/>
  <c r="J60" i="1" l="1"/>
  <c r="N60" i="1"/>
  <c r="R61" i="1"/>
  <c r="S60" i="1"/>
  <c r="Q61" i="1"/>
  <c r="D60" i="1"/>
  <c r="H58" i="1"/>
  <c r="I58" i="1"/>
  <c r="B61" i="1"/>
  <c r="C61" i="1"/>
  <c r="H60" i="1"/>
  <c r="I60" i="1"/>
  <c r="E59" i="1"/>
  <c r="F59" i="1"/>
  <c r="J61" i="1" l="1"/>
  <c r="N61" i="1"/>
  <c r="R62" i="1"/>
  <c r="S61" i="1"/>
  <c r="Q62" i="1"/>
  <c r="F60" i="1"/>
  <c r="E60" i="1"/>
  <c r="B62" i="1"/>
  <c r="C62" i="1"/>
  <c r="D61" i="1"/>
  <c r="J62" i="1" l="1"/>
  <c r="N62" i="1"/>
  <c r="R63" i="1"/>
  <c r="S62" i="1"/>
  <c r="Q63" i="1"/>
  <c r="B63" i="1"/>
  <c r="C63" i="1"/>
  <c r="I62" i="1"/>
  <c r="H62" i="1"/>
  <c r="E61" i="1"/>
  <c r="H61" i="1" s="1"/>
  <c r="F61" i="1"/>
  <c r="I61" i="1" s="1"/>
  <c r="D62" i="1"/>
  <c r="J63" i="1" l="1"/>
  <c r="N63" i="1"/>
  <c r="R64" i="1"/>
  <c r="S63" i="1"/>
  <c r="Q64" i="1"/>
  <c r="B64" i="1"/>
  <c r="C64" i="1"/>
  <c r="H63" i="1"/>
  <c r="I63" i="1"/>
  <c r="E62" i="1"/>
  <c r="F62" i="1"/>
  <c r="D63" i="1"/>
  <c r="J64" i="1" l="1"/>
  <c r="N64" i="1"/>
  <c r="R65" i="1"/>
  <c r="Q65" i="1"/>
  <c r="S64" i="1"/>
  <c r="B65" i="1"/>
  <c r="C65" i="1"/>
  <c r="E63" i="1"/>
  <c r="F63" i="1"/>
  <c r="D64" i="1"/>
  <c r="J65" i="1" l="1"/>
  <c r="N65" i="1"/>
  <c r="R66" i="1"/>
  <c r="S65" i="1"/>
  <c r="Q66" i="1"/>
  <c r="C66" i="1"/>
  <c r="B66" i="1"/>
  <c r="H65" i="1"/>
  <c r="I65" i="1"/>
  <c r="E64" i="1"/>
  <c r="F64" i="1"/>
  <c r="D65" i="1"/>
  <c r="J66" i="1" l="1"/>
  <c r="N66" i="1"/>
  <c r="R67" i="1"/>
  <c r="S66" i="1"/>
  <c r="Q67" i="1"/>
  <c r="D66" i="1"/>
  <c r="B67" i="1"/>
  <c r="C67" i="1"/>
  <c r="I66" i="1"/>
  <c r="H66" i="1"/>
  <c r="E65" i="1"/>
  <c r="F65" i="1"/>
  <c r="H64" i="1"/>
  <c r="I64" i="1"/>
  <c r="J67" i="1" l="1"/>
  <c r="N67" i="1"/>
  <c r="R68" i="1"/>
  <c r="Q68" i="1"/>
  <c r="S67" i="1"/>
  <c r="F66" i="1"/>
  <c r="E66" i="1"/>
  <c r="B68" i="1"/>
  <c r="C68" i="1"/>
  <c r="D67" i="1"/>
  <c r="J68" i="1" l="1"/>
  <c r="N68" i="1"/>
  <c r="R69" i="1"/>
  <c r="S68" i="1"/>
  <c r="Q69" i="1"/>
  <c r="B69" i="1"/>
  <c r="C69" i="1"/>
  <c r="I68" i="1"/>
  <c r="H68" i="1"/>
  <c r="E67" i="1"/>
  <c r="H67" i="1" s="1"/>
  <c r="F67" i="1"/>
  <c r="I67" i="1" s="1"/>
  <c r="D68" i="1"/>
  <c r="J69" i="1" l="1"/>
  <c r="N69" i="1"/>
  <c r="R70" i="1"/>
  <c r="S69" i="1"/>
  <c r="Q70" i="1"/>
  <c r="B70" i="1"/>
  <c r="C70" i="1"/>
  <c r="I69" i="1"/>
  <c r="H69" i="1"/>
  <c r="E68" i="1"/>
  <c r="F68" i="1"/>
  <c r="D69" i="1"/>
  <c r="J70" i="1" l="1"/>
  <c r="N70" i="1"/>
  <c r="R71" i="1"/>
  <c r="S70" i="1"/>
  <c r="Q71" i="1"/>
  <c r="D70" i="1"/>
  <c r="B71" i="1"/>
  <c r="C71" i="1"/>
  <c r="E69" i="1"/>
  <c r="F69" i="1"/>
  <c r="J71" i="1" l="1"/>
  <c r="N71" i="1"/>
  <c r="R72" i="1"/>
  <c r="S71" i="1"/>
  <c r="Q72" i="1"/>
  <c r="D71" i="1"/>
  <c r="E70" i="1"/>
  <c r="F70" i="1"/>
  <c r="B72" i="1"/>
  <c r="C72" i="1"/>
  <c r="I71" i="1"/>
  <c r="H71" i="1"/>
  <c r="J72" i="1" l="1"/>
  <c r="N72" i="1"/>
  <c r="R73" i="1"/>
  <c r="S72" i="1"/>
  <c r="Q73" i="1"/>
  <c r="F71" i="1"/>
  <c r="E71" i="1"/>
  <c r="I70" i="1"/>
  <c r="H70" i="1"/>
  <c r="B73" i="1"/>
  <c r="C73" i="1"/>
  <c r="I72" i="1"/>
  <c r="H72" i="1"/>
  <c r="D72" i="1"/>
  <c r="J73" i="1" l="1"/>
  <c r="N73" i="1"/>
  <c r="S73" i="1"/>
  <c r="R74" i="1"/>
  <c r="Q74" i="1"/>
  <c r="D73" i="1"/>
  <c r="C74" i="1"/>
  <c r="B74" i="1"/>
  <c r="E72" i="1"/>
  <c r="F72" i="1"/>
  <c r="R75" i="1"/>
  <c r="J74" i="1" l="1"/>
  <c r="N74" i="1"/>
  <c r="S74" i="1"/>
  <c r="Q75" i="1"/>
  <c r="F73" i="1"/>
  <c r="E73" i="1"/>
  <c r="B75" i="1"/>
  <c r="C75" i="1"/>
  <c r="I74" i="1"/>
  <c r="H74" i="1"/>
  <c r="D74" i="1"/>
  <c r="R76" i="1"/>
  <c r="J75" i="1" l="1"/>
  <c r="N75" i="1"/>
  <c r="S75" i="1"/>
  <c r="Q76" i="1"/>
  <c r="I73" i="1"/>
  <c r="H73" i="1"/>
  <c r="B76" i="1"/>
  <c r="C76" i="1"/>
  <c r="I75" i="1"/>
  <c r="H75" i="1"/>
  <c r="E74" i="1"/>
  <c r="F74" i="1"/>
  <c r="D75" i="1"/>
  <c r="R77" i="1"/>
  <c r="J76" i="1" l="1"/>
  <c r="N76" i="1"/>
  <c r="S76" i="1"/>
  <c r="Q77" i="1"/>
  <c r="D76" i="1"/>
  <c r="C77" i="1"/>
  <c r="B77" i="1"/>
  <c r="E75" i="1"/>
  <c r="F75" i="1"/>
  <c r="R78" i="1"/>
  <c r="J77" i="1" l="1"/>
  <c r="N77" i="1"/>
  <c r="S77" i="1"/>
  <c r="Q78" i="1"/>
  <c r="F76" i="1"/>
  <c r="E76" i="1"/>
  <c r="D77" i="1"/>
  <c r="B78" i="1"/>
  <c r="C78" i="1"/>
  <c r="I77" i="1"/>
  <c r="H77" i="1"/>
  <c r="R79" i="1"/>
  <c r="J78" i="1" l="1"/>
  <c r="N78" i="1"/>
  <c r="S78" i="1"/>
  <c r="Q79" i="1"/>
  <c r="I76" i="1"/>
  <c r="H76" i="1"/>
  <c r="F77" i="1"/>
  <c r="E77" i="1"/>
  <c r="B79" i="1"/>
  <c r="C79" i="1"/>
  <c r="I78" i="1"/>
  <c r="H78" i="1"/>
  <c r="D78" i="1"/>
  <c r="R80" i="1"/>
  <c r="J79" i="1" l="1"/>
  <c r="N79" i="1"/>
  <c r="Q80" i="1"/>
  <c r="S79" i="1"/>
  <c r="B80" i="1"/>
  <c r="C80" i="1"/>
  <c r="E78" i="1"/>
  <c r="F78" i="1"/>
  <c r="D79" i="1"/>
  <c r="R81" i="1"/>
  <c r="S80" i="1" l="1"/>
  <c r="J80" i="1"/>
  <c r="N80" i="1"/>
  <c r="Q81" i="1"/>
  <c r="B81" i="1"/>
  <c r="C81" i="1"/>
  <c r="I80" i="1"/>
  <c r="H80" i="1"/>
  <c r="E79" i="1"/>
  <c r="F79" i="1"/>
  <c r="D80" i="1"/>
  <c r="R82" i="1"/>
  <c r="J81" i="1" l="1"/>
  <c r="N81" i="1"/>
  <c r="Q82" i="1"/>
  <c r="S81" i="1"/>
  <c r="B82" i="1"/>
  <c r="C82" i="1"/>
  <c r="I81" i="1"/>
  <c r="H81" i="1"/>
  <c r="E80" i="1"/>
  <c r="F80" i="1"/>
  <c r="I79" i="1"/>
  <c r="H79" i="1"/>
  <c r="D81" i="1"/>
  <c r="R83" i="1"/>
  <c r="J82" i="1" l="1"/>
  <c r="N82" i="1"/>
  <c r="S82" i="1"/>
  <c r="Q83" i="1"/>
  <c r="B83" i="1"/>
  <c r="C83" i="1"/>
  <c r="E81" i="1"/>
  <c r="F81" i="1"/>
  <c r="D82" i="1"/>
  <c r="R84" i="1"/>
  <c r="J83" i="1" l="1"/>
  <c r="N83" i="1"/>
  <c r="S83" i="1"/>
  <c r="Q84" i="1"/>
  <c r="B84" i="1"/>
  <c r="C84" i="1"/>
  <c r="I83" i="1"/>
  <c r="H83" i="1"/>
  <c r="E82" i="1"/>
  <c r="F82" i="1"/>
  <c r="I82" i="1" s="1"/>
  <c r="D83" i="1"/>
  <c r="R85" i="1"/>
  <c r="J84" i="1" l="1"/>
  <c r="N84" i="1"/>
  <c r="S84" i="1"/>
  <c r="Q85" i="1"/>
  <c r="D84" i="1"/>
  <c r="H82" i="1"/>
  <c r="B85" i="1"/>
  <c r="C85" i="1"/>
  <c r="I84" i="1"/>
  <c r="H84" i="1"/>
  <c r="E83" i="1"/>
  <c r="F83" i="1"/>
  <c r="R86" i="1"/>
  <c r="S85" i="1" l="1"/>
  <c r="Q86" i="1"/>
  <c r="J85" i="1"/>
  <c r="N85" i="1"/>
  <c r="F84" i="1"/>
  <c r="E84" i="1"/>
  <c r="B86" i="1"/>
  <c r="C86" i="1"/>
  <c r="D85" i="1"/>
  <c r="R87" i="1"/>
  <c r="Q87" i="1" l="1"/>
  <c r="S86" i="1"/>
  <c r="J86" i="1"/>
  <c r="N86" i="1"/>
  <c r="B87" i="1"/>
  <c r="C87" i="1"/>
  <c r="I86" i="1"/>
  <c r="H86" i="1"/>
  <c r="E85" i="1"/>
  <c r="H85" i="1" s="1"/>
  <c r="F85" i="1"/>
  <c r="I85" i="1" s="1"/>
  <c r="D86" i="1"/>
  <c r="R88" i="1"/>
  <c r="S87" i="1" l="1"/>
  <c r="Q88" i="1"/>
  <c r="J87" i="1"/>
  <c r="N87" i="1"/>
  <c r="D87" i="1"/>
  <c r="B88" i="1"/>
  <c r="C88" i="1"/>
  <c r="I87" i="1"/>
  <c r="H87" i="1"/>
  <c r="E86" i="1"/>
  <c r="F86" i="1"/>
  <c r="R89" i="1"/>
  <c r="S88" i="1" l="1"/>
  <c r="Q89" i="1"/>
  <c r="J88" i="1"/>
  <c r="N88" i="1"/>
  <c r="E87" i="1"/>
  <c r="F87" i="1"/>
  <c r="B89" i="1"/>
  <c r="C89" i="1"/>
  <c r="D88" i="1"/>
  <c r="R90" i="1"/>
  <c r="Q90" i="1" l="1"/>
  <c r="S89" i="1"/>
  <c r="J89" i="1"/>
  <c r="N89" i="1"/>
  <c r="D89" i="1"/>
  <c r="B90" i="1"/>
  <c r="C90" i="1"/>
  <c r="I89" i="1"/>
  <c r="H89" i="1"/>
  <c r="E88" i="1"/>
  <c r="H88" i="1" s="1"/>
  <c r="F88" i="1"/>
  <c r="I88" i="1" s="1"/>
  <c r="R91" i="1"/>
  <c r="S90" i="1" l="1"/>
  <c r="Q91" i="1"/>
  <c r="J90" i="1"/>
  <c r="N90" i="1"/>
  <c r="E89" i="1"/>
  <c r="F89" i="1"/>
  <c r="D90" i="1"/>
  <c r="B91" i="1"/>
  <c r="C91" i="1"/>
  <c r="I90" i="1"/>
  <c r="H90" i="1"/>
  <c r="R92" i="1"/>
  <c r="S91" i="1" l="1"/>
  <c r="Q92" i="1"/>
  <c r="J91" i="1"/>
  <c r="N91" i="1"/>
  <c r="F90" i="1"/>
  <c r="E90" i="1"/>
  <c r="B92" i="1"/>
  <c r="C92" i="1"/>
  <c r="D91" i="1"/>
  <c r="R93" i="1"/>
  <c r="S92" i="1" l="1"/>
  <c r="Q93" i="1"/>
  <c r="J92" i="1"/>
  <c r="N92" i="1"/>
  <c r="B93" i="1"/>
  <c r="C93" i="1"/>
  <c r="I92" i="1"/>
  <c r="H92" i="1"/>
  <c r="E91" i="1"/>
  <c r="H91" i="1" s="1"/>
  <c r="F91" i="1"/>
  <c r="I91" i="1" s="1"/>
  <c r="D92" i="1"/>
  <c r="R94" i="1"/>
  <c r="S93" i="1" l="1"/>
  <c r="Q94" i="1"/>
  <c r="J93" i="1"/>
  <c r="N93" i="1"/>
  <c r="D93" i="1"/>
  <c r="C94" i="1"/>
  <c r="B94" i="1"/>
  <c r="I93" i="1"/>
  <c r="H93" i="1"/>
  <c r="E92" i="1"/>
  <c r="F92" i="1"/>
  <c r="R95" i="1"/>
  <c r="Q95" i="1" l="1"/>
  <c r="S94" i="1"/>
  <c r="J94" i="1"/>
  <c r="N94" i="1"/>
  <c r="D94" i="1"/>
  <c r="E93" i="1"/>
  <c r="F93" i="1"/>
  <c r="B95" i="1"/>
  <c r="C95" i="1"/>
  <c r="R96" i="1"/>
  <c r="Q96" i="1" l="1"/>
  <c r="S95" i="1"/>
  <c r="J95" i="1"/>
  <c r="N95" i="1"/>
  <c r="F94" i="1"/>
  <c r="E94" i="1"/>
  <c r="C96" i="1"/>
  <c r="B96" i="1"/>
  <c r="I95" i="1"/>
  <c r="H95" i="1"/>
  <c r="D95" i="1"/>
  <c r="S96" i="1" l="1"/>
  <c r="BJ5" i="1" s="1" a="1"/>
  <c r="BJ5" i="1" s="1"/>
  <c r="J96" i="1"/>
  <c r="N96" i="1"/>
  <c r="I94" i="1"/>
  <c r="H94" i="1"/>
  <c r="B97" i="1"/>
  <c r="C97" i="1"/>
  <c r="I96" i="1"/>
  <c r="H96" i="1"/>
  <c r="E95" i="1"/>
  <c r="F95" i="1"/>
  <c r="D96" i="1"/>
  <c r="J97" i="1" l="1"/>
  <c r="N97" i="1"/>
  <c r="D97" i="1"/>
  <c r="C98" i="1"/>
  <c r="B98" i="1"/>
  <c r="E96" i="1"/>
  <c r="F96" i="1"/>
  <c r="B99" i="1" l="1"/>
  <c r="C99" i="1"/>
  <c r="J98" i="1"/>
  <c r="N98" i="1"/>
  <c r="E97" i="1"/>
  <c r="F97" i="1"/>
  <c r="D98" i="1"/>
  <c r="I98" i="1"/>
  <c r="H98" i="1"/>
  <c r="C100" i="1" l="1"/>
  <c r="B100" i="1"/>
  <c r="D100" i="1" s="1"/>
  <c r="N99" i="1"/>
  <c r="J99" i="1"/>
  <c r="I99" i="1"/>
  <c r="H99" i="1"/>
  <c r="D99" i="1"/>
  <c r="F98" i="1"/>
  <c r="E98" i="1"/>
  <c r="I97" i="1"/>
  <c r="H97" i="1"/>
  <c r="C101" i="1" l="1"/>
  <c r="B101" i="1"/>
  <c r="N100" i="1"/>
  <c r="J100" i="1"/>
  <c r="F100" i="1"/>
  <c r="E100" i="1"/>
  <c r="E99" i="1"/>
  <c r="F99" i="1"/>
  <c r="D101" i="1" l="1"/>
  <c r="H100" i="1"/>
  <c r="C102" i="1"/>
  <c r="B102" i="1"/>
  <c r="N101" i="1"/>
  <c r="J101" i="1"/>
  <c r="I101" i="1"/>
  <c r="H101" i="1"/>
  <c r="I100" i="1"/>
  <c r="D102" i="1" l="1"/>
  <c r="E101" i="1"/>
  <c r="F101" i="1"/>
  <c r="B103" i="1"/>
  <c r="C103" i="1"/>
  <c r="N102" i="1"/>
  <c r="J102" i="1"/>
  <c r="I102" i="1"/>
  <c r="H102" i="1"/>
  <c r="F102" i="1" l="1"/>
  <c r="E102" i="1"/>
  <c r="B104" i="1"/>
  <c r="C104" i="1"/>
  <c r="N103" i="1"/>
  <c r="J103" i="1"/>
  <c r="D103" i="1"/>
  <c r="D104" i="1" l="1"/>
  <c r="E104" i="1"/>
  <c r="F104" i="1"/>
  <c r="B105" i="1"/>
  <c r="C105" i="1"/>
  <c r="N104" i="1"/>
  <c r="J104" i="1"/>
  <c r="I104" i="1"/>
  <c r="H104" i="1"/>
  <c r="E103" i="1"/>
  <c r="H103" i="1" s="1"/>
  <c r="F103" i="1"/>
  <c r="I103" i="1" s="1"/>
  <c r="B106" i="1" l="1"/>
  <c r="D106" i="1" s="1"/>
  <c r="C106" i="1"/>
  <c r="N105" i="1"/>
  <c r="J105" i="1"/>
  <c r="I105" i="1"/>
  <c r="H105" i="1"/>
  <c r="D105" i="1"/>
  <c r="E106" i="1" l="1"/>
  <c r="F106" i="1"/>
  <c r="I106" i="1" s="1"/>
  <c r="B107" i="1"/>
  <c r="C107" i="1"/>
  <c r="N106" i="1"/>
  <c r="J106" i="1"/>
  <c r="E105" i="1"/>
  <c r="F105" i="1"/>
  <c r="D107" i="1" l="1"/>
  <c r="E107" i="1"/>
  <c r="F107" i="1"/>
  <c r="B108" i="1"/>
  <c r="C108" i="1"/>
  <c r="N107" i="1"/>
  <c r="J107" i="1"/>
  <c r="I107" i="1"/>
  <c r="H107" i="1"/>
  <c r="H106" i="1"/>
  <c r="B109" i="1" l="1"/>
  <c r="C109" i="1"/>
  <c r="N108" i="1"/>
  <c r="J108" i="1"/>
  <c r="I108" i="1"/>
  <c r="H108" i="1"/>
  <c r="D108" i="1"/>
  <c r="B110" i="1" l="1"/>
  <c r="C110" i="1"/>
  <c r="N109" i="1"/>
  <c r="J109" i="1"/>
  <c r="E108" i="1"/>
  <c r="F108" i="1"/>
  <c r="D109" i="1"/>
  <c r="B111" i="1" l="1"/>
  <c r="C111" i="1"/>
  <c r="N110" i="1"/>
  <c r="J110" i="1"/>
  <c r="I110" i="1"/>
  <c r="H110" i="1"/>
  <c r="E109" i="1"/>
  <c r="H109" i="1" s="1"/>
  <c r="F109" i="1"/>
  <c r="I109" i="1" s="1"/>
  <c r="D110" i="1"/>
  <c r="B112" i="1" l="1"/>
  <c r="C112" i="1"/>
  <c r="N111" i="1"/>
  <c r="J111" i="1"/>
  <c r="I111" i="1"/>
  <c r="H111" i="1"/>
  <c r="E110" i="1"/>
  <c r="F110" i="1"/>
  <c r="D111" i="1"/>
  <c r="B113" i="1" l="1"/>
  <c r="C113" i="1"/>
  <c r="N112" i="1"/>
  <c r="J112" i="1"/>
  <c r="E111" i="1"/>
  <c r="F111" i="1"/>
  <c r="D112" i="1"/>
  <c r="B114" i="1" l="1"/>
  <c r="D114" i="1" s="1"/>
  <c r="C114" i="1"/>
  <c r="N113" i="1"/>
  <c r="J113" i="1"/>
  <c r="I113" i="1"/>
  <c r="H113" i="1"/>
  <c r="F112" i="1"/>
  <c r="I112" i="1" s="1"/>
  <c r="E112" i="1"/>
  <c r="H112" i="1" s="1"/>
  <c r="D113" i="1"/>
  <c r="E114" i="1" l="1"/>
  <c r="F114" i="1"/>
  <c r="B115" i="1"/>
  <c r="D115" i="1" s="1"/>
  <c r="C115" i="1"/>
  <c r="N114" i="1"/>
  <c r="J114" i="1"/>
  <c r="I114" i="1"/>
  <c r="H114" i="1"/>
  <c r="E113" i="1"/>
  <c r="F113" i="1"/>
  <c r="F115" i="1" l="1"/>
  <c r="I115" i="1" s="1"/>
  <c r="E115" i="1"/>
  <c r="H115" i="1" s="1"/>
  <c r="B116" i="1"/>
  <c r="C116" i="1"/>
  <c r="N115" i="1"/>
  <c r="J115" i="1"/>
  <c r="B117" i="1" l="1"/>
  <c r="H116" i="1"/>
  <c r="C117" i="1"/>
  <c r="N116" i="1"/>
  <c r="J116" i="1"/>
  <c r="I116" i="1"/>
  <c r="D116" i="1"/>
  <c r="B118" i="1" l="1"/>
  <c r="D118" i="1" s="1"/>
  <c r="N117" i="1"/>
  <c r="J117" i="1"/>
  <c r="I117" i="1"/>
  <c r="H117" i="1"/>
  <c r="C118" i="1"/>
  <c r="E116" i="1"/>
  <c r="F116" i="1"/>
  <c r="D117" i="1"/>
  <c r="F118" i="1" l="1"/>
  <c r="E118" i="1"/>
  <c r="B119" i="1"/>
  <c r="D119" i="1" s="1"/>
  <c r="C119" i="1"/>
  <c r="J118" i="1"/>
  <c r="N118" i="1"/>
  <c r="F117" i="1"/>
  <c r="E117" i="1"/>
  <c r="F119" i="1" l="1"/>
  <c r="E119" i="1"/>
  <c r="B120" i="1"/>
  <c r="H119" i="1"/>
  <c r="I119" i="1"/>
  <c r="J119" i="1"/>
  <c r="N119" i="1"/>
  <c r="C120" i="1"/>
  <c r="H118" i="1"/>
  <c r="I118" i="1"/>
  <c r="D120" i="1" l="1"/>
  <c r="F120" i="1"/>
  <c r="B121" i="1"/>
  <c r="D121" i="1" s="1"/>
  <c r="H120" i="1"/>
  <c r="I120" i="1"/>
  <c r="J120" i="1"/>
  <c r="N120" i="1"/>
  <c r="C121" i="1"/>
  <c r="E120" i="1" l="1"/>
  <c r="F121" i="1"/>
  <c r="I121" i="1" s="1"/>
  <c r="E121" i="1"/>
  <c r="B122" i="1"/>
  <c r="D122" i="1" s="1"/>
  <c r="J121" i="1"/>
  <c r="N121" i="1"/>
  <c r="C122" i="1"/>
  <c r="H121" i="1" l="1"/>
  <c r="F122" i="1"/>
  <c r="E122" i="1"/>
  <c r="B123" i="1"/>
  <c r="D123" i="1" s="1"/>
  <c r="J122" i="1"/>
  <c r="H122" i="1"/>
  <c r="N122" i="1"/>
  <c r="I122" i="1"/>
  <c r="C123" i="1"/>
  <c r="E123" i="1" l="1"/>
  <c r="F123" i="1"/>
  <c r="B124" i="1"/>
  <c r="D124" i="1" s="1"/>
  <c r="I123" i="1"/>
  <c r="N123" i="1"/>
  <c r="H123" i="1"/>
  <c r="J123" i="1"/>
  <c r="C124" i="1"/>
  <c r="F124" i="1" l="1"/>
  <c r="I124" i="1" s="1"/>
  <c r="E124" i="1"/>
  <c r="H124" i="1" s="1"/>
  <c r="B125" i="1"/>
  <c r="D125" i="1" s="1"/>
  <c r="J124" i="1"/>
  <c r="N124" i="1"/>
  <c r="C125" i="1"/>
  <c r="F125" i="1" l="1"/>
  <c r="E125" i="1"/>
  <c r="B126" i="1"/>
  <c r="H125" i="1"/>
  <c r="I125" i="1"/>
  <c r="J125" i="1"/>
  <c r="N125" i="1"/>
  <c r="C126" i="1"/>
  <c r="B127" i="1" l="1"/>
  <c r="D127" i="1" s="1"/>
  <c r="H126" i="1"/>
  <c r="I126" i="1"/>
  <c r="J126" i="1"/>
  <c r="N126" i="1"/>
  <c r="C127" i="1"/>
  <c r="D126" i="1"/>
  <c r="F127" i="1" l="1"/>
  <c r="E127" i="1"/>
  <c r="B128" i="1"/>
  <c r="N127" i="1"/>
  <c r="C128" i="1"/>
  <c r="J127" i="1"/>
  <c r="F126" i="1"/>
  <c r="E126" i="1"/>
  <c r="B129" i="1" l="1"/>
  <c r="D129" i="1" s="1"/>
  <c r="H128" i="1"/>
  <c r="I128" i="1"/>
  <c r="J128" i="1"/>
  <c r="N128" i="1"/>
  <c r="C129" i="1"/>
  <c r="D128" i="1"/>
  <c r="H127" i="1"/>
  <c r="I127" i="1"/>
  <c r="F129" i="1" l="1"/>
  <c r="E129" i="1"/>
  <c r="B130" i="1"/>
  <c r="N129" i="1"/>
  <c r="C130" i="1"/>
  <c r="H129" i="1"/>
  <c r="I129" i="1"/>
  <c r="J129" i="1"/>
  <c r="E128" i="1"/>
  <c r="F128" i="1"/>
  <c r="B131" i="1" l="1"/>
  <c r="N130" i="1"/>
  <c r="J130" i="1"/>
  <c r="C131" i="1"/>
  <c r="D130" i="1"/>
  <c r="B132" i="1" l="1"/>
  <c r="H131" i="1"/>
  <c r="I131" i="1"/>
  <c r="J131" i="1"/>
  <c r="N131" i="1"/>
  <c r="C132" i="1"/>
  <c r="E130" i="1"/>
  <c r="H130" i="1" s="1"/>
  <c r="F130" i="1"/>
  <c r="I130" i="1" s="1"/>
  <c r="D131" i="1"/>
  <c r="B133" i="1" l="1"/>
  <c r="D133" i="1" s="1"/>
  <c r="N132" i="1"/>
  <c r="C133" i="1"/>
  <c r="H132" i="1"/>
  <c r="I132" i="1"/>
  <c r="J132" i="1"/>
  <c r="E131" i="1"/>
  <c r="F131" i="1"/>
  <c r="D132" i="1"/>
  <c r="E133" i="1" l="1"/>
  <c r="F133" i="1"/>
  <c r="I133" i="1" s="1"/>
  <c r="B134" i="1"/>
  <c r="J133" i="1"/>
  <c r="N133" i="1"/>
  <c r="C134" i="1"/>
  <c r="E132" i="1"/>
  <c r="F132" i="1"/>
  <c r="B135" i="1" l="1"/>
  <c r="H134" i="1"/>
  <c r="J134" i="1"/>
  <c r="N134" i="1"/>
  <c r="C135" i="1"/>
  <c r="I134" i="1"/>
  <c r="H133" i="1"/>
  <c r="D134" i="1"/>
  <c r="B136" i="1" l="1"/>
  <c r="D136" i="1" s="1"/>
  <c r="H135" i="1"/>
  <c r="N135" i="1"/>
  <c r="C136" i="1"/>
  <c r="I135" i="1"/>
  <c r="J135" i="1"/>
  <c r="E134" i="1"/>
  <c r="F134" i="1"/>
  <c r="D135" i="1"/>
  <c r="F136" i="1" l="1"/>
  <c r="E136" i="1"/>
  <c r="B137" i="1"/>
  <c r="D137" i="1" s="1"/>
  <c r="C137" i="1"/>
  <c r="J136" i="1"/>
  <c r="N136" i="1"/>
  <c r="E135" i="1"/>
  <c r="F135" i="1"/>
  <c r="E137" i="1" l="1"/>
  <c r="F137" i="1"/>
  <c r="B138" i="1"/>
  <c r="N137" i="1"/>
  <c r="C138" i="1"/>
  <c r="H137" i="1"/>
  <c r="J137" i="1"/>
  <c r="I137" i="1"/>
  <c r="H136" i="1"/>
  <c r="I136" i="1"/>
  <c r="B139" i="1" l="1"/>
  <c r="C139" i="1"/>
  <c r="J138" i="1"/>
  <c r="I138" i="1"/>
  <c r="N138" i="1"/>
  <c r="H138" i="1"/>
  <c r="D138" i="1"/>
  <c r="B140" i="1" l="1"/>
  <c r="J139" i="1"/>
  <c r="N139" i="1"/>
  <c r="C140" i="1"/>
  <c r="E138" i="1"/>
  <c r="F138" i="1"/>
  <c r="D139" i="1"/>
  <c r="B141" i="1" l="1"/>
  <c r="H140" i="1"/>
  <c r="C141" i="1"/>
  <c r="I140" i="1"/>
  <c r="J140" i="1"/>
  <c r="N140" i="1"/>
  <c r="E139" i="1"/>
  <c r="H139" i="1" s="1"/>
  <c r="F139" i="1"/>
  <c r="I139" i="1" s="1"/>
  <c r="D140" i="1"/>
  <c r="B142" i="1" l="1"/>
  <c r="D142" i="1" s="1"/>
  <c r="H141" i="1"/>
  <c r="I141" i="1"/>
  <c r="J141" i="1"/>
  <c r="N141" i="1"/>
  <c r="C142" i="1"/>
  <c r="E140" i="1"/>
  <c r="F140" i="1"/>
  <c r="D141" i="1"/>
  <c r="F142" i="1" l="1"/>
  <c r="I142" i="1" s="1"/>
  <c r="E142" i="1"/>
  <c r="B143" i="1"/>
  <c r="C143" i="1"/>
  <c r="J142" i="1"/>
  <c r="N142" i="1"/>
  <c r="F141" i="1"/>
  <c r="E141" i="1"/>
  <c r="B144" i="1" l="1"/>
  <c r="H143" i="1"/>
  <c r="I143" i="1"/>
  <c r="J143" i="1"/>
  <c r="N143" i="1"/>
  <c r="C144" i="1"/>
  <c r="H142" i="1"/>
  <c r="D143" i="1"/>
  <c r="D144" i="1" l="1"/>
  <c r="F144" i="1"/>
  <c r="E144" i="1"/>
  <c r="B145" i="1"/>
  <c r="C145" i="1"/>
  <c r="H144" i="1"/>
  <c r="I144" i="1"/>
  <c r="J144" i="1"/>
  <c r="N144" i="1"/>
  <c r="E143" i="1"/>
  <c r="F143" i="1"/>
  <c r="D145" i="1" l="1"/>
  <c r="B146" i="1"/>
  <c r="J145" i="1"/>
  <c r="N145" i="1"/>
  <c r="C146" i="1"/>
  <c r="F145" i="1" l="1"/>
  <c r="I145" i="1" s="1"/>
  <c r="E145" i="1"/>
  <c r="H145" i="1" s="1"/>
  <c r="B147" i="1"/>
  <c r="I146" i="1"/>
  <c r="C147" i="1"/>
  <c r="H146" i="1"/>
  <c r="J146" i="1"/>
  <c r="N146" i="1"/>
  <c r="D146" i="1"/>
  <c r="D147" i="1" l="1"/>
  <c r="F147" i="1"/>
  <c r="B148" i="1"/>
  <c r="H147" i="1"/>
  <c r="I147" i="1"/>
  <c r="J147" i="1"/>
  <c r="N147" i="1"/>
  <c r="C148" i="1"/>
  <c r="E146" i="1"/>
  <c r="F146" i="1"/>
  <c r="E147" i="1" l="1"/>
  <c r="B149" i="1"/>
  <c r="D149" i="1" s="1"/>
  <c r="J148" i="1"/>
  <c r="C149" i="1"/>
  <c r="N148" i="1"/>
  <c r="D148" i="1"/>
  <c r="F149" i="1" l="1"/>
  <c r="E149" i="1"/>
  <c r="B150" i="1"/>
  <c r="N149" i="1"/>
  <c r="C150" i="1"/>
  <c r="H149" i="1"/>
  <c r="I149" i="1"/>
  <c r="J149" i="1"/>
  <c r="F148" i="1"/>
  <c r="I148" i="1" s="1"/>
  <c r="E148" i="1"/>
  <c r="H148" i="1" s="1"/>
  <c r="B151" i="1" l="1"/>
  <c r="I150" i="1"/>
  <c r="C151" i="1"/>
  <c r="H150" i="1"/>
  <c r="N150" i="1"/>
  <c r="J150" i="1"/>
  <c r="D150" i="1"/>
  <c r="D151" i="1" l="1"/>
  <c r="E151" i="1"/>
  <c r="H151" i="1" s="1"/>
  <c r="F151" i="1"/>
  <c r="B152" i="1"/>
  <c r="C152" i="1"/>
  <c r="J151" i="1"/>
  <c r="N151" i="1"/>
  <c r="E150" i="1"/>
  <c r="F150" i="1"/>
  <c r="I151" i="1" l="1"/>
  <c r="B153" i="1"/>
  <c r="N152" i="1"/>
  <c r="C153" i="1"/>
  <c r="H152" i="1"/>
  <c r="I152" i="1"/>
  <c r="J152" i="1"/>
  <c r="D152" i="1"/>
  <c r="B154" i="1" l="1"/>
  <c r="D154" i="1" s="1"/>
  <c r="H153" i="1"/>
  <c r="C154" i="1"/>
  <c r="I153" i="1"/>
  <c r="J153" i="1"/>
  <c r="N153" i="1"/>
  <c r="F152" i="1"/>
  <c r="E152" i="1"/>
  <c r="D153" i="1"/>
  <c r="E154" i="1" l="1"/>
  <c r="F154" i="1"/>
  <c r="B155" i="1"/>
  <c r="J154" i="1"/>
  <c r="C155" i="1"/>
  <c r="N154" i="1"/>
  <c r="E153" i="1"/>
  <c r="F153" i="1"/>
  <c r="H154" i="1" l="1"/>
  <c r="D155" i="1"/>
  <c r="F155" i="1"/>
  <c r="E155" i="1"/>
  <c r="B156" i="1"/>
  <c r="D156" i="1" s="1"/>
  <c r="H155" i="1"/>
  <c r="C156" i="1"/>
  <c r="I155" i="1"/>
  <c r="J155" i="1"/>
  <c r="N155" i="1"/>
  <c r="I154" i="1"/>
  <c r="E156" i="1" l="1"/>
  <c r="F156" i="1"/>
  <c r="B157" i="1"/>
  <c r="H156" i="1"/>
  <c r="C157" i="1"/>
  <c r="I156" i="1"/>
  <c r="J156" i="1"/>
  <c r="N156" i="1"/>
  <c r="D157" i="1" l="1"/>
  <c r="F157" i="1"/>
  <c r="I157" i="1" s="1"/>
  <c r="E157" i="1"/>
  <c r="H157" i="1" s="1"/>
  <c r="B158" i="1"/>
  <c r="D158" i="1" s="1"/>
  <c r="C158" i="1"/>
  <c r="J157" i="1"/>
  <c r="N157" i="1"/>
  <c r="E158" i="1" l="1"/>
  <c r="F158" i="1"/>
  <c r="B159" i="1"/>
  <c r="C159" i="1"/>
  <c r="H158" i="1"/>
  <c r="I158" i="1"/>
  <c r="J158" i="1"/>
  <c r="N158" i="1"/>
  <c r="D159" i="1" l="1"/>
  <c r="B160" i="1"/>
  <c r="C160" i="1"/>
  <c r="H159" i="1"/>
  <c r="I159" i="1"/>
  <c r="J159" i="1"/>
  <c r="N159" i="1"/>
  <c r="F159" i="1" l="1"/>
  <c r="E159" i="1"/>
  <c r="D160" i="1"/>
  <c r="F160" i="1"/>
  <c r="B161" i="1"/>
  <c r="C161" i="1"/>
  <c r="J160" i="1"/>
  <c r="N160" i="1"/>
  <c r="I160" i="1" l="1"/>
  <c r="E160" i="1"/>
  <c r="H160" i="1" s="1"/>
  <c r="B162" i="1"/>
  <c r="D162" i="1" s="1"/>
  <c r="I161" i="1"/>
  <c r="C162" i="1"/>
  <c r="J161" i="1"/>
  <c r="N161" i="1"/>
  <c r="H161" i="1"/>
  <c r="D161" i="1"/>
  <c r="F162" i="1" l="1"/>
  <c r="E162" i="1"/>
  <c r="B163" i="1"/>
  <c r="D163" i="1" s="1"/>
  <c r="H162" i="1"/>
  <c r="N162" i="1"/>
  <c r="I162" i="1"/>
  <c r="J162" i="1"/>
  <c r="C163" i="1"/>
  <c r="E161" i="1"/>
  <c r="F161" i="1"/>
  <c r="F163" i="1" l="1"/>
  <c r="I163" i="1" s="1"/>
  <c r="E163" i="1"/>
  <c r="H163" i="1" s="1"/>
  <c r="B164" i="1"/>
  <c r="N163" i="1"/>
  <c r="J163" i="1"/>
  <c r="C164" i="1"/>
  <c r="B165" i="1" l="1"/>
  <c r="H164" i="1"/>
  <c r="C165" i="1"/>
  <c r="N164" i="1"/>
  <c r="I164" i="1"/>
  <c r="J164" i="1"/>
  <c r="D164" i="1"/>
  <c r="B166" i="1" l="1"/>
  <c r="H165" i="1"/>
  <c r="J165" i="1"/>
  <c r="C166" i="1"/>
  <c r="I165" i="1"/>
  <c r="N165" i="1"/>
  <c r="E164" i="1"/>
  <c r="F164" i="1"/>
  <c r="D165" i="1"/>
  <c r="B167" i="1" l="1"/>
  <c r="D167" i="1" s="1"/>
  <c r="J166" i="1"/>
  <c r="N166" i="1"/>
  <c r="C167" i="1"/>
  <c r="E165" i="1"/>
  <c r="F165" i="1"/>
  <c r="D166" i="1"/>
  <c r="F167" i="1" l="1"/>
  <c r="E167" i="1"/>
  <c r="B168" i="1"/>
  <c r="C168" i="1"/>
  <c r="N167" i="1"/>
  <c r="H167" i="1"/>
  <c r="I167" i="1"/>
  <c r="J167" i="1"/>
  <c r="E166" i="1"/>
  <c r="H166" i="1" s="1"/>
  <c r="F166" i="1"/>
  <c r="I166" i="1" s="1"/>
  <c r="B169" i="1" l="1"/>
  <c r="D169" i="1" s="1"/>
  <c r="H168" i="1"/>
  <c r="J168" i="1"/>
  <c r="C169" i="1"/>
  <c r="I168" i="1"/>
  <c r="N168" i="1"/>
  <c r="D168" i="1"/>
  <c r="F169" i="1" l="1"/>
  <c r="I169" i="1" s="1"/>
  <c r="E169" i="1"/>
  <c r="H169" i="1" s="1"/>
  <c r="B170" i="1"/>
  <c r="J169" i="1"/>
  <c r="N169" i="1"/>
  <c r="C170" i="1"/>
  <c r="E168" i="1"/>
  <c r="F168" i="1"/>
  <c r="D170" i="1" l="1"/>
  <c r="B171" i="1"/>
  <c r="J170" i="1"/>
  <c r="N170" i="1"/>
  <c r="I170" i="1"/>
  <c r="H170" i="1"/>
  <c r="C171" i="1"/>
  <c r="E170" i="1" l="1"/>
  <c r="F170" i="1"/>
  <c r="D171" i="1"/>
  <c r="F171" i="1"/>
  <c r="B172" i="1"/>
  <c r="I171" i="1"/>
  <c r="H171" i="1"/>
  <c r="N171" i="1"/>
  <c r="C172" i="1"/>
  <c r="J171" i="1"/>
  <c r="E171" i="1" l="1"/>
  <c r="B173" i="1"/>
  <c r="N172" i="1"/>
  <c r="J172" i="1"/>
  <c r="C173" i="1"/>
  <c r="D172" i="1"/>
  <c r="D173" i="1" l="1"/>
  <c r="E173" i="1"/>
  <c r="F173" i="1"/>
  <c r="B174" i="1"/>
  <c r="D174" i="1" s="1"/>
  <c r="I173" i="1"/>
  <c r="J173" i="1"/>
  <c r="N173" i="1"/>
  <c r="C174" i="1"/>
  <c r="H173" i="1"/>
  <c r="E172" i="1"/>
  <c r="H172" i="1" s="1"/>
  <c r="F172" i="1"/>
  <c r="I172" i="1" s="1"/>
  <c r="E174" i="1" l="1"/>
  <c r="F174" i="1"/>
  <c r="B175" i="1"/>
  <c r="I174" i="1"/>
  <c r="N174" i="1"/>
  <c r="C175" i="1"/>
  <c r="H174" i="1"/>
  <c r="J174" i="1"/>
  <c r="D175" i="1" l="1"/>
  <c r="E175" i="1"/>
  <c r="H175" i="1" s="1"/>
  <c r="B176" i="1"/>
  <c r="N175" i="1"/>
  <c r="J175" i="1"/>
  <c r="C176" i="1"/>
  <c r="F175" i="1" l="1"/>
  <c r="I175" i="1" s="1"/>
  <c r="B177" i="1"/>
  <c r="C177" i="1"/>
  <c r="J176" i="1"/>
  <c r="N176" i="1"/>
  <c r="I176" i="1"/>
  <c r="H176" i="1"/>
  <c r="D176" i="1"/>
  <c r="B178" i="1" l="1"/>
  <c r="D178" i="1" s="1"/>
  <c r="J177" i="1"/>
  <c r="H177" i="1"/>
  <c r="I177" i="1"/>
  <c r="C178" i="1"/>
  <c r="N177" i="1"/>
  <c r="E176" i="1"/>
  <c r="F176" i="1"/>
  <c r="D177" i="1"/>
  <c r="E178" i="1" l="1"/>
  <c r="F178" i="1"/>
  <c r="B179" i="1"/>
  <c r="J178" i="1"/>
  <c r="C179" i="1"/>
  <c r="N178" i="1"/>
  <c r="E177" i="1"/>
  <c r="F177" i="1"/>
  <c r="H178" i="1" l="1"/>
  <c r="I178" i="1"/>
  <c r="B180" i="1"/>
  <c r="H179" i="1"/>
  <c r="I179" i="1"/>
  <c r="J179" i="1"/>
  <c r="N179" i="1"/>
  <c r="C180" i="1"/>
  <c r="D179" i="1"/>
  <c r="B181" i="1" l="1"/>
  <c r="H180" i="1"/>
  <c r="I180" i="1"/>
  <c r="J180" i="1"/>
  <c r="N180" i="1"/>
  <c r="C181" i="1"/>
  <c r="E179" i="1"/>
  <c r="F179" i="1"/>
  <c r="D180" i="1"/>
  <c r="B182" i="1" l="1"/>
  <c r="C182" i="1"/>
  <c r="J181" i="1"/>
  <c r="N181" i="1"/>
  <c r="E180" i="1"/>
  <c r="F180" i="1"/>
  <c r="D181" i="1"/>
  <c r="B183" i="1" l="1"/>
  <c r="C183" i="1"/>
  <c r="H182" i="1"/>
  <c r="I182" i="1"/>
  <c r="J182" i="1"/>
  <c r="N182" i="1"/>
  <c r="E181" i="1"/>
  <c r="H181" i="1" s="1"/>
  <c r="F181" i="1"/>
  <c r="I181" i="1" s="1"/>
  <c r="D182" i="1"/>
  <c r="B184" i="1" l="1"/>
  <c r="D184" i="1" s="1"/>
  <c r="C184" i="1"/>
  <c r="H183" i="1"/>
  <c r="I183" i="1"/>
  <c r="J183" i="1"/>
  <c r="N183" i="1"/>
  <c r="E182" i="1"/>
  <c r="F182" i="1"/>
  <c r="D183" i="1"/>
  <c r="F184" i="1" l="1"/>
  <c r="E184" i="1"/>
  <c r="B185" i="1"/>
  <c r="C185" i="1"/>
  <c r="J184" i="1"/>
  <c r="N184" i="1"/>
  <c r="E183" i="1"/>
  <c r="F183" i="1"/>
  <c r="D185" i="1" l="1"/>
  <c r="H184" i="1"/>
  <c r="F185" i="1"/>
  <c r="B186" i="1"/>
  <c r="C186" i="1"/>
  <c r="H185" i="1"/>
  <c r="I185" i="1"/>
  <c r="J185" i="1"/>
  <c r="N185" i="1"/>
  <c r="I184" i="1"/>
  <c r="E185" i="1" l="1"/>
  <c r="B187" i="1"/>
  <c r="D187" i="1" s="1"/>
  <c r="H186" i="1"/>
  <c r="J186" i="1"/>
  <c r="C187" i="1"/>
  <c r="I186" i="1"/>
  <c r="N186" i="1"/>
  <c r="D186" i="1"/>
  <c r="F187" i="1" l="1"/>
  <c r="I187" i="1" s="1"/>
  <c r="E187" i="1"/>
  <c r="H187" i="1" s="1"/>
  <c r="B188" i="1"/>
  <c r="J187" i="1"/>
  <c r="N187" i="1"/>
  <c r="C188" i="1"/>
  <c r="F186" i="1"/>
  <c r="E186" i="1"/>
  <c r="B189" i="1" l="1"/>
  <c r="I188" i="1"/>
  <c r="J188" i="1"/>
  <c r="C189" i="1"/>
  <c r="H188" i="1"/>
  <c r="N188" i="1"/>
  <c r="D188" i="1"/>
  <c r="B190" i="1" l="1"/>
  <c r="D190" i="1" s="1"/>
  <c r="I189" i="1"/>
  <c r="J189" i="1"/>
  <c r="N189" i="1"/>
  <c r="H189" i="1"/>
  <c r="C190" i="1"/>
  <c r="E188" i="1"/>
  <c r="F188" i="1"/>
  <c r="D189" i="1"/>
  <c r="F190" i="1" l="1"/>
  <c r="E190" i="1"/>
  <c r="H190" i="1" s="1"/>
  <c r="B191" i="1"/>
  <c r="C191" i="1"/>
  <c r="J190" i="1"/>
  <c r="N190" i="1"/>
  <c r="E189" i="1"/>
  <c r="F189" i="1"/>
  <c r="B192" i="1" l="1"/>
  <c r="H191" i="1"/>
  <c r="I191" i="1"/>
  <c r="J191" i="1"/>
  <c r="N191" i="1"/>
  <c r="C192" i="1"/>
  <c r="I190" i="1"/>
  <c r="D191" i="1"/>
  <c r="B193" i="1" l="1"/>
  <c r="J192" i="1"/>
  <c r="I192" i="1"/>
  <c r="C193" i="1"/>
  <c r="H192" i="1"/>
  <c r="N192" i="1"/>
  <c r="E191" i="1"/>
  <c r="F191" i="1"/>
  <c r="D192" i="1"/>
  <c r="B194" i="1" l="1"/>
  <c r="C194" i="1"/>
  <c r="J193" i="1"/>
  <c r="N193" i="1"/>
  <c r="E192" i="1"/>
  <c r="F192" i="1"/>
  <c r="D193" i="1"/>
  <c r="B195" i="1" l="1"/>
  <c r="I194" i="1"/>
  <c r="J194" i="1"/>
  <c r="N194" i="1"/>
  <c r="C195" i="1"/>
  <c r="H194" i="1"/>
  <c r="F193" i="1"/>
  <c r="I193" i="1" s="1"/>
  <c r="E193" i="1"/>
  <c r="H193" i="1" s="1"/>
  <c r="D194" i="1"/>
  <c r="B196" i="1" l="1"/>
  <c r="D196" i="1" s="1"/>
  <c r="C196" i="1"/>
  <c r="H195" i="1"/>
  <c r="I195" i="1"/>
  <c r="J195" i="1"/>
  <c r="N195" i="1"/>
  <c r="E194" i="1"/>
  <c r="F194" i="1"/>
  <c r="D195" i="1"/>
  <c r="F196" i="1" l="1"/>
  <c r="E196" i="1"/>
  <c r="B197" i="1"/>
  <c r="C197" i="1"/>
  <c r="J196" i="1"/>
  <c r="N196" i="1"/>
  <c r="E195" i="1"/>
  <c r="F195" i="1"/>
  <c r="H196" i="1" l="1"/>
  <c r="B198" i="1"/>
  <c r="H197" i="1"/>
  <c r="I197" i="1"/>
  <c r="J197" i="1"/>
  <c r="N197" i="1"/>
  <c r="C198" i="1"/>
  <c r="I196" i="1"/>
  <c r="D197" i="1"/>
  <c r="B199" i="1" l="1"/>
  <c r="H198" i="1"/>
  <c r="I198" i="1"/>
  <c r="J198" i="1"/>
  <c r="N198" i="1"/>
  <c r="C199" i="1"/>
  <c r="F197" i="1"/>
  <c r="E197" i="1"/>
  <c r="D198" i="1"/>
  <c r="B200" i="1" l="1"/>
  <c r="C200" i="1"/>
  <c r="J199" i="1"/>
  <c r="N199" i="1"/>
  <c r="E198" i="1"/>
  <c r="F198" i="1"/>
  <c r="D199" i="1"/>
  <c r="B201" i="1" l="1"/>
  <c r="N200" i="1"/>
  <c r="C201" i="1"/>
  <c r="H200" i="1"/>
  <c r="I200" i="1"/>
  <c r="J200" i="1"/>
  <c r="E199" i="1"/>
  <c r="H199" i="1" s="1"/>
  <c r="F199" i="1"/>
  <c r="I199" i="1" s="1"/>
  <c r="D200" i="1"/>
  <c r="B202" i="1" l="1"/>
  <c r="D202" i="1" s="1"/>
  <c r="N201" i="1"/>
  <c r="C202" i="1"/>
  <c r="J201" i="1"/>
  <c r="H201" i="1"/>
  <c r="I201" i="1"/>
  <c r="E200" i="1"/>
  <c r="F200" i="1"/>
  <c r="D201" i="1"/>
  <c r="F202" i="1" l="1"/>
  <c r="I202" i="1" s="1"/>
  <c r="E202" i="1"/>
  <c r="B203" i="1"/>
  <c r="D203" i="1" s="1"/>
  <c r="J202" i="1"/>
  <c r="N202" i="1"/>
  <c r="C203" i="1"/>
  <c r="E201" i="1"/>
  <c r="F201" i="1"/>
  <c r="H202" i="1" l="1"/>
  <c r="F203" i="1"/>
  <c r="E203" i="1"/>
  <c r="B204" i="1"/>
  <c r="D204" i="1" s="1"/>
  <c r="H203" i="1"/>
  <c r="I203" i="1"/>
  <c r="J203" i="1"/>
  <c r="N203" i="1"/>
  <c r="C204" i="1"/>
  <c r="F204" i="1" l="1"/>
  <c r="E204" i="1"/>
  <c r="B205" i="1"/>
  <c r="C205" i="1"/>
  <c r="H204" i="1"/>
  <c r="I204" i="1"/>
  <c r="J204" i="1"/>
  <c r="N204" i="1"/>
  <c r="B206" i="1" l="1"/>
  <c r="D206" i="1" s="1"/>
  <c r="N205" i="1"/>
  <c r="C206" i="1"/>
  <c r="J205" i="1"/>
  <c r="D205" i="1"/>
  <c r="F206" i="1" l="1"/>
  <c r="E206" i="1"/>
  <c r="B207" i="1"/>
  <c r="I206" i="1"/>
  <c r="N206" i="1"/>
  <c r="J206" i="1"/>
  <c r="C207" i="1"/>
  <c r="H206" i="1"/>
  <c r="E205" i="1"/>
  <c r="H205" i="1" s="1"/>
  <c r="F205" i="1"/>
  <c r="I205" i="1" s="1"/>
  <c r="D207" i="1" l="1"/>
  <c r="F207" i="1"/>
  <c r="B208" i="1"/>
  <c r="H207" i="1"/>
  <c r="N207" i="1"/>
  <c r="I207" i="1"/>
  <c r="J207" i="1"/>
  <c r="C208" i="1"/>
  <c r="E207" i="1" l="1"/>
  <c r="B209" i="1"/>
  <c r="C209" i="1"/>
  <c r="J208" i="1"/>
  <c r="N208" i="1"/>
  <c r="D208" i="1"/>
  <c r="B210" i="1" l="1"/>
  <c r="D210" i="1" s="1"/>
  <c r="H209" i="1"/>
  <c r="I209" i="1"/>
  <c r="J209" i="1"/>
  <c r="N209" i="1"/>
  <c r="C210" i="1"/>
  <c r="E208" i="1"/>
  <c r="H208" i="1" s="1"/>
  <c r="F208" i="1"/>
  <c r="I208" i="1" s="1"/>
  <c r="D209" i="1"/>
  <c r="F210" i="1" l="1"/>
  <c r="E210" i="1"/>
  <c r="B211" i="1"/>
  <c r="D211" i="1" s="1"/>
  <c r="H210" i="1"/>
  <c r="N210" i="1"/>
  <c r="I210" i="1"/>
  <c r="J210" i="1"/>
  <c r="C211" i="1"/>
  <c r="E209" i="1"/>
  <c r="F209" i="1"/>
  <c r="F211" i="1" l="1"/>
  <c r="I211" i="1" s="1"/>
  <c r="E211" i="1"/>
  <c r="H211" i="1" s="1"/>
  <c r="B212" i="1"/>
  <c r="J211" i="1"/>
  <c r="N211" i="1"/>
  <c r="C212" i="1"/>
  <c r="D212" i="1" l="1"/>
  <c r="F212" i="1"/>
  <c r="E212" i="1"/>
  <c r="B213" i="1"/>
  <c r="H212" i="1"/>
  <c r="I212" i="1"/>
  <c r="J212" i="1"/>
  <c r="N212" i="1"/>
  <c r="C213" i="1"/>
  <c r="B214" i="1" l="1"/>
  <c r="H213" i="1"/>
  <c r="I213" i="1"/>
  <c r="J213" i="1"/>
  <c r="N213" i="1"/>
  <c r="C214" i="1"/>
  <c r="D213" i="1"/>
  <c r="D214" i="1" l="1"/>
  <c r="B215" i="1"/>
  <c r="J214" i="1"/>
  <c r="N214" i="1"/>
  <c r="C215" i="1"/>
  <c r="E213" i="1"/>
  <c r="F213" i="1"/>
  <c r="E214" i="1" l="1"/>
  <c r="F214" i="1"/>
  <c r="D215" i="1"/>
  <c r="F215" i="1"/>
  <c r="E215" i="1"/>
  <c r="B216" i="1"/>
  <c r="H215" i="1"/>
  <c r="I215" i="1"/>
  <c r="J215" i="1"/>
  <c r="N215" i="1"/>
  <c r="C216" i="1"/>
  <c r="D216" i="1" l="1"/>
  <c r="H214" i="1"/>
  <c r="I214" i="1"/>
  <c r="E216" i="1"/>
  <c r="F216" i="1"/>
  <c r="B217" i="1"/>
  <c r="D217" i="1" s="1"/>
  <c r="H216" i="1"/>
  <c r="I216" i="1"/>
  <c r="J216" i="1"/>
  <c r="N216" i="1"/>
  <c r="C217" i="1"/>
  <c r="F217" i="1" l="1"/>
  <c r="I217" i="1" s="1"/>
  <c r="E217" i="1"/>
  <c r="H217" i="1" s="1"/>
  <c r="B218" i="1"/>
  <c r="J217" i="1"/>
  <c r="N217" i="1"/>
  <c r="C218" i="1"/>
  <c r="D218" i="1" l="1"/>
  <c r="F218" i="1"/>
  <c r="E218" i="1"/>
  <c r="B219" i="1"/>
  <c r="D219" i="1" s="1"/>
  <c r="I218" i="1"/>
  <c r="J218" i="1"/>
  <c r="C219" i="1"/>
  <c r="H218" i="1"/>
  <c r="N218" i="1"/>
  <c r="F219" i="1" l="1"/>
  <c r="E219" i="1"/>
  <c r="B220" i="1"/>
  <c r="D220" i="1" s="1"/>
  <c r="H219" i="1"/>
  <c r="N219" i="1"/>
  <c r="I219" i="1"/>
  <c r="J219" i="1"/>
  <c r="C220" i="1"/>
  <c r="F220" i="1" l="1"/>
  <c r="I220" i="1" s="1"/>
  <c r="E220" i="1"/>
  <c r="H220" i="1" s="1"/>
  <c r="B221" i="1"/>
  <c r="N220" i="1"/>
  <c r="J220" i="1"/>
  <c r="C221" i="1"/>
  <c r="D221" i="1" l="1"/>
  <c r="B222" i="1"/>
  <c r="J221" i="1"/>
  <c r="N221" i="1"/>
  <c r="C222" i="1"/>
  <c r="H221" i="1"/>
  <c r="I221" i="1"/>
  <c r="F221" i="1" l="1"/>
  <c r="E221" i="1"/>
  <c r="B223" i="1"/>
  <c r="H222" i="1"/>
  <c r="I222" i="1"/>
  <c r="J222" i="1"/>
  <c r="N222" i="1"/>
  <c r="C223" i="1"/>
  <c r="D222" i="1"/>
  <c r="B224" i="1" l="1"/>
  <c r="N223" i="1"/>
  <c r="C224" i="1"/>
  <c r="J223" i="1"/>
  <c r="E222" i="1"/>
  <c r="F222" i="1"/>
  <c r="D223" i="1"/>
  <c r="D224" i="1" l="1"/>
  <c r="F224" i="1"/>
  <c r="E224" i="1"/>
  <c r="B225" i="1"/>
  <c r="D225" i="1" s="1"/>
  <c r="H224" i="1"/>
  <c r="I224" i="1"/>
  <c r="J224" i="1"/>
  <c r="N224" i="1"/>
  <c r="C225" i="1"/>
  <c r="F223" i="1"/>
  <c r="I223" i="1" s="1"/>
  <c r="E223" i="1"/>
  <c r="H223" i="1" s="1"/>
  <c r="F225" i="1" l="1"/>
  <c r="E225" i="1"/>
  <c r="B226" i="1"/>
  <c r="D226" i="1" s="1"/>
  <c r="H225" i="1"/>
  <c r="C226" i="1"/>
  <c r="I225" i="1"/>
  <c r="J225" i="1"/>
  <c r="N225" i="1"/>
  <c r="F226" i="1" l="1"/>
  <c r="I226" i="1" s="1"/>
  <c r="E226" i="1"/>
  <c r="H226" i="1" s="1"/>
  <c r="B227" i="1"/>
  <c r="J226" i="1"/>
  <c r="N226" i="1"/>
  <c r="C227" i="1"/>
  <c r="D227" i="1" l="1"/>
  <c r="F227" i="1"/>
  <c r="E227" i="1"/>
  <c r="B228" i="1"/>
  <c r="D228" i="1" s="1"/>
  <c r="I227" i="1"/>
  <c r="J227" i="1"/>
  <c r="N227" i="1"/>
  <c r="C228" i="1"/>
  <c r="H227" i="1"/>
  <c r="E228" i="1" l="1"/>
  <c r="F228" i="1"/>
  <c r="B229" i="1"/>
  <c r="H228" i="1"/>
  <c r="I228" i="1"/>
  <c r="N228" i="1"/>
  <c r="C229" i="1"/>
  <c r="J228" i="1"/>
  <c r="B230" i="1" l="1"/>
  <c r="J229" i="1"/>
  <c r="N229" i="1"/>
  <c r="C230" i="1"/>
  <c r="D229" i="1"/>
  <c r="D230" i="1" l="1"/>
  <c r="F230" i="1"/>
  <c r="E230" i="1"/>
  <c r="B231" i="1"/>
  <c r="D231" i="1" s="1"/>
  <c r="H230" i="1"/>
  <c r="I230" i="1"/>
  <c r="J230" i="1"/>
  <c r="N230" i="1"/>
  <c r="C231" i="1"/>
  <c r="E229" i="1"/>
  <c r="H229" i="1" s="1"/>
  <c r="F229" i="1"/>
  <c r="I229" i="1" s="1"/>
  <c r="F231" i="1" l="1"/>
  <c r="E231" i="1"/>
  <c r="B232" i="1"/>
  <c r="I231" i="1"/>
  <c r="C232" i="1"/>
  <c r="H231" i="1"/>
  <c r="J231" i="1"/>
  <c r="N231" i="1"/>
  <c r="B233" i="1" l="1"/>
  <c r="J232" i="1"/>
  <c r="C233" i="1"/>
  <c r="N232" i="1"/>
  <c r="D232" i="1"/>
  <c r="B234" i="1" l="1"/>
  <c r="N233" i="1"/>
  <c r="I233" i="1"/>
  <c r="J233" i="1"/>
  <c r="H233" i="1"/>
  <c r="C234" i="1"/>
  <c r="E232" i="1"/>
  <c r="H232" i="1" s="1"/>
  <c r="F232" i="1"/>
  <c r="I232" i="1" s="1"/>
  <c r="D233" i="1"/>
  <c r="D234" i="1" l="1"/>
  <c r="F234" i="1"/>
  <c r="E234" i="1"/>
  <c r="B235" i="1"/>
  <c r="D235" i="1" s="1"/>
  <c r="H234" i="1"/>
  <c r="I234" i="1"/>
  <c r="J234" i="1"/>
  <c r="N234" i="1"/>
  <c r="C235" i="1"/>
  <c r="F233" i="1"/>
  <c r="E233" i="1"/>
  <c r="F235" i="1" l="1"/>
  <c r="E235" i="1"/>
  <c r="J235" i="1"/>
  <c r="N235" i="1"/>
  <c r="B236" i="1"/>
  <c r="C236" i="1"/>
  <c r="H235" i="1" l="1"/>
  <c r="I235" i="1"/>
  <c r="J236" i="1"/>
  <c r="N236" i="1"/>
  <c r="D236" i="1"/>
  <c r="B237" i="1"/>
  <c r="C237" i="1"/>
  <c r="I236" i="1"/>
  <c r="H236" i="1"/>
  <c r="J237" i="1" l="1"/>
  <c r="N237" i="1"/>
  <c r="F236" i="1"/>
  <c r="E236" i="1"/>
  <c r="B238" i="1"/>
  <c r="C238" i="1"/>
  <c r="I237" i="1"/>
  <c r="H237" i="1"/>
  <c r="D237" i="1"/>
  <c r="J238" i="1" l="1"/>
  <c r="N238" i="1"/>
  <c r="D238" i="1"/>
  <c r="B239" i="1"/>
  <c r="C239" i="1"/>
  <c r="E237" i="1"/>
  <c r="F237" i="1"/>
  <c r="J239" i="1" l="1"/>
  <c r="N239" i="1"/>
  <c r="D239" i="1"/>
  <c r="F238" i="1"/>
  <c r="E238" i="1"/>
  <c r="B240" i="1"/>
  <c r="C240" i="1"/>
  <c r="I239" i="1"/>
  <c r="H239" i="1"/>
  <c r="J240" i="1" l="1"/>
  <c r="N240" i="1"/>
  <c r="F239" i="1"/>
  <c r="E239" i="1"/>
  <c r="I238" i="1"/>
  <c r="H238" i="1"/>
  <c r="D240" i="1"/>
  <c r="B241" i="1"/>
  <c r="C241" i="1"/>
  <c r="I240" i="1"/>
  <c r="H240" i="1"/>
  <c r="J241" i="1" l="1"/>
  <c r="N241" i="1"/>
  <c r="D241" i="1"/>
  <c r="F240" i="1"/>
  <c r="E240" i="1"/>
  <c r="C242" i="1"/>
  <c r="B242" i="1"/>
  <c r="J242" i="1" l="1"/>
  <c r="N242" i="1"/>
  <c r="F241" i="1"/>
  <c r="E241" i="1"/>
  <c r="D242" i="1"/>
  <c r="C243" i="1"/>
  <c r="B243" i="1"/>
  <c r="I242" i="1"/>
  <c r="H242" i="1"/>
  <c r="J243" i="1" l="1"/>
  <c r="N243" i="1"/>
  <c r="I241" i="1"/>
  <c r="H241" i="1"/>
  <c r="F242" i="1"/>
  <c r="E242" i="1"/>
  <c r="B244" i="1"/>
  <c r="C244" i="1"/>
  <c r="I243" i="1"/>
  <c r="H243" i="1"/>
  <c r="D243" i="1"/>
  <c r="J244" i="1" l="1"/>
  <c r="N244" i="1"/>
  <c r="D244" i="1"/>
  <c r="B245" i="1"/>
  <c r="K245" i="1" s="1"/>
  <c r="C245" i="1"/>
  <c r="E243" i="1"/>
  <c r="F243" i="1"/>
  <c r="J245" i="1" l="1"/>
  <c r="N245" i="1"/>
  <c r="F244" i="1"/>
  <c r="E244" i="1"/>
  <c r="B246" i="1"/>
  <c r="C246" i="1"/>
  <c r="I245" i="1"/>
  <c r="H245" i="1"/>
  <c r="D245" i="1"/>
  <c r="J246" i="1" l="1"/>
  <c r="N246" i="1"/>
  <c r="I244" i="1"/>
  <c r="H244" i="1"/>
  <c r="B247" i="1"/>
  <c r="C247" i="1"/>
  <c r="H246" i="1"/>
  <c r="I246" i="1"/>
  <c r="E245" i="1"/>
  <c r="F245" i="1"/>
  <c r="D246" i="1"/>
  <c r="J247" i="1" l="1"/>
  <c r="N247" i="1"/>
  <c r="D247" i="1"/>
  <c r="B248" i="1"/>
  <c r="C248" i="1"/>
  <c r="E246" i="1"/>
  <c r="F246" i="1"/>
  <c r="J248" i="1" l="1"/>
  <c r="N248" i="1"/>
  <c r="F247" i="1"/>
  <c r="E247" i="1"/>
  <c r="B249" i="1"/>
  <c r="C249" i="1"/>
  <c r="H248" i="1"/>
  <c r="I248" i="1"/>
  <c r="D248" i="1"/>
  <c r="J249" i="1" l="1"/>
  <c r="N249" i="1"/>
  <c r="H247" i="1"/>
  <c r="I247" i="1"/>
  <c r="C250" i="1"/>
  <c r="B250" i="1"/>
  <c r="H249" i="1"/>
  <c r="I249" i="1"/>
  <c r="E248" i="1"/>
  <c r="F248" i="1"/>
  <c r="D249" i="1"/>
  <c r="J250" i="1" l="1"/>
  <c r="N250" i="1"/>
  <c r="D250" i="1"/>
  <c r="B251" i="1"/>
  <c r="C251" i="1"/>
  <c r="E249" i="1"/>
  <c r="F249" i="1"/>
  <c r="J251" i="1" l="1"/>
  <c r="N251" i="1"/>
  <c r="D251" i="1"/>
  <c r="F250" i="1"/>
  <c r="E250" i="1"/>
  <c r="B252" i="1"/>
  <c r="C252" i="1"/>
  <c r="H251" i="1"/>
  <c r="I251" i="1"/>
  <c r="J252" i="1" l="1"/>
  <c r="N252" i="1"/>
  <c r="F251" i="1"/>
  <c r="E251" i="1"/>
  <c r="H250" i="1"/>
  <c r="I250" i="1"/>
  <c r="D252" i="1"/>
  <c r="B253" i="1"/>
  <c r="C253" i="1"/>
  <c r="H252" i="1"/>
  <c r="I252" i="1"/>
  <c r="J253" i="1" l="1"/>
  <c r="N253" i="1"/>
  <c r="D253" i="1"/>
  <c r="F252" i="1"/>
  <c r="E252" i="1"/>
  <c r="B254" i="1"/>
  <c r="C254" i="1"/>
  <c r="J254" i="1" l="1"/>
  <c r="N254" i="1"/>
  <c r="F253" i="1"/>
  <c r="E253" i="1"/>
  <c r="B255" i="1"/>
  <c r="C255" i="1"/>
  <c r="H254" i="1"/>
  <c r="I254" i="1"/>
  <c r="D254" i="1"/>
  <c r="J255" i="1" l="1"/>
  <c r="N255" i="1"/>
  <c r="I253" i="1"/>
  <c r="H253" i="1"/>
  <c r="B256" i="1"/>
  <c r="C256" i="1"/>
  <c r="I255" i="1"/>
  <c r="H255" i="1"/>
  <c r="E254" i="1"/>
  <c r="F254" i="1"/>
  <c r="D255" i="1"/>
  <c r="J256" i="1" l="1"/>
  <c r="N256" i="1"/>
  <c r="B257" i="1"/>
  <c r="C257" i="1"/>
  <c r="E255" i="1"/>
  <c r="F255" i="1"/>
  <c r="D256" i="1"/>
  <c r="J257" i="1" l="1"/>
  <c r="N257" i="1"/>
  <c r="K257" i="1"/>
  <c r="B258" i="1"/>
  <c r="C258" i="1"/>
  <c r="I257" i="1"/>
  <c r="H257" i="1"/>
  <c r="E256" i="1"/>
  <c r="F256" i="1"/>
  <c r="D257" i="1"/>
  <c r="J258" i="1" l="1"/>
  <c r="N258" i="1"/>
  <c r="B259" i="1"/>
  <c r="C259" i="1"/>
  <c r="I258" i="1"/>
  <c r="H258" i="1"/>
  <c r="E257" i="1"/>
  <c r="F257" i="1"/>
  <c r="I256" i="1"/>
  <c r="H256" i="1"/>
  <c r="D258" i="1"/>
  <c r="J259" i="1" l="1"/>
  <c r="N259" i="1"/>
  <c r="D259" i="1"/>
  <c r="B260" i="1"/>
  <c r="C260" i="1"/>
  <c r="E258" i="1"/>
  <c r="F258" i="1"/>
  <c r="J260" i="1" l="1"/>
  <c r="N260" i="1"/>
  <c r="F259" i="1"/>
  <c r="E259" i="1"/>
  <c r="D260" i="1"/>
  <c r="B261" i="1"/>
  <c r="C261" i="1"/>
  <c r="I260" i="1"/>
  <c r="H260" i="1"/>
  <c r="J261" i="1" l="1"/>
  <c r="N261" i="1"/>
  <c r="I259" i="1"/>
  <c r="H259" i="1"/>
  <c r="D261" i="1"/>
  <c r="F260" i="1"/>
  <c r="E260" i="1"/>
  <c r="B262" i="1"/>
  <c r="C262" i="1"/>
  <c r="I261" i="1"/>
  <c r="H261" i="1"/>
  <c r="J262" i="1" l="1"/>
  <c r="N262" i="1"/>
  <c r="F261" i="1"/>
  <c r="E261" i="1"/>
  <c r="D262" i="1"/>
  <c r="C263" i="1"/>
  <c r="B263" i="1"/>
  <c r="J263" i="1" l="1"/>
  <c r="N263" i="1"/>
  <c r="E262" i="1"/>
  <c r="F262" i="1"/>
  <c r="D263" i="1"/>
  <c r="B264" i="1"/>
  <c r="C264" i="1"/>
  <c r="I263" i="1"/>
  <c r="H263" i="1"/>
  <c r="J264" i="1" l="1"/>
  <c r="N264" i="1"/>
  <c r="I262" i="1"/>
  <c r="H262" i="1"/>
  <c r="D264" i="1"/>
  <c r="F263" i="1"/>
  <c r="E263" i="1"/>
  <c r="B265" i="1"/>
  <c r="C265" i="1"/>
  <c r="I264" i="1"/>
  <c r="H264" i="1"/>
  <c r="J265" i="1" l="1"/>
  <c r="N265" i="1"/>
  <c r="E264" i="1"/>
  <c r="F264" i="1"/>
  <c r="D265" i="1"/>
  <c r="B266" i="1"/>
  <c r="C266" i="1"/>
  <c r="J266" i="1" l="1"/>
  <c r="N266" i="1"/>
  <c r="F265" i="1"/>
  <c r="E265" i="1"/>
  <c r="B267" i="1"/>
  <c r="C267" i="1"/>
  <c r="I266" i="1"/>
  <c r="H266" i="1"/>
  <c r="D266" i="1"/>
  <c r="J267" i="1" l="1"/>
  <c r="N267" i="1"/>
  <c r="I265" i="1"/>
  <c r="H265" i="1"/>
  <c r="B268" i="1"/>
  <c r="C268" i="1"/>
  <c r="I267" i="1"/>
  <c r="H267" i="1"/>
  <c r="E266" i="1"/>
  <c r="F266" i="1"/>
  <c r="D267" i="1"/>
  <c r="J268" i="1" l="1"/>
  <c r="N268" i="1"/>
  <c r="D268" i="1"/>
  <c r="B269" i="1"/>
  <c r="K269" i="1" s="1"/>
  <c r="C269" i="1"/>
  <c r="E267" i="1"/>
  <c r="F267" i="1"/>
  <c r="J269" i="1" l="1"/>
  <c r="N269" i="1"/>
  <c r="F268" i="1"/>
  <c r="E268" i="1"/>
  <c r="D269" i="1"/>
  <c r="B270" i="1"/>
  <c r="C270" i="1"/>
  <c r="I269" i="1"/>
  <c r="H269" i="1"/>
  <c r="J270" i="1" l="1"/>
  <c r="N270" i="1"/>
  <c r="H268" i="1"/>
  <c r="I268" i="1"/>
  <c r="F269" i="1"/>
  <c r="E269" i="1"/>
  <c r="B271" i="1"/>
  <c r="C271" i="1"/>
  <c r="I270" i="1"/>
  <c r="H270" i="1"/>
  <c r="D270" i="1"/>
  <c r="J271" i="1" l="1"/>
  <c r="N271" i="1"/>
  <c r="B272" i="1"/>
  <c r="C272" i="1"/>
  <c r="I271" i="1"/>
  <c r="H271" i="1"/>
  <c r="E270" i="1"/>
  <c r="F270" i="1"/>
  <c r="D271" i="1"/>
  <c r="J272" i="1" l="1"/>
  <c r="N272" i="1"/>
  <c r="B273" i="1"/>
  <c r="C273" i="1"/>
  <c r="I272" i="1"/>
  <c r="H272" i="1"/>
  <c r="E271" i="1"/>
  <c r="F271" i="1"/>
  <c r="D272" i="1"/>
  <c r="J273" i="1" l="1"/>
  <c r="N273" i="1"/>
  <c r="C274" i="1"/>
  <c r="B274" i="1"/>
  <c r="I273" i="1"/>
  <c r="H273" i="1"/>
  <c r="E272" i="1"/>
  <c r="F272" i="1"/>
  <c r="D273" i="1"/>
  <c r="J274" i="1" l="1"/>
  <c r="N274" i="1"/>
  <c r="D274" i="1"/>
  <c r="C275" i="1"/>
  <c r="B275" i="1"/>
  <c r="I274" i="1"/>
  <c r="H274" i="1"/>
  <c r="E273" i="1"/>
  <c r="F273" i="1"/>
  <c r="J275" i="1" l="1"/>
  <c r="N275" i="1"/>
  <c r="D275" i="1"/>
  <c r="F274" i="1"/>
  <c r="E274" i="1"/>
  <c r="C276" i="1"/>
  <c r="B276" i="1"/>
  <c r="I275" i="1"/>
  <c r="H275" i="1"/>
  <c r="J276" i="1" l="1"/>
  <c r="N276" i="1"/>
  <c r="F275" i="1"/>
  <c r="E275" i="1"/>
  <c r="B277" i="1"/>
  <c r="C277" i="1"/>
  <c r="I276" i="1"/>
  <c r="H276" i="1"/>
  <c r="D276" i="1"/>
  <c r="J277" i="1" l="1"/>
  <c r="N277" i="1"/>
  <c r="D277" i="1"/>
  <c r="C278" i="1"/>
  <c r="B278" i="1"/>
  <c r="I277" i="1"/>
  <c r="H277" i="1"/>
  <c r="E276" i="1"/>
  <c r="F276" i="1"/>
  <c r="J278" i="1" l="1"/>
  <c r="N278" i="1"/>
  <c r="F277" i="1"/>
  <c r="E277" i="1"/>
  <c r="B279" i="1"/>
  <c r="C279" i="1"/>
  <c r="I278" i="1"/>
  <c r="H278" i="1"/>
  <c r="D278" i="1"/>
  <c r="J279" i="1" l="1"/>
  <c r="N279" i="1"/>
  <c r="C280" i="1"/>
  <c r="B280" i="1"/>
  <c r="I279" i="1"/>
  <c r="H279" i="1"/>
  <c r="E278" i="1"/>
  <c r="F278" i="1"/>
  <c r="D279" i="1"/>
  <c r="AP9" i="1" l="1"/>
  <c r="AP11" i="1"/>
  <c r="AP10" i="1"/>
  <c r="AP12" i="1"/>
  <c r="AP13" i="1"/>
  <c r="AP15" i="1"/>
  <c r="AP14" i="1"/>
  <c r="AP17" i="1"/>
  <c r="AP16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1" i="1"/>
  <c r="AP30" i="1"/>
  <c r="AP33" i="1"/>
  <c r="AP32" i="1"/>
  <c r="AP34" i="1"/>
  <c r="AP35" i="1"/>
  <c r="AP36" i="1"/>
  <c r="AP51" i="1"/>
  <c r="AP81" i="1"/>
  <c r="AP39" i="1"/>
  <c r="AP77" i="1"/>
  <c r="AP41" i="1"/>
  <c r="AP53" i="1"/>
  <c r="AP84" i="1"/>
  <c r="AP68" i="1"/>
  <c r="AP42" i="1"/>
  <c r="AP75" i="1"/>
  <c r="AP73" i="1"/>
  <c r="AP96" i="1"/>
  <c r="AP52" i="1"/>
  <c r="AP78" i="1"/>
  <c r="AP63" i="1"/>
  <c r="AP66" i="1"/>
  <c r="AP55" i="1"/>
  <c r="AP58" i="1"/>
  <c r="AP86" i="1"/>
  <c r="AP89" i="1"/>
  <c r="AP71" i="1"/>
  <c r="AP54" i="1"/>
  <c r="AP44" i="1"/>
  <c r="AP79" i="1"/>
  <c r="AP43" i="1"/>
  <c r="AP65" i="1"/>
  <c r="AP70" i="1"/>
  <c r="AP83" i="1"/>
  <c r="AP80" i="1"/>
  <c r="AP95" i="1"/>
  <c r="AP90" i="1"/>
  <c r="AP67" i="1"/>
  <c r="AP72" i="1"/>
  <c r="AP94" i="1"/>
  <c r="AP59" i="1"/>
  <c r="AP92" i="1"/>
  <c r="AP48" i="1"/>
  <c r="AP74" i="1"/>
  <c r="AP85" i="1"/>
  <c r="AP93" i="1"/>
  <c r="AP46" i="1"/>
  <c r="AP38" i="1"/>
  <c r="AP64" i="1"/>
  <c r="AP56" i="1"/>
  <c r="AP62" i="1"/>
  <c r="AP82" i="1"/>
  <c r="AP76" i="1"/>
  <c r="AP57" i="1"/>
  <c r="AP45" i="1"/>
  <c r="AP69" i="1"/>
  <c r="AP61" i="1"/>
  <c r="AP49" i="1"/>
  <c r="AP60" i="1"/>
  <c r="AP37" i="1"/>
  <c r="AP40" i="1"/>
  <c r="AP88" i="1"/>
  <c r="AP87" i="1"/>
  <c r="AP50" i="1"/>
  <c r="AP91" i="1"/>
  <c r="AP47" i="1"/>
  <c r="J280" i="1"/>
  <c r="N280" i="1"/>
  <c r="AH9" i="1"/>
  <c r="AI9" i="1" s="1"/>
  <c r="AH10" i="1"/>
  <c r="AI10" i="1" s="1"/>
  <c r="AH11" i="1"/>
  <c r="AI11" i="1" s="1"/>
  <c r="AH13" i="1"/>
  <c r="AI13" i="1" s="1"/>
  <c r="AH14" i="1"/>
  <c r="AI14" i="1" s="1"/>
  <c r="AH15" i="1"/>
  <c r="AI15" i="1" s="1"/>
  <c r="AH17" i="1"/>
  <c r="AI17" i="1" s="1"/>
  <c r="AH16" i="1"/>
  <c r="AI16" i="1" s="1"/>
  <c r="AH18" i="1"/>
  <c r="AI18" i="1" s="1"/>
  <c r="AH19" i="1"/>
  <c r="AI19" i="1" s="1"/>
  <c r="AH21" i="1"/>
  <c r="AI21" i="1" s="1"/>
  <c r="AH20" i="1"/>
  <c r="AI20" i="1" s="1"/>
  <c r="AH22" i="1"/>
  <c r="AI22" i="1" s="1"/>
  <c r="AH23" i="1"/>
  <c r="AI23" i="1" s="1"/>
  <c r="AH25" i="1"/>
  <c r="AI25" i="1" s="1"/>
  <c r="AH24" i="1"/>
  <c r="AI24" i="1" s="1"/>
  <c r="AH27" i="1"/>
  <c r="AI27" i="1" s="1"/>
  <c r="AH26" i="1"/>
  <c r="AI26" i="1" s="1"/>
  <c r="AH28" i="1"/>
  <c r="AI28" i="1" s="1"/>
  <c r="AH29" i="1"/>
  <c r="AI29" i="1" s="1"/>
  <c r="AH30" i="1"/>
  <c r="AI30" i="1" s="1"/>
  <c r="AH31" i="1"/>
  <c r="AI31" i="1" s="1"/>
  <c r="AH32" i="1"/>
  <c r="AI32" i="1" s="1"/>
  <c r="AH33" i="1"/>
  <c r="AI33" i="1" s="1"/>
  <c r="AH34" i="1"/>
  <c r="AI34" i="1" s="1"/>
  <c r="AH35" i="1"/>
  <c r="AI35" i="1" s="1"/>
  <c r="AH36" i="1"/>
  <c r="AI36" i="1" s="1"/>
  <c r="AH37" i="1"/>
  <c r="AI37" i="1" s="1"/>
  <c r="AH39" i="1"/>
  <c r="AI39" i="1" s="1"/>
  <c r="AH38" i="1"/>
  <c r="AI38" i="1" s="1"/>
  <c r="AH41" i="1"/>
  <c r="AI41" i="1" s="1"/>
  <c r="AH42" i="1"/>
  <c r="AI42" i="1" s="1"/>
  <c r="AH40" i="1"/>
  <c r="AI40" i="1" s="1"/>
  <c r="AH43" i="1"/>
  <c r="AI43" i="1" s="1"/>
  <c r="AH44" i="1"/>
  <c r="AI44" i="1" s="1"/>
  <c r="AH45" i="1"/>
  <c r="AI45" i="1" s="1"/>
  <c r="AH46" i="1"/>
  <c r="AI46" i="1" s="1"/>
  <c r="AH47" i="1"/>
  <c r="AI47" i="1" s="1"/>
  <c r="AH48" i="1"/>
  <c r="AI48" i="1" s="1"/>
  <c r="AH49" i="1"/>
  <c r="AI49" i="1" s="1"/>
  <c r="AH50" i="1"/>
  <c r="AI50" i="1" s="1"/>
  <c r="AH51" i="1"/>
  <c r="AI51" i="1" s="1"/>
  <c r="AH53" i="1"/>
  <c r="AI53" i="1" s="1"/>
  <c r="AH52" i="1"/>
  <c r="AI52" i="1" s="1"/>
  <c r="AH55" i="1"/>
  <c r="AI55" i="1" s="1"/>
  <c r="AH54" i="1"/>
  <c r="AI54" i="1" s="1"/>
  <c r="AH57" i="1"/>
  <c r="AI57" i="1" s="1"/>
  <c r="AH56" i="1"/>
  <c r="AI56" i="1" s="1"/>
  <c r="AH58" i="1"/>
  <c r="AI58" i="1" s="1"/>
  <c r="AH59" i="1"/>
  <c r="AI59" i="1" s="1"/>
  <c r="AH61" i="1"/>
  <c r="AI61" i="1" s="1"/>
  <c r="AH60" i="1"/>
  <c r="AI60" i="1" s="1"/>
  <c r="AH62" i="1"/>
  <c r="AI62" i="1" s="1"/>
  <c r="AH63" i="1"/>
  <c r="AI63" i="1" s="1"/>
  <c r="AH65" i="1"/>
  <c r="AI65" i="1" s="1"/>
  <c r="AH64" i="1"/>
  <c r="AI64" i="1" s="1"/>
  <c r="AH67" i="1"/>
  <c r="AI67" i="1" s="1"/>
  <c r="AH66" i="1"/>
  <c r="AI66" i="1" s="1"/>
  <c r="AH69" i="1"/>
  <c r="AI69" i="1" s="1"/>
  <c r="AH68" i="1"/>
  <c r="AI68" i="1" s="1"/>
  <c r="AH70" i="1"/>
  <c r="AI70" i="1" s="1"/>
  <c r="AH71" i="1"/>
  <c r="AI71" i="1" s="1"/>
  <c r="AH73" i="1"/>
  <c r="AI73" i="1" s="1"/>
  <c r="AH72" i="1"/>
  <c r="AI72" i="1" s="1"/>
  <c r="AH74" i="1"/>
  <c r="AI74" i="1" s="1"/>
  <c r="AH75" i="1"/>
  <c r="AI75" i="1" s="1"/>
  <c r="AH76" i="1"/>
  <c r="AI76" i="1" s="1"/>
  <c r="AH77" i="1"/>
  <c r="AI77" i="1" s="1"/>
  <c r="AH78" i="1"/>
  <c r="AI78" i="1" s="1"/>
  <c r="AH80" i="1"/>
  <c r="AI80" i="1" s="1"/>
  <c r="AH79" i="1"/>
  <c r="AI79" i="1" s="1"/>
  <c r="AH82" i="1"/>
  <c r="AI82" i="1" s="1"/>
  <c r="AH81" i="1"/>
  <c r="AI81" i="1" s="1"/>
  <c r="AH84" i="1"/>
  <c r="AI84" i="1" s="1"/>
  <c r="AH83" i="1"/>
  <c r="AI83" i="1" s="1"/>
  <c r="AH86" i="1"/>
  <c r="AI86" i="1" s="1"/>
  <c r="AH85" i="1"/>
  <c r="AI85" i="1" s="1"/>
  <c r="AH87" i="1"/>
  <c r="AI87" i="1" s="1"/>
  <c r="AH88" i="1"/>
  <c r="AI88" i="1" s="1"/>
  <c r="AH89" i="1"/>
  <c r="AI89" i="1" s="1"/>
  <c r="AH90" i="1"/>
  <c r="AI90" i="1" s="1"/>
  <c r="AH92" i="1"/>
  <c r="AI92" i="1" s="1"/>
  <c r="AH91" i="1"/>
  <c r="AI91" i="1" s="1"/>
  <c r="AH94" i="1"/>
  <c r="AI94" i="1" s="1"/>
  <c r="AH93" i="1"/>
  <c r="AI93" i="1" s="1"/>
  <c r="AH95" i="1"/>
  <c r="AI95" i="1" s="1"/>
  <c r="AH96" i="1"/>
  <c r="AI96" i="1" s="1"/>
  <c r="D280" i="1"/>
  <c r="I280" i="1"/>
  <c r="H280" i="1"/>
  <c r="Z5" i="1" s="1" a="1"/>
  <c r="Z5" i="1" s="1"/>
  <c r="E279" i="1"/>
  <c r="F279" i="1"/>
  <c r="AR15" i="1" l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Q14" i="1"/>
  <c r="AR14" i="1" s="1"/>
  <c r="AR13" i="1" s="1"/>
  <c r="AR12" i="1" s="1"/>
  <c r="AR11" i="1" s="1"/>
  <c r="AR10" i="1" s="1"/>
  <c r="AR9" i="1" s="1"/>
  <c r="AM5" i="1" a="1"/>
  <c r="AM5" i="1" s="1"/>
  <c r="AB5" i="1" a="1"/>
  <c r="Y5" i="1" a="1"/>
  <c r="AL5" i="1" a="1"/>
  <c r="AL5" i="1" s="1"/>
  <c r="AQ10" i="1"/>
  <c r="F280" i="1"/>
  <c r="E280" i="1"/>
  <c r="AQ9" i="1" l="1"/>
  <c r="AR8" i="1"/>
  <c r="AE11" i="1"/>
  <c r="AE24" i="1"/>
  <c r="AE36" i="1"/>
  <c r="AE54" i="1"/>
  <c r="AE64" i="1"/>
  <c r="AE80" i="1"/>
  <c r="AE7" i="1"/>
  <c r="AE29" i="1"/>
  <c r="AE50" i="1"/>
  <c r="AE62" i="1"/>
  <c r="AE78" i="1"/>
  <c r="AE8" i="1"/>
  <c r="AE22" i="1"/>
  <c r="AE39" i="1"/>
  <c r="AE63" i="1"/>
  <c r="AE82" i="1"/>
  <c r="AE25" i="1"/>
  <c r="AE35" i="1"/>
  <c r="AE52" i="1"/>
  <c r="AE69" i="1"/>
  <c r="AE87" i="1"/>
  <c r="AE44" i="1"/>
  <c r="AE72" i="1"/>
  <c r="AE92" i="1"/>
  <c r="AE9" i="1"/>
  <c r="AE12" i="1"/>
  <c r="AE15" i="1"/>
  <c r="AE16" i="1"/>
  <c r="AE27" i="1"/>
  <c r="AE40" i="1"/>
  <c r="AE49" i="1"/>
  <c r="AE68" i="1"/>
  <c r="AE88" i="1"/>
  <c r="AE23" i="1"/>
  <c r="AE33" i="1"/>
  <c r="AE46" i="1"/>
  <c r="AE66" i="1"/>
  <c r="AE84" i="1"/>
  <c r="AE18" i="1"/>
  <c r="AE30" i="1"/>
  <c r="AE34" i="1"/>
  <c r="AE53" i="1"/>
  <c r="AE71" i="1"/>
  <c r="AE10" i="1"/>
  <c r="AE32" i="1"/>
  <c r="AE42" i="1"/>
  <c r="AE57" i="1"/>
  <c r="AE74" i="1"/>
  <c r="AE93" i="1"/>
  <c r="AE55" i="1"/>
  <c r="AE65" i="1"/>
  <c r="AE85" i="1"/>
  <c r="AE6" i="1"/>
  <c r="AE13" i="1"/>
  <c r="AE14" i="1"/>
  <c r="AE20" i="1"/>
  <c r="AE31" i="1"/>
  <c r="AE45" i="1"/>
  <c r="AE58" i="1"/>
  <c r="AE73" i="1"/>
  <c r="AE96" i="1"/>
  <c r="AE19" i="1"/>
  <c r="AE37" i="1"/>
  <c r="AE41" i="1"/>
  <c r="AE56" i="1"/>
  <c r="AE70" i="1"/>
  <c r="AE91" i="1"/>
  <c r="AE26" i="1"/>
  <c r="AE43" i="1"/>
  <c r="AE59" i="1"/>
  <c r="AE76" i="1"/>
  <c r="AE89" i="1"/>
  <c r="AE28" i="1"/>
  <c r="AE47" i="1"/>
  <c r="AE61" i="1"/>
  <c r="AE81" i="1"/>
  <c r="AE17" i="1"/>
  <c r="AE48" i="1"/>
  <c r="AE77" i="1"/>
  <c r="AE38" i="1"/>
  <c r="AE67" i="1"/>
  <c r="AE21" i="1"/>
  <c r="AE60" i="1"/>
  <c r="AE75" i="1"/>
  <c r="AE83" i="1"/>
  <c r="AE90" i="1"/>
  <c r="AE95" i="1"/>
  <c r="AE51" i="1"/>
  <c r="AE86" i="1"/>
  <c r="AE94" i="1"/>
  <c r="AE79" i="1"/>
  <c r="AB5" i="1"/>
  <c r="AE5" i="1" s="1"/>
  <c r="AT10" i="1"/>
  <c r="Y5" i="1"/>
  <c r="AA5" i="1" s="1"/>
  <c r="AD5" i="1" s="1"/>
  <c r="AA6" i="1"/>
  <c r="AD6" i="1" s="1"/>
  <c r="AA7" i="1"/>
  <c r="AD7" i="1" s="1"/>
  <c r="AA8" i="1"/>
  <c r="AD8" i="1" s="1"/>
  <c r="AA9" i="1"/>
  <c r="AD9" i="1" s="1"/>
  <c r="AA10" i="1"/>
  <c r="AD10" i="1" s="1"/>
  <c r="AA11" i="1"/>
  <c r="AD11" i="1" s="1"/>
  <c r="AA13" i="1"/>
  <c r="AD13" i="1" s="1"/>
  <c r="AA15" i="1"/>
  <c r="AD15" i="1" s="1"/>
  <c r="AA17" i="1"/>
  <c r="AD17" i="1" s="1"/>
  <c r="AA20" i="1"/>
  <c r="AD20" i="1" s="1"/>
  <c r="AA22" i="1"/>
  <c r="AD22" i="1" s="1"/>
  <c r="AA25" i="1"/>
  <c r="AD25" i="1" s="1"/>
  <c r="AA26" i="1"/>
  <c r="AD26" i="1" s="1"/>
  <c r="AA27" i="1"/>
  <c r="AD27" i="1" s="1"/>
  <c r="AA28" i="1"/>
  <c r="AD28" i="1" s="1"/>
  <c r="AA29" i="1"/>
  <c r="AD29" i="1" s="1"/>
  <c r="AA30" i="1"/>
  <c r="AD30" i="1" s="1"/>
  <c r="AA31" i="1"/>
  <c r="AD31" i="1" s="1"/>
  <c r="AA32" i="1"/>
  <c r="AD32" i="1" s="1"/>
  <c r="AA33" i="1"/>
  <c r="AD33" i="1" s="1"/>
  <c r="AA34" i="1"/>
  <c r="AD34" i="1" s="1"/>
  <c r="AA35" i="1"/>
  <c r="AD35" i="1" s="1"/>
  <c r="AA36" i="1"/>
  <c r="AD36" i="1" s="1"/>
  <c r="AA37" i="1"/>
  <c r="AD37" i="1" s="1"/>
  <c r="AA12" i="1"/>
  <c r="AD12" i="1" s="1"/>
  <c r="AA14" i="1"/>
  <c r="AD14" i="1" s="1"/>
  <c r="AA16" i="1"/>
  <c r="AD16" i="1" s="1"/>
  <c r="AA18" i="1"/>
  <c r="AD18" i="1" s="1"/>
  <c r="AA19" i="1"/>
  <c r="AD19" i="1" s="1"/>
  <c r="AA21" i="1"/>
  <c r="AD21" i="1" s="1"/>
  <c r="AA23" i="1"/>
  <c r="AD23" i="1" s="1"/>
  <c r="AA24" i="1"/>
  <c r="AD24" i="1" s="1"/>
  <c r="AA38" i="1"/>
  <c r="AD38" i="1" s="1"/>
  <c r="AA39" i="1"/>
  <c r="AD39" i="1" s="1"/>
  <c r="AA41" i="1"/>
  <c r="AD41" i="1" s="1"/>
  <c r="AA42" i="1"/>
  <c r="AD42" i="1" s="1"/>
  <c r="AA43" i="1"/>
  <c r="AD43" i="1" s="1"/>
  <c r="AA44" i="1"/>
  <c r="AD44" i="1" s="1"/>
  <c r="AA45" i="1"/>
  <c r="AD45" i="1" s="1"/>
  <c r="AA46" i="1"/>
  <c r="AD46" i="1" s="1"/>
  <c r="AA47" i="1"/>
  <c r="AD47" i="1" s="1"/>
  <c r="AA49" i="1"/>
  <c r="AD49" i="1" s="1"/>
  <c r="AA50" i="1"/>
  <c r="AD50" i="1" s="1"/>
  <c r="AA51" i="1"/>
  <c r="AD51" i="1" s="1"/>
  <c r="AA73" i="1"/>
  <c r="AD73" i="1" s="1"/>
  <c r="AA82" i="1"/>
  <c r="AD82" i="1" s="1"/>
  <c r="AA78" i="1"/>
  <c r="AD78" i="1" s="1"/>
  <c r="AA71" i="1"/>
  <c r="AD71" i="1" s="1"/>
  <c r="AA83" i="1"/>
  <c r="AD83" i="1" s="1"/>
  <c r="AA86" i="1"/>
  <c r="AD86" i="1" s="1"/>
  <c r="AA87" i="1"/>
  <c r="AD87" i="1" s="1"/>
  <c r="AA88" i="1"/>
  <c r="AD88" i="1" s="1"/>
  <c r="AA89" i="1"/>
  <c r="AD89" i="1" s="1"/>
  <c r="AA95" i="1"/>
  <c r="AD95" i="1" s="1"/>
  <c r="AA68" i="1"/>
  <c r="AD68" i="1" s="1"/>
  <c r="AA64" i="1"/>
  <c r="AD64" i="1" s="1"/>
  <c r="AA80" i="1"/>
  <c r="AD80" i="1" s="1"/>
  <c r="AA61" i="1"/>
  <c r="AD61" i="1" s="1"/>
  <c r="AA81" i="1"/>
  <c r="AD81" i="1" s="1"/>
  <c r="AA40" i="1"/>
  <c r="AD40" i="1" s="1"/>
  <c r="AA57" i="1"/>
  <c r="AD57" i="1" s="1"/>
  <c r="AA60" i="1"/>
  <c r="AD60" i="1" s="1"/>
  <c r="AA67" i="1"/>
  <c r="AD67" i="1" s="1"/>
  <c r="AA79" i="1"/>
  <c r="AD79" i="1" s="1"/>
  <c r="AA48" i="1"/>
  <c r="AD48" i="1" s="1"/>
  <c r="AA90" i="1"/>
  <c r="AD90" i="1" s="1"/>
  <c r="AA91" i="1"/>
  <c r="AD91" i="1" s="1"/>
  <c r="AA92" i="1"/>
  <c r="AD92" i="1" s="1"/>
  <c r="AA93" i="1"/>
  <c r="AD93" i="1" s="1"/>
  <c r="AA94" i="1"/>
  <c r="AD94" i="1" s="1"/>
  <c r="AA96" i="1"/>
  <c r="AD96" i="1" s="1"/>
  <c r="AA84" i="1"/>
  <c r="AD84" i="1" s="1"/>
  <c r="AA75" i="1"/>
  <c r="AD75" i="1" s="1"/>
  <c r="AA52" i="1"/>
  <c r="AD52" i="1" s="1"/>
  <c r="AA65" i="1"/>
  <c r="AD65" i="1" s="1"/>
  <c r="AA69" i="1"/>
  <c r="AD69" i="1" s="1"/>
  <c r="AA77" i="1"/>
  <c r="AD77" i="1" s="1"/>
  <c r="AA85" i="1"/>
  <c r="AD85" i="1" s="1"/>
  <c r="AA63" i="1"/>
  <c r="AD63" i="1" s="1"/>
  <c r="AA72" i="1"/>
  <c r="AD72" i="1" s="1"/>
  <c r="AA76" i="1"/>
  <c r="AD76" i="1" s="1"/>
  <c r="AA74" i="1"/>
  <c r="AD74" i="1" s="1"/>
  <c r="AA58" i="1"/>
  <c r="AD58" i="1" s="1"/>
  <c r="AA53" i="1"/>
  <c r="AD53" i="1" s="1"/>
  <c r="AA54" i="1"/>
  <c r="AD54" i="1" s="1"/>
  <c r="AA55" i="1"/>
  <c r="AD55" i="1" s="1"/>
  <c r="AA56" i="1"/>
  <c r="AD56" i="1" s="1"/>
  <c r="AA59" i="1"/>
  <c r="AD59" i="1" s="1"/>
  <c r="AA62" i="1"/>
  <c r="AD62" i="1" s="1"/>
  <c r="AA66" i="1"/>
  <c r="AD66" i="1" s="1"/>
  <c r="AA70" i="1"/>
  <c r="AD70" i="1" s="1"/>
  <c r="AT9" i="1"/>
  <c r="AS9" i="1"/>
  <c r="AS10" i="1"/>
  <c r="AQ8" i="1" l="1"/>
  <c r="AR7" i="1"/>
  <c r="AS8" i="1"/>
  <c r="AT8" i="1"/>
  <c r="AT11" i="1"/>
  <c r="AQ11" i="1"/>
  <c r="AK81" i="1"/>
  <c r="AF6" i="1"/>
  <c r="AF69" i="1"/>
  <c r="AJ69" i="1" s="1"/>
  <c r="AF77" i="1"/>
  <c r="AJ77" i="1" s="1"/>
  <c r="AF12" i="1"/>
  <c r="AJ12" i="1" s="1"/>
  <c r="AF14" i="1"/>
  <c r="AJ14" i="1" s="1"/>
  <c r="AF16" i="1"/>
  <c r="AJ16" i="1" s="1"/>
  <c r="AF18" i="1"/>
  <c r="AJ18" i="1" s="1"/>
  <c r="AF83" i="1"/>
  <c r="AJ83" i="1" s="1"/>
  <c r="AF64" i="1"/>
  <c r="AJ64" i="1" s="1"/>
  <c r="AF75" i="1"/>
  <c r="AJ75" i="1" s="1"/>
  <c r="AF80" i="1"/>
  <c r="AJ80" i="1" s="1"/>
  <c r="AF52" i="1"/>
  <c r="AJ52" i="1" s="1"/>
  <c r="AF61" i="1"/>
  <c r="AJ61" i="1" s="1"/>
  <c r="AF65" i="1"/>
  <c r="AJ65" i="1" s="1"/>
  <c r="AF81" i="1"/>
  <c r="AJ81" i="1" s="1"/>
  <c r="AF85" i="1"/>
  <c r="AJ85" i="1" s="1"/>
  <c r="AF17" i="1"/>
  <c r="AJ17" i="1" s="1"/>
  <c r="AK96" i="1"/>
  <c r="AK95" i="1"/>
  <c r="AK94" i="1"/>
  <c r="AK91" i="1"/>
  <c r="AK53" i="1"/>
  <c r="AK46" i="1"/>
  <c r="AK41" i="1"/>
  <c r="AK35" i="1"/>
  <c r="AK7" i="1"/>
  <c r="AK90" i="1"/>
  <c r="AK89" i="1"/>
  <c r="AK88" i="1"/>
  <c r="AK87" i="1"/>
  <c r="AK86" i="1"/>
  <c r="AK85" i="1"/>
  <c r="AK84" i="1"/>
  <c r="AK83" i="1"/>
  <c r="AK82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20" i="1"/>
  <c r="AK92" i="1"/>
  <c r="AK61" i="1"/>
  <c r="AK55" i="1"/>
  <c r="AK49" i="1"/>
  <c r="AK44" i="1"/>
  <c r="AK39" i="1"/>
  <c r="AK34" i="1"/>
  <c r="AK29" i="1"/>
  <c r="AK27" i="1"/>
  <c r="AK23" i="1"/>
  <c r="AK19" i="1"/>
  <c r="AK14" i="1"/>
  <c r="AK12" i="1"/>
  <c r="AK10" i="1"/>
  <c r="AK9" i="1"/>
  <c r="AK64" i="1"/>
  <c r="AK59" i="1"/>
  <c r="AK51" i="1"/>
  <c r="AK42" i="1"/>
  <c r="AK37" i="1"/>
  <c r="AK17" i="1"/>
  <c r="AK62" i="1"/>
  <c r="AK57" i="1"/>
  <c r="AK52" i="1"/>
  <c r="AK47" i="1"/>
  <c r="AK40" i="1"/>
  <c r="AK33" i="1"/>
  <c r="AK30" i="1"/>
  <c r="AK25" i="1"/>
  <c r="AK22" i="1"/>
  <c r="AK16" i="1"/>
  <c r="AK13" i="1"/>
  <c r="AK11" i="1"/>
  <c r="AK8" i="1"/>
  <c r="AK63" i="1"/>
  <c r="AK56" i="1"/>
  <c r="AK50" i="1"/>
  <c r="AK45" i="1"/>
  <c r="AK36" i="1"/>
  <c r="AK31" i="1"/>
  <c r="AK26" i="1"/>
  <c r="AK24" i="1"/>
  <c r="AK21" i="1"/>
  <c r="AK15" i="1"/>
  <c r="AK93" i="1"/>
  <c r="AK60" i="1"/>
  <c r="AK54" i="1"/>
  <c r="AK48" i="1"/>
  <c r="AK43" i="1"/>
  <c r="AK38" i="1"/>
  <c r="AK32" i="1"/>
  <c r="AK28" i="1"/>
  <c r="AK18" i="1"/>
  <c r="AK58" i="1"/>
  <c r="AF24" i="1"/>
  <c r="AJ24" i="1" s="1"/>
  <c r="AF23" i="1"/>
  <c r="AJ23" i="1" s="1"/>
  <c r="AF71" i="1"/>
  <c r="AJ71" i="1" s="1"/>
  <c r="AF51" i="1"/>
  <c r="AJ51" i="1" s="1"/>
  <c r="AF22" i="1"/>
  <c r="AJ22" i="1" s="1"/>
  <c r="AF21" i="1"/>
  <c r="AJ21" i="1" s="1"/>
  <c r="AF20" i="1"/>
  <c r="AJ20" i="1" s="1"/>
  <c r="AF19" i="1"/>
  <c r="AJ19" i="1" s="1"/>
  <c r="AF15" i="1"/>
  <c r="AJ15" i="1" s="1"/>
  <c r="AF13" i="1"/>
  <c r="AJ13" i="1" s="1"/>
  <c r="AF11" i="1"/>
  <c r="AJ11" i="1" s="1"/>
  <c r="AF10" i="1"/>
  <c r="AJ10" i="1" s="1"/>
  <c r="AF9" i="1"/>
  <c r="AJ9" i="1" s="1"/>
  <c r="AF7" i="1"/>
  <c r="AF8" i="1"/>
  <c r="AF25" i="1"/>
  <c r="AJ25" i="1" s="1"/>
  <c r="AF26" i="1"/>
  <c r="AJ26" i="1" s="1"/>
  <c r="AF27" i="1"/>
  <c r="AJ27" i="1" s="1"/>
  <c r="AF28" i="1"/>
  <c r="AJ28" i="1" s="1"/>
  <c r="AF29" i="1"/>
  <c r="AJ29" i="1" s="1"/>
  <c r="AF30" i="1"/>
  <c r="AJ30" i="1" s="1"/>
  <c r="AF31" i="1"/>
  <c r="AJ31" i="1" s="1"/>
  <c r="AF32" i="1"/>
  <c r="AJ32" i="1" s="1"/>
  <c r="AF33" i="1"/>
  <c r="AJ33" i="1" s="1"/>
  <c r="AF34" i="1"/>
  <c r="AJ34" i="1" s="1"/>
  <c r="AF35" i="1"/>
  <c r="AJ35" i="1" s="1"/>
  <c r="AF36" i="1"/>
  <c r="AJ36" i="1" s="1"/>
  <c r="AF37" i="1"/>
  <c r="AJ37" i="1" s="1"/>
  <c r="AF38" i="1"/>
  <c r="AJ38" i="1" s="1"/>
  <c r="AF39" i="1"/>
  <c r="AJ39" i="1" s="1"/>
  <c r="AF41" i="1"/>
  <c r="AJ41" i="1" s="1"/>
  <c r="AF42" i="1"/>
  <c r="AJ42" i="1" s="1"/>
  <c r="AF43" i="1"/>
  <c r="AJ43" i="1" s="1"/>
  <c r="AF44" i="1"/>
  <c r="AJ44" i="1" s="1"/>
  <c r="AF45" i="1"/>
  <c r="AJ45" i="1" s="1"/>
  <c r="AF46" i="1"/>
  <c r="AJ46" i="1" s="1"/>
  <c r="AF47" i="1"/>
  <c r="AJ47" i="1" s="1"/>
  <c r="AF50" i="1"/>
  <c r="AJ50" i="1" s="1"/>
  <c r="AF49" i="1"/>
  <c r="AJ49" i="1" s="1"/>
  <c r="AF86" i="1"/>
  <c r="AJ86" i="1" s="1"/>
  <c r="AF87" i="1"/>
  <c r="AJ87" i="1" s="1"/>
  <c r="AF88" i="1"/>
  <c r="AJ88" i="1" s="1"/>
  <c r="AF89" i="1"/>
  <c r="AJ89" i="1" s="1"/>
  <c r="AF90" i="1"/>
  <c r="AJ90" i="1" s="1"/>
  <c r="AF91" i="1"/>
  <c r="AJ91" i="1" s="1"/>
  <c r="AF92" i="1"/>
  <c r="AJ92" i="1" s="1"/>
  <c r="AF93" i="1"/>
  <c r="AJ93" i="1" s="1"/>
  <c r="AF95" i="1"/>
  <c r="AJ95" i="1" s="1"/>
  <c r="AF96" i="1"/>
  <c r="AJ96" i="1" s="1"/>
  <c r="AF68" i="1"/>
  <c r="AJ68" i="1" s="1"/>
  <c r="AF84" i="1"/>
  <c r="AJ84" i="1" s="1"/>
  <c r="AF94" i="1"/>
  <c r="AJ94" i="1" s="1"/>
  <c r="AF40" i="1"/>
  <c r="AJ40" i="1" s="1"/>
  <c r="AF57" i="1"/>
  <c r="AJ57" i="1" s="1"/>
  <c r="AF60" i="1"/>
  <c r="AJ60" i="1" s="1"/>
  <c r="AF63" i="1"/>
  <c r="AJ63" i="1" s="1"/>
  <c r="AF67" i="1"/>
  <c r="AJ67" i="1" s="1"/>
  <c r="AF72" i="1"/>
  <c r="AJ72" i="1" s="1"/>
  <c r="AF73" i="1"/>
  <c r="AJ73" i="1" s="1"/>
  <c r="AF79" i="1"/>
  <c r="AJ79" i="1" s="1"/>
  <c r="AF82" i="1"/>
  <c r="AJ82" i="1" s="1"/>
  <c r="AF48" i="1"/>
  <c r="AJ48" i="1" s="1"/>
  <c r="AF76" i="1"/>
  <c r="AJ76" i="1" s="1"/>
  <c r="AF53" i="1"/>
  <c r="AJ53" i="1" s="1"/>
  <c r="AF54" i="1"/>
  <c r="AJ54" i="1" s="1"/>
  <c r="AF55" i="1"/>
  <c r="AJ55" i="1" s="1"/>
  <c r="AF56" i="1"/>
  <c r="AJ56" i="1" s="1"/>
  <c r="AF59" i="1"/>
  <c r="AJ59" i="1" s="1"/>
  <c r="AF62" i="1"/>
  <c r="AJ62" i="1" s="1"/>
  <c r="AF66" i="1"/>
  <c r="AJ66" i="1" s="1"/>
  <c r="AF70" i="1"/>
  <c r="AJ70" i="1" s="1"/>
  <c r="AF74" i="1"/>
  <c r="AJ74" i="1" s="1"/>
  <c r="AF78" i="1"/>
  <c r="AJ78" i="1" s="1"/>
  <c r="AF58" i="1"/>
  <c r="AJ58" i="1" s="1"/>
  <c r="AS11" i="1"/>
  <c r="AS7" i="1" l="1"/>
  <c r="AT7" i="1"/>
  <c r="AQ7" i="1"/>
  <c r="AR6" i="1"/>
  <c r="AJ8" i="1"/>
  <c r="AJ7" i="1"/>
  <c r="AT12" i="1"/>
  <c r="AQ12" i="1"/>
  <c r="AS12" i="1"/>
  <c r="AS6" i="1" l="1"/>
  <c r="AT6" i="1"/>
  <c r="AQ6" i="1"/>
  <c r="AR5" i="1"/>
  <c r="AT13" i="1"/>
  <c r="AQ13" i="1"/>
  <c r="AS13" i="1"/>
  <c r="AT5" i="1" l="1"/>
  <c r="AS5" i="1"/>
  <c r="AT14" i="1"/>
  <c r="AS14" i="1"/>
  <c r="AQ15" i="1"/>
  <c r="AU12" i="1" l="1"/>
  <c r="AU11" i="1"/>
  <c r="AU8" i="1"/>
  <c r="AU10" i="1"/>
  <c r="AU9" i="1"/>
  <c r="AU13" i="1"/>
  <c r="AT15" i="1"/>
  <c r="AU14" i="1"/>
  <c r="AS15" i="1"/>
  <c r="AT16" i="1" l="1"/>
  <c r="AQ16" i="1"/>
  <c r="AU15" i="1"/>
  <c r="AS16" i="1"/>
  <c r="AT17" i="1" l="1"/>
  <c r="AQ17" i="1"/>
  <c r="AU16" i="1"/>
  <c r="AS17" i="1"/>
  <c r="AT18" i="1" l="1"/>
  <c r="AQ18" i="1"/>
  <c r="AU17" i="1"/>
  <c r="AS18" i="1"/>
  <c r="AT19" i="1" l="1"/>
  <c r="AQ19" i="1"/>
  <c r="AU18" i="1"/>
  <c r="AS19" i="1"/>
  <c r="AT20" i="1" l="1"/>
  <c r="AQ20" i="1"/>
  <c r="AU19" i="1"/>
  <c r="AS20" i="1"/>
  <c r="AT21" i="1" l="1"/>
  <c r="AQ21" i="1"/>
  <c r="AU20" i="1"/>
  <c r="AS21" i="1"/>
  <c r="AT22" i="1" l="1"/>
  <c r="AQ22" i="1"/>
  <c r="AU21" i="1"/>
  <c r="AS22" i="1"/>
  <c r="AT23" i="1" l="1"/>
  <c r="AQ23" i="1"/>
  <c r="AU22" i="1"/>
  <c r="AS23" i="1"/>
  <c r="AT24" i="1" l="1"/>
  <c r="AQ24" i="1"/>
  <c r="AU23" i="1"/>
  <c r="AS24" i="1"/>
  <c r="AT25" i="1" l="1"/>
  <c r="AQ25" i="1"/>
  <c r="AU24" i="1"/>
  <c r="AS25" i="1"/>
  <c r="AT26" i="1" l="1"/>
  <c r="AQ26" i="1"/>
  <c r="AU25" i="1"/>
  <c r="AS26" i="1"/>
  <c r="AT27" i="1" l="1"/>
  <c r="AQ27" i="1"/>
  <c r="AU26" i="1"/>
  <c r="AS27" i="1"/>
  <c r="AT28" i="1" l="1"/>
  <c r="AQ28" i="1"/>
  <c r="AU27" i="1"/>
  <c r="AS28" i="1"/>
  <c r="AT29" i="1" l="1"/>
  <c r="AQ29" i="1"/>
  <c r="AU28" i="1"/>
  <c r="AS29" i="1"/>
  <c r="AT30" i="1" l="1"/>
  <c r="AQ30" i="1"/>
  <c r="AU29" i="1"/>
  <c r="AS30" i="1"/>
  <c r="AT31" i="1" l="1"/>
  <c r="AQ31" i="1"/>
  <c r="AU30" i="1"/>
  <c r="AS31" i="1"/>
  <c r="AT32" i="1" l="1"/>
  <c r="AQ32" i="1"/>
  <c r="AU31" i="1"/>
  <c r="AS32" i="1"/>
  <c r="AT33" i="1" l="1"/>
  <c r="AQ33" i="1"/>
  <c r="AU32" i="1"/>
  <c r="AS33" i="1"/>
  <c r="AT34" i="1" l="1"/>
  <c r="AQ34" i="1"/>
  <c r="AU33" i="1"/>
  <c r="AS34" i="1"/>
  <c r="AT35" i="1" l="1"/>
  <c r="AQ35" i="1"/>
  <c r="AU34" i="1"/>
  <c r="AS35" i="1"/>
  <c r="AT36" i="1" l="1"/>
  <c r="AQ36" i="1"/>
  <c r="AU35" i="1"/>
  <c r="AS36" i="1"/>
  <c r="AT37" i="1" l="1"/>
  <c r="AQ37" i="1"/>
  <c r="AU36" i="1"/>
  <c r="AS37" i="1"/>
  <c r="AT38" i="1" l="1"/>
  <c r="AQ38" i="1"/>
  <c r="AU37" i="1"/>
  <c r="AS38" i="1"/>
  <c r="AT39" i="1" l="1"/>
  <c r="AQ39" i="1"/>
  <c r="AU38" i="1"/>
  <c r="AS39" i="1"/>
  <c r="AT40" i="1" l="1"/>
  <c r="AQ40" i="1"/>
  <c r="AU39" i="1"/>
  <c r="AS40" i="1"/>
  <c r="AT41" i="1" l="1"/>
  <c r="AQ41" i="1"/>
  <c r="AU40" i="1"/>
  <c r="AS41" i="1"/>
  <c r="AT42" i="1" l="1"/>
  <c r="AQ42" i="1"/>
  <c r="AU41" i="1"/>
  <c r="AS42" i="1"/>
  <c r="AT43" i="1" l="1"/>
  <c r="AQ43" i="1"/>
  <c r="AU42" i="1"/>
  <c r="AS43" i="1"/>
  <c r="AT44" i="1" l="1"/>
  <c r="AQ44" i="1"/>
  <c r="AU43" i="1"/>
  <c r="AS44" i="1"/>
  <c r="AT45" i="1" l="1"/>
  <c r="AQ45" i="1"/>
  <c r="AU44" i="1"/>
  <c r="AS45" i="1"/>
  <c r="AT46" i="1" l="1"/>
  <c r="AQ46" i="1"/>
  <c r="AU45" i="1"/>
  <c r="AS46" i="1"/>
  <c r="AT47" i="1" l="1"/>
  <c r="AQ47" i="1"/>
  <c r="AU46" i="1"/>
  <c r="AS47" i="1"/>
  <c r="AT48" i="1" l="1"/>
  <c r="AQ48" i="1"/>
  <c r="AU47" i="1"/>
  <c r="AS48" i="1"/>
  <c r="AT49" i="1" l="1"/>
  <c r="AQ49" i="1"/>
  <c r="AU48" i="1"/>
  <c r="AS49" i="1"/>
  <c r="AT50" i="1" l="1"/>
  <c r="AQ50" i="1"/>
  <c r="AU49" i="1"/>
  <c r="AS50" i="1"/>
  <c r="AT51" i="1" l="1"/>
  <c r="AQ51" i="1"/>
  <c r="AU50" i="1"/>
  <c r="AS51" i="1"/>
  <c r="AT52" i="1" l="1"/>
  <c r="AQ52" i="1"/>
  <c r="AU51" i="1"/>
  <c r="AS52" i="1"/>
  <c r="AT53" i="1" l="1"/>
  <c r="AQ53" i="1"/>
  <c r="AU52" i="1"/>
  <c r="AS53" i="1"/>
  <c r="AT54" i="1" l="1"/>
  <c r="AQ54" i="1"/>
  <c r="AU53" i="1"/>
  <c r="AS54" i="1"/>
  <c r="AT55" i="1" l="1"/>
  <c r="AQ55" i="1"/>
  <c r="AU54" i="1"/>
  <c r="AS55" i="1"/>
  <c r="AT56" i="1" l="1"/>
  <c r="AQ56" i="1"/>
  <c r="AU55" i="1"/>
  <c r="AS56" i="1"/>
  <c r="AT57" i="1" l="1"/>
  <c r="AQ57" i="1"/>
  <c r="AU56" i="1"/>
  <c r="AS57" i="1"/>
  <c r="AT58" i="1" l="1"/>
  <c r="AQ58" i="1"/>
  <c r="AU57" i="1"/>
  <c r="AS58" i="1"/>
  <c r="AT59" i="1" l="1"/>
  <c r="AQ59" i="1"/>
  <c r="AU58" i="1"/>
  <c r="AS59" i="1"/>
  <c r="AT60" i="1" l="1"/>
  <c r="AQ60" i="1"/>
  <c r="AU59" i="1"/>
  <c r="AS60" i="1"/>
  <c r="AT61" i="1" l="1"/>
  <c r="AQ61" i="1"/>
  <c r="AU60" i="1"/>
  <c r="AS61" i="1"/>
  <c r="AT62" i="1" l="1"/>
  <c r="AQ62" i="1"/>
  <c r="AU61" i="1"/>
  <c r="AS62" i="1"/>
  <c r="AT63" i="1" l="1"/>
  <c r="AQ63" i="1"/>
  <c r="AU62" i="1"/>
  <c r="AS63" i="1"/>
  <c r="AT64" i="1" l="1"/>
  <c r="AQ64" i="1"/>
  <c r="AU63" i="1"/>
  <c r="AS64" i="1"/>
  <c r="AT65" i="1" l="1"/>
  <c r="AQ65" i="1"/>
  <c r="AU64" i="1"/>
  <c r="AS65" i="1"/>
  <c r="AT66" i="1" l="1"/>
  <c r="AQ66" i="1"/>
  <c r="AU65" i="1"/>
  <c r="AS66" i="1"/>
  <c r="AT67" i="1" l="1"/>
  <c r="AQ67" i="1"/>
  <c r="AU66" i="1"/>
  <c r="AS67" i="1"/>
  <c r="AT68" i="1" l="1"/>
  <c r="AQ68" i="1"/>
  <c r="AU67" i="1"/>
  <c r="AS68" i="1"/>
  <c r="AT69" i="1" l="1"/>
  <c r="AQ69" i="1"/>
  <c r="AU68" i="1"/>
  <c r="AS69" i="1"/>
  <c r="AT70" i="1" l="1"/>
  <c r="AQ70" i="1"/>
  <c r="AU69" i="1"/>
  <c r="AS70" i="1"/>
  <c r="AT71" i="1" l="1"/>
  <c r="AQ71" i="1"/>
  <c r="AU70" i="1"/>
  <c r="AS71" i="1"/>
  <c r="AT72" i="1" l="1"/>
  <c r="AQ72" i="1"/>
  <c r="AU71" i="1"/>
  <c r="AS72" i="1"/>
  <c r="AT73" i="1" l="1"/>
  <c r="AQ73" i="1"/>
  <c r="AU72" i="1"/>
  <c r="AS73" i="1"/>
  <c r="AT74" i="1" l="1"/>
  <c r="AQ74" i="1"/>
  <c r="AU73" i="1"/>
  <c r="AS74" i="1"/>
  <c r="AT75" i="1" l="1"/>
  <c r="AQ75" i="1"/>
  <c r="AU74" i="1"/>
  <c r="AS75" i="1"/>
  <c r="AT76" i="1" l="1"/>
  <c r="AQ76" i="1"/>
  <c r="AU75" i="1"/>
  <c r="AS76" i="1"/>
  <c r="AT77" i="1" l="1"/>
  <c r="AQ77" i="1"/>
  <c r="AU76" i="1"/>
  <c r="AS77" i="1"/>
  <c r="AT78" i="1" l="1"/>
  <c r="AQ78" i="1"/>
  <c r="AU77" i="1"/>
  <c r="AS78" i="1"/>
  <c r="AT79" i="1" l="1"/>
  <c r="AQ79" i="1"/>
  <c r="AU78" i="1"/>
  <c r="AS79" i="1"/>
  <c r="AT80" i="1" l="1"/>
  <c r="AQ80" i="1"/>
  <c r="AU79" i="1"/>
  <c r="AS80" i="1"/>
  <c r="AT81" i="1" l="1"/>
  <c r="AQ81" i="1"/>
  <c r="AU80" i="1"/>
  <c r="AS81" i="1"/>
  <c r="AT82" i="1" l="1"/>
  <c r="AQ82" i="1"/>
  <c r="AU81" i="1"/>
  <c r="AS82" i="1"/>
  <c r="AT83" i="1" l="1"/>
  <c r="AQ83" i="1"/>
  <c r="AU82" i="1"/>
  <c r="AS83" i="1"/>
  <c r="AT84" i="1" l="1"/>
  <c r="AQ84" i="1"/>
  <c r="AU83" i="1"/>
  <c r="AS84" i="1"/>
  <c r="AT85" i="1" l="1"/>
  <c r="AQ85" i="1"/>
  <c r="AU84" i="1"/>
  <c r="AS85" i="1"/>
  <c r="AT86" i="1" l="1"/>
  <c r="AQ86" i="1"/>
  <c r="AU85" i="1"/>
  <c r="AS86" i="1"/>
  <c r="AT87" i="1" l="1"/>
  <c r="AQ87" i="1"/>
  <c r="AU86" i="1"/>
  <c r="AS87" i="1"/>
  <c r="AT88" i="1" l="1"/>
  <c r="AQ88" i="1"/>
  <c r="AU87" i="1"/>
  <c r="AS88" i="1"/>
  <c r="AT89" i="1" l="1"/>
  <c r="AQ89" i="1"/>
  <c r="AU88" i="1"/>
  <c r="AS89" i="1"/>
  <c r="AT90" i="1" l="1"/>
  <c r="AQ90" i="1"/>
  <c r="AU89" i="1"/>
  <c r="AS90" i="1"/>
  <c r="AT91" i="1" l="1"/>
  <c r="AQ91" i="1"/>
  <c r="AU90" i="1"/>
  <c r="AS91" i="1"/>
  <c r="AT92" i="1" l="1"/>
  <c r="AQ92" i="1"/>
  <c r="AU91" i="1"/>
  <c r="AS92" i="1"/>
  <c r="AT93" i="1" l="1"/>
  <c r="AQ93" i="1"/>
  <c r="AU92" i="1"/>
  <c r="AS93" i="1"/>
  <c r="AT94" i="1" l="1"/>
  <c r="AQ94" i="1"/>
  <c r="AU93" i="1"/>
  <c r="AS94" i="1"/>
  <c r="AT95" i="1" l="1"/>
  <c r="AQ95" i="1"/>
  <c r="AU94" i="1"/>
  <c r="AS95" i="1"/>
  <c r="AT96" i="1" l="1"/>
  <c r="AQ96" i="1"/>
  <c r="AU95" i="1"/>
  <c r="AS96" i="1"/>
  <c r="AU96" i="1" l="1"/>
  <c r="BE6" i="1" l="1"/>
  <c r="BG6" i="1" l="1"/>
  <c r="BE5" i="1"/>
  <c r="BG5" i="1"/>
  <c r="BH5" i="1"/>
  <c r="BE7" i="1"/>
  <c r="BE12" i="1"/>
  <c r="BE11" i="1"/>
  <c r="BE8" i="1"/>
  <c r="BE10" i="1"/>
  <c r="BE13" i="1"/>
  <c r="BE14" i="1"/>
  <c r="BE15" i="1"/>
  <c r="BE19" i="1"/>
  <c r="BG19" i="1"/>
  <c r="BE22" i="1"/>
  <c r="BE18" i="1"/>
  <c r="BE23" i="1"/>
  <c r="BE25" i="1"/>
  <c r="BE26" i="1"/>
  <c r="BE27" i="1"/>
  <c r="BE28" i="1"/>
  <c r="BE29" i="1"/>
  <c r="BE33" i="1"/>
  <c r="BE38" i="1"/>
  <c r="BE30" i="1"/>
  <c r="BE31" i="1"/>
  <c r="BE32" i="1"/>
  <c r="BE35" i="1"/>
  <c r="BE36" i="1"/>
  <c r="BE37" i="1"/>
  <c r="BE39" i="1"/>
  <c r="BG39" i="1"/>
  <c r="BE41" i="1"/>
  <c r="BG41" i="1"/>
  <c r="BE51" i="1"/>
  <c r="BE45" i="1"/>
  <c r="BG45" i="1"/>
  <c r="BH45" i="1"/>
  <c r="BE47" i="1"/>
  <c r="BE48" i="1"/>
  <c r="BE90" i="1"/>
  <c r="BE50" i="1"/>
  <c r="BE53" i="1"/>
  <c r="BE54" i="1"/>
  <c r="BE55" i="1"/>
  <c r="BE57" i="1"/>
  <c r="BE61" i="1"/>
  <c r="BG61" i="1"/>
  <c r="BH61" i="1"/>
  <c r="BE58" i="1"/>
  <c r="BE59" i="1"/>
  <c r="BG59" i="1"/>
  <c r="BE60" i="1"/>
  <c r="BE65" i="1"/>
  <c r="BE63" i="1"/>
  <c r="BE62" i="1"/>
  <c r="BE64" i="1"/>
  <c r="BG64" i="1"/>
  <c r="BH64" i="1"/>
  <c r="BE69" i="1"/>
  <c r="BE68" i="1"/>
  <c r="BE71" i="1"/>
  <c r="BE70" i="1"/>
  <c r="BG70" i="1"/>
  <c r="BH70" i="1"/>
  <c r="BE72" i="1"/>
  <c r="BE75" i="1"/>
  <c r="BE86" i="1"/>
  <c r="BE74" i="1"/>
  <c r="BE76" i="1"/>
  <c r="BE77" i="1"/>
  <c r="BG76" i="1"/>
  <c r="BE78" i="1"/>
  <c r="BE80" i="1"/>
  <c r="BE82" i="1"/>
  <c r="BE83" i="1"/>
  <c r="BG83" i="1"/>
  <c r="BE84" i="1"/>
  <c r="BE92" i="1"/>
  <c r="BG92" i="1"/>
  <c r="BE96" i="1"/>
  <c r="BE87" i="1"/>
  <c r="BG86" i="1"/>
  <c r="BF69" i="1"/>
  <c r="BF87" i="1"/>
  <c r="BF6" i="1"/>
  <c r="BG26" i="1" l="1"/>
  <c r="BH76" i="1"/>
  <c r="BG13" i="1"/>
  <c r="BH13" i="1" s="1"/>
  <c r="BF14" i="1"/>
  <c r="BG18" i="1"/>
  <c r="BH18" i="1" s="1"/>
  <c r="BH41" i="1"/>
  <c r="BG50" i="1"/>
  <c r="BF58" i="1"/>
  <c r="BG57" i="1"/>
  <c r="BH57" i="1" s="1"/>
  <c r="BG62" i="1"/>
  <c r="BH62" i="1" s="1"/>
  <c r="BF77" i="1"/>
  <c r="BG96" i="1"/>
  <c r="BH96" i="1" s="1"/>
  <c r="BG77" i="1"/>
  <c r="BF97" i="1"/>
  <c r="BF84" i="1"/>
  <c r="BF13" i="1"/>
  <c r="BG7" i="1"/>
  <c r="BH7" i="1" s="1"/>
  <c r="BF7" i="1"/>
  <c r="BG30" i="1"/>
  <c r="BF23" i="1"/>
  <c r="BH26" i="1"/>
  <c r="BF27" i="1"/>
  <c r="BG31" i="1"/>
  <c r="BF36" i="1"/>
  <c r="BG35" i="1"/>
  <c r="BH35" i="1" s="1"/>
  <c r="BG36" i="1"/>
  <c r="BH36" i="1" s="1"/>
  <c r="BF51" i="1"/>
  <c r="BH50" i="1"/>
  <c r="BG53" i="1"/>
  <c r="BH53" i="1" s="1"/>
  <c r="BH59" i="1"/>
  <c r="BF60" i="1"/>
  <c r="BF37" i="1"/>
  <c r="BG74" i="1"/>
  <c r="BF62" i="1"/>
  <c r="BG12" i="1"/>
  <c r="BH12" i="1" s="1"/>
  <c r="BF12" i="1"/>
  <c r="BF11" i="1"/>
  <c r="BG11" i="1"/>
  <c r="BF8" i="1"/>
  <c r="BG8" i="1"/>
  <c r="BG10" i="1"/>
  <c r="BG14" i="1"/>
  <c r="BF19" i="1"/>
  <c r="BH19" i="1"/>
  <c r="BF28" i="1"/>
  <c r="BG25" i="1"/>
  <c r="BH25" i="1" s="1"/>
  <c r="BF26" i="1"/>
  <c r="BF39" i="1"/>
  <c r="BF54" i="1"/>
  <c r="BH39" i="1"/>
  <c r="BF48" i="1"/>
  <c r="BG54" i="1"/>
  <c r="BG65" i="1"/>
  <c r="BH65" i="1" s="1"/>
  <c r="BF31" i="1"/>
  <c r="BG58" i="1"/>
  <c r="BF59" i="1"/>
  <c r="BF64" i="1"/>
  <c r="BG63" i="1"/>
  <c r="BH63" i="1" s="1"/>
  <c r="BF65" i="1"/>
  <c r="BG38" i="1"/>
  <c r="BH38" i="1" s="1"/>
  <c r="BG87" i="1"/>
  <c r="BH87" i="1" s="1"/>
  <c r="BF83" i="1"/>
  <c r="BG82" i="1"/>
  <c r="BH82" i="1" s="1"/>
  <c r="BH86" i="1"/>
  <c r="BF32" i="1"/>
  <c r="BH6" i="1"/>
  <c r="BE17" i="1"/>
  <c r="BE21" i="1"/>
  <c r="BE44" i="1"/>
  <c r="BE20" i="1"/>
  <c r="BG22" i="1"/>
  <c r="BH22" i="1" s="1"/>
  <c r="BG23" i="1"/>
  <c r="BH23" i="1" s="1"/>
  <c r="BE24" i="1"/>
  <c r="BE43" i="1"/>
  <c r="BE91" i="1"/>
  <c r="BG29" i="1"/>
  <c r="BH29" i="1" s="1"/>
  <c r="BF33" i="1"/>
  <c r="BF38" i="1"/>
  <c r="BG27" i="1"/>
  <c r="BH27" i="1" s="1"/>
  <c r="BG28" i="1"/>
  <c r="BH28" i="1" s="1"/>
  <c r="BF29" i="1"/>
  <c r="BF30" i="1"/>
  <c r="BG33" i="1"/>
  <c r="BH33" i="1" s="1"/>
  <c r="BE34" i="1"/>
  <c r="BE40" i="1"/>
  <c r="BG90" i="1"/>
  <c r="BH90" i="1" s="1"/>
  <c r="BE42" i="1"/>
  <c r="BE52" i="1"/>
  <c r="BE46" i="1"/>
  <c r="BG48" i="1"/>
  <c r="BH48" i="1" s="1"/>
  <c r="BE49" i="1"/>
  <c r="BG47" i="1"/>
  <c r="BH47" i="1" s="1"/>
  <c r="BG51" i="1"/>
  <c r="BH51" i="1" s="1"/>
  <c r="BF55" i="1"/>
  <c r="BG55" i="1"/>
  <c r="BH55" i="1" s="1"/>
  <c r="BE56" i="1"/>
  <c r="BG60" i="1"/>
  <c r="BH60" i="1" s="1"/>
  <c r="BF61" i="1"/>
  <c r="BE73" i="1"/>
  <c r="BF63" i="1"/>
  <c r="BG72" i="1"/>
  <c r="BH72" i="1" s="1"/>
  <c r="BE89" i="1"/>
  <c r="BE66" i="1"/>
  <c r="BE67" i="1"/>
  <c r="BF75" i="1"/>
  <c r="BH92" i="1"/>
  <c r="BE95" i="1"/>
  <c r="BE88" i="1"/>
  <c r="BG68" i="1"/>
  <c r="BH68" i="1" s="1"/>
  <c r="BG69" i="1"/>
  <c r="BH69" i="1" s="1"/>
  <c r="BF71" i="1"/>
  <c r="BF72" i="1"/>
  <c r="BG71" i="1"/>
  <c r="BH71" i="1" s="1"/>
  <c r="BG75" i="1"/>
  <c r="BH75" i="1" s="1"/>
  <c r="BE81" i="1"/>
  <c r="BF76" i="1"/>
  <c r="BE94" i="1"/>
  <c r="BG15" i="1"/>
  <c r="BH15" i="1" s="1"/>
  <c r="BF78" i="1"/>
  <c r="BG78" i="1"/>
  <c r="BH78" i="1" s="1"/>
  <c r="BE79" i="1"/>
  <c r="BE93" i="1"/>
  <c r="BE85" i="1"/>
  <c r="BH83" i="1"/>
  <c r="BG84" i="1"/>
  <c r="BH84" i="1" s="1"/>
  <c r="BF15" i="1"/>
  <c r="BG32" i="1"/>
  <c r="BH32" i="1" s="1"/>
  <c r="BG37" i="1"/>
  <c r="BH37" i="1" s="1"/>
  <c r="BG80" i="1"/>
  <c r="BH80" i="1" s="1"/>
  <c r="BF70" i="1"/>
  <c r="BH77" i="1"/>
  <c r="BE9" i="1"/>
  <c r="BE16" i="1"/>
  <c r="BH30" i="1" l="1"/>
  <c r="BH74" i="1"/>
  <c r="BF74" i="1"/>
  <c r="BH54" i="1"/>
  <c r="BH14" i="1"/>
  <c r="BH58" i="1"/>
  <c r="BF92" i="1"/>
  <c r="BH31" i="1"/>
  <c r="BH8" i="1"/>
  <c r="BH10" i="1"/>
  <c r="BH11" i="1"/>
  <c r="BF18" i="1"/>
  <c r="BF17" i="1"/>
  <c r="BG17" i="1"/>
  <c r="BH17" i="1" s="1"/>
  <c r="BF21" i="1"/>
  <c r="BG21" i="1"/>
  <c r="BH21" i="1" s="1"/>
  <c r="BF22" i="1"/>
  <c r="BF44" i="1"/>
  <c r="BG44" i="1"/>
  <c r="BH44" i="1" s="1"/>
  <c r="BG20" i="1"/>
  <c r="BH20" i="1" s="1"/>
  <c r="BF20" i="1"/>
  <c r="BG24" i="1"/>
  <c r="BH24" i="1" s="1"/>
  <c r="BF25" i="1"/>
  <c r="BF24" i="1"/>
  <c r="BG43" i="1"/>
  <c r="BH43" i="1" s="1"/>
  <c r="BF43" i="1"/>
  <c r="BF91" i="1"/>
  <c r="BG91" i="1"/>
  <c r="BH91" i="1" s="1"/>
  <c r="BF34" i="1"/>
  <c r="BF35" i="1"/>
  <c r="BG34" i="1"/>
  <c r="BH34" i="1" s="1"/>
  <c r="BF41" i="1"/>
  <c r="BG40" i="1"/>
  <c r="BH40" i="1" s="1"/>
  <c r="BF40" i="1"/>
  <c r="BG42" i="1"/>
  <c r="BH42" i="1" s="1"/>
  <c r="BF42" i="1"/>
  <c r="BG52" i="1"/>
  <c r="BH52" i="1" s="1"/>
  <c r="BF53" i="1"/>
  <c r="BF52" i="1"/>
  <c r="BG46" i="1"/>
  <c r="BH46" i="1" s="1"/>
  <c r="BF47" i="1"/>
  <c r="BF46" i="1"/>
  <c r="BF50" i="1"/>
  <c r="BG49" i="1"/>
  <c r="BH49" i="1" s="1"/>
  <c r="BF49" i="1"/>
  <c r="BF57" i="1"/>
  <c r="BG56" i="1"/>
  <c r="BH56" i="1" s="1"/>
  <c r="BF56" i="1"/>
  <c r="BF73" i="1"/>
  <c r="BG73" i="1"/>
  <c r="BH73" i="1" s="1"/>
  <c r="BF89" i="1"/>
  <c r="BG89" i="1"/>
  <c r="BH89" i="1" s="1"/>
  <c r="BG66" i="1"/>
  <c r="BH66" i="1" s="1"/>
  <c r="BF66" i="1"/>
  <c r="BF68" i="1"/>
  <c r="BG67" i="1"/>
  <c r="BH67" i="1" s="1"/>
  <c r="BF67" i="1"/>
  <c r="BF96" i="1"/>
  <c r="BG95" i="1"/>
  <c r="BH95" i="1" s="1"/>
  <c r="BF95" i="1"/>
  <c r="BF88" i="1"/>
  <c r="BG88" i="1"/>
  <c r="BH88" i="1" s="1"/>
  <c r="BF81" i="1"/>
  <c r="BG81" i="1"/>
  <c r="BH81" i="1" s="1"/>
  <c r="BF82" i="1"/>
  <c r="BF94" i="1"/>
  <c r="BG94" i="1"/>
  <c r="BH94" i="1" s="1"/>
  <c r="BG79" i="1"/>
  <c r="BH79" i="1" s="1"/>
  <c r="BF80" i="1"/>
  <c r="BF79" i="1"/>
  <c r="BF93" i="1"/>
  <c r="BG93" i="1"/>
  <c r="BH93" i="1" s="1"/>
  <c r="BF86" i="1"/>
  <c r="BG85" i="1"/>
  <c r="BH85" i="1" s="1"/>
  <c r="BF85" i="1"/>
  <c r="BG9" i="1"/>
  <c r="BF10" i="1"/>
  <c r="BF9" i="1"/>
  <c r="BG16" i="1"/>
  <c r="BH16" i="1" s="1"/>
  <c r="BF16" i="1"/>
  <c r="BF45" i="1"/>
  <c r="BF90" i="1"/>
  <c r="BH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 LEGION</author>
  </authors>
  <commentList>
    <comment ref="AO5" authorId="0" shapeId="0" xr:uid="{1D3D3DA9-F338-4B14-8DCF-FD9E1F5B7D3F}">
      <text>
        <r>
          <rPr>
            <b/>
            <sz val="9"/>
            <color indexed="81"/>
            <rFont val="Tahoma"/>
            <family val="2"/>
          </rPr>
          <t>Sacado de estadísticas históricas BANREP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<sst xmlns="http://schemas.openxmlformats.org/spreadsheetml/2006/main" count="91" uniqueCount="73">
  <si>
    <t>Año</t>
  </si>
  <si>
    <t>Mes</t>
  </si>
  <si>
    <t>Fecha</t>
  </si>
  <si>
    <t>NAIRU</t>
  </si>
  <si>
    <t>NAICU</t>
  </si>
  <si>
    <t>NAIRU promedio trimestre</t>
  </si>
  <si>
    <t>NAICU promedio trimestre</t>
  </si>
  <si>
    <t>PIB (DANE)</t>
  </si>
  <si>
    <t>Serie desestacionalizada, datos tomados del archivo PIB_CO</t>
  </si>
  <si>
    <t>PIB Tendencial HP</t>
  </si>
  <si>
    <t>Producción</t>
  </si>
  <si>
    <t>Cálculo propio</t>
  </si>
  <si>
    <t>Fuerza Laboral</t>
  </si>
  <si>
    <t>PEA, DANE</t>
  </si>
  <si>
    <t>Fuerza Laboral promedio trimestre</t>
  </si>
  <si>
    <t>Jornada Laboral</t>
  </si>
  <si>
    <t>Trabajo (Horas)</t>
  </si>
  <si>
    <t>Horas anuales descontando vacaciones y festivos (6.6 semanas)</t>
  </si>
  <si>
    <t>Índice PIB</t>
  </si>
  <si>
    <t>Capital Humano</t>
  </si>
  <si>
    <t>Penn World Table</t>
  </si>
  <si>
    <t>Índice Capital Humano</t>
  </si>
  <si>
    <t>Factor Trabajo</t>
  </si>
  <si>
    <t>hc</t>
  </si>
  <si>
    <t>year</t>
  </si>
  <si>
    <t>Obtenidos mediante tendencia lineal a partir de PWT</t>
  </si>
  <si>
    <t>Remuneración de los asalariados</t>
  </si>
  <si>
    <t>Impuestos menos subvenciones</t>
  </si>
  <si>
    <t>Excedente bruto de eplotación</t>
  </si>
  <si>
    <t>Ingreso mixto</t>
  </si>
  <si>
    <t>RA / (RA + EBE)</t>
  </si>
  <si>
    <t>Alpha</t>
  </si>
  <si>
    <t>1-Alpha</t>
  </si>
  <si>
    <t>Alpha (Constante)</t>
  </si>
  <si>
    <t>DANE</t>
  </si>
  <si>
    <t>DANE Enfoque Ingreso</t>
  </si>
  <si>
    <t>Inversión</t>
  </si>
  <si>
    <t>DANE PIB Gasto, FBKF</t>
  </si>
  <si>
    <t>Inversión como pct del PIB</t>
  </si>
  <si>
    <t>Tasa de depreciación</t>
  </si>
  <si>
    <t>Tasa de Depreciación</t>
  </si>
  <si>
    <t>delta</t>
  </si>
  <si>
    <t>K/Y Ratio</t>
  </si>
  <si>
    <t>Capital Físico</t>
  </si>
  <si>
    <t>Factor Capital</t>
  </si>
  <si>
    <t>PTF</t>
  </si>
  <si>
    <t>Residuo de Solow</t>
  </si>
  <si>
    <t>PIB Potencial</t>
  </si>
  <si>
    <t>Ocupados</t>
  </si>
  <si>
    <t>Ocupados*</t>
  </si>
  <si>
    <t>Trabajo (Horas)*</t>
  </si>
  <si>
    <t>Índice Trabajo*</t>
  </si>
  <si>
    <t>Índice Trabajo</t>
  </si>
  <si>
    <t>Índice LH*</t>
  </si>
  <si>
    <t>Índice LH</t>
  </si>
  <si>
    <t>ICU</t>
  </si>
  <si>
    <t>ANDI, Fedesarrollo</t>
  </si>
  <si>
    <t>ICU promedio trimestre</t>
  </si>
  <si>
    <t>Capital Usado*</t>
  </si>
  <si>
    <t>Capital Usado</t>
  </si>
  <si>
    <t>Índice K*</t>
  </si>
  <si>
    <t>Índice K</t>
  </si>
  <si>
    <t>Brecha del PIB</t>
  </si>
  <si>
    <t>Matriz en el DANE que dice número de horas en el trabajo principal y en el trabajo secundatio</t>
  </si>
  <si>
    <t>Brecha del PIB (HP)</t>
  </si>
  <si>
    <t>PWT</t>
  </si>
  <si>
    <t>Partiendo de estado estable en 2004</t>
  </si>
  <si>
    <t>PIB observado</t>
  </si>
  <si>
    <t>PIB tendencial HP</t>
  </si>
  <si>
    <t>PIB potencial</t>
  </si>
  <si>
    <t>Brecha del PIB (tendencial HP)</t>
  </si>
  <si>
    <t>Brecha del PIB (potencial)</t>
  </si>
  <si>
    <t>Índice Tendencial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</si>
</sst>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14" fontId="0" fillId="0" borderId="0" xfId="0" applyNumberFormat="1"/>
    <xf numFmtId="0" fontId="3" fillId="0" borderId="0" xfId="0" applyFont="1"/>
    <xf numFmtId="2" fontId="0" fillId="0" borderId="0" xfId="0" applyNumberFormat="1"/>
    <xf numFmtId="43" fontId="0" fillId="0" borderId="0" xfId="0" applyNumberFormat="1"/>
    <xf numFmtId="1" fontId="0" fillId="0" borderId="0" xfId="0" applyNumberFormat="1"/>
    <xf numFmtId="0" fontId="0" fillId="2" borderId="0" xfId="0" applyFill="1"/>
    <xf numFmtId="0" fontId="4" fillId="2" borderId="0" xfId="0" applyFont="1" applyFill="1" applyAlignment="1">
      <alignment horizontal="center" wrapText="1"/>
    </xf>
    <xf numFmtId="0" fontId="3" fillId="0" borderId="1" xfId="0" applyFont="1" applyBorder="1"/>
    <xf numFmtId="14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3" fontId="0" fillId="0" borderId="2" xfId="1" applyFont="1" applyBorder="1"/>
    <xf numFmtId="43" fontId="0" fillId="0" borderId="0" xfId="1" applyFont="1" applyBorder="1"/>
    <xf numFmtId="43" fontId="0" fillId="0" borderId="1" xfId="1" applyFont="1" applyBorder="1"/>
    <xf numFmtId="14" fontId="0" fillId="0" borderId="2" xfId="0" applyNumberFormat="1" applyBorder="1"/>
    <xf numFmtId="164" fontId="0" fillId="0" borderId="2" xfId="1" applyNumberFormat="1" applyFont="1" applyBorder="1"/>
    <xf numFmtId="43" fontId="0" fillId="2" borderId="0" xfId="1" applyFont="1" applyFill="1" applyBorder="1"/>
    <xf numFmtId="10" fontId="0" fillId="0" borderId="0" xfId="2" applyNumberFormat="1" applyFont="1"/>
    <xf numFmtId="165" fontId="0" fillId="0" borderId="0" xfId="0" applyNumberFormat="1"/>
    <xf numFmtId="0" fontId="0" fillId="0" borderId="1" xfId="0" applyBorder="1"/>
    <xf numFmtId="0" fontId="0" fillId="0" borderId="2" xfId="0" applyBorder="1"/>
    <xf numFmtId="2" fontId="0" fillId="2" borderId="0" xfId="0" applyNumberFormat="1" applyFill="1"/>
    <xf numFmtId="43" fontId="0" fillId="0" borderId="1" xfId="0" applyNumberFormat="1" applyBorder="1"/>
    <xf numFmtId="0" fontId="3" fillId="3" borderId="2" xfId="0" applyFont="1" applyFill="1" applyBorder="1"/>
    <xf numFmtId="0" fontId="3" fillId="4" borderId="0" xfId="0" applyFont="1" applyFill="1"/>
    <xf numFmtId="0" fontId="3" fillId="3" borderId="0" xfId="0" applyFont="1" applyFill="1"/>
    <xf numFmtId="0" fontId="3" fillId="4" borderId="2" xfId="0" applyFont="1" applyFill="1" applyBorder="1"/>
    <xf numFmtId="0" fontId="2" fillId="0" borderId="0" xfId="0" applyFont="1" applyAlignment="1">
      <alignment horizontal="center"/>
    </xf>
    <xf numFmtId="9" fontId="0" fillId="0" borderId="0" xfId="2" applyFont="1" applyBorder="1"/>
    <xf numFmtId="9" fontId="0" fillId="0" borderId="1" xfId="2" applyFont="1" applyBorder="1"/>
    <xf numFmtId="10" fontId="0" fillId="0" borderId="0" xfId="2" applyNumberFormat="1" applyFont="1" applyBorder="1"/>
    <xf numFmtId="10" fontId="0" fillId="2" borderId="0" xfId="2" applyNumberFormat="1" applyFont="1" applyFill="1" applyBorder="1"/>
    <xf numFmtId="43" fontId="6" fillId="0" borderId="0" xfId="0" applyNumberFormat="1" applyFont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 wrapText="1"/>
    </xf>
    <xf numFmtId="0" fontId="6" fillId="0" borderId="0" xfId="0" applyFont="1" applyAlignment="1">
      <alignment horizontal="center"/>
    </xf>
    <xf numFmtId="0" fontId="3" fillId="0" borderId="0" xfId="0" applyFont="1" applyFill="1" applyBorder="1"/>
    <xf numFmtId="2" fontId="0" fillId="0" borderId="0" xfId="2" applyNumberFormat="1" applyFont="1" applyBorder="1"/>
    <xf numFmtId="43" fontId="0" fillId="0" borderId="0" xfId="1" applyNumberFormat="1" applyFon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Sheet1!$B$401:$B$420</c:f>
              <c:numCache>
                <c:formatCode>0</c:formatCode>
                <c:ptCount val="20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</c:numCache>
            </c:numRef>
          </c:xVal>
          <c:yVal>
            <c:numRef>
              <c:f>Sheet1!$C$401:$C$420</c:f>
              <c:numCache>
                <c:formatCode>0.00</c:formatCode>
                <c:ptCount val="20"/>
                <c:pt idx="0">
                  <c:v>2.2495639324188201</c:v>
                </c:pt>
                <c:pt idx="1">
                  <c:v>2.2717452049255402</c:v>
                </c:pt>
                <c:pt idx="2">
                  <c:v>2.2941451072692902</c:v>
                </c:pt>
                <c:pt idx="3">
                  <c:v>2.3167660236358598</c:v>
                </c:pt>
                <c:pt idx="4">
                  <c:v>2.3396098613739</c:v>
                </c:pt>
                <c:pt idx="5">
                  <c:v>2.3626790046691899</c:v>
                </c:pt>
                <c:pt idx="6">
                  <c:v>2.38597559928894</c:v>
                </c:pt>
                <c:pt idx="7">
                  <c:v>2.41068816184998</c:v>
                </c:pt>
                <c:pt idx="8">
                  <c:v>2.4356567859649698</c:v>
                </c:pt>
                <c:pt idx="9">
                  <c:v>2.4608843326568599</c:v>
                </c:pt>
                <c:pt idx="10">
                  <c:v>2.4863727092742902</c:v>
                </c:pt>
                <c:pt idx="11">
                  <c:v>2.5121252536773699</c:v>
                </c:pt>
                <c:pt idx="12">
                  <c:v>2.5381448268890399</c:v>
                </c:pt>
                <c:pt idx="13">
                  <c:v>2.5629780292511</c:v>
                </c:pt>
                <c:pt idx="14">
                  <c:v>2.5808203220367401</c:v>
                </c:pt>
                <c:pt idx="15">
                  <c:v>2.59878706932068</c:v>
                </c:pt>
                <c:pt idx="16">
                  <c:v>2.6168789863586399</c:v>
                </c:pt>
                <c:pt idx="17">
                  <c:v>2.6382591724395801</c:v>
                </c:pt>
                <c:pt idx="18">
                  <c:v>2.6601254940032999</c:v>
                </c:pt>
                <c:pt idx="19">
                  <c:v>2.6824913024902299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95-4810-8D0A-626D452E6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366752"/>
        <c:axId val="95455824"/>
      </c:scatterChart>
      <c:valAx>
        <c:axId val="31336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55824"/>
        <c:crosses val="autoZero"/>
        <c:crossBetween val="midCat"/>
      </c:valAx>
      <c:valAx>
        <c:axId val="9545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36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3.7614696617668926E-2"/>
                  <c:y val="0.15257301808066759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Sheet1!$B$401:$B$420</c:f>
              <c:numCache>
                <c:formatCode>0</c:formatCode>
                <c:ptCount val="20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</c:numCache>
            </c:numRef>
          </c:xVal>
          <c:yVal>
            <c:numRef>
              <c:f>Sheet1!$D$401:$D$420</c:f>
              <c:numCache>
                <c:formatCode>0.0000</c:formatCode>
                <c:ptCount val="20"/>
                <c:pt idx="0">
                  <c:v>3.1810741871595397E-2</c:v>
                </c:pt>
                <c:pt idx="1">
                  <c:v>3.1943887472152703E-2</c:v>
                </c:pt>
                <c:pt idx="2">
                  <c:v>3.2420206815004397E-2</c:v>
                </c:pt>
                <c:pt idx="3">
                  <c:v>3.3165283501148203E-2</c:v>
                </c:pt>
                <c:pt idx="4">
                  <c:v>3.3944629132747699E-2</c:v>
                </c:pt>
                <c:pt idx="5">
                  <c:v>3.4526836127042798E-2</c:v>
                </c:pt>
                <c:pt idx="6">
                  <c:v>3.4942641854286201E-2</c:v>
                </c:pt>
                <c:pt idx="7">
                  <c:v>3.5686161369085298E-2</c:v>
                </c:pt>
                <c:pt idx="8">
                  <c:v>3.65020483732224E-2</c:v>
                </c:pt>
                <c:pt idx="9">
                  <c:v>3.7031713873147999E-2</c:v>
                </c:pt>
                <c:pt idx="10">
                  <c:v>3.7471737712621703E-2</c:v>
                </c:pt>
                <c:pt idx="11">
                  <c:v>3.7777654826641097E-2</c:v>
                </c:pt>
                <c:pt idx="12">
                  <c:v>3.7806391716003397E-2</c:v>
                </c:pt>
                <c:pt idx="13">
                  <c:v>3.7680886685848201E-2</c:v>
                </c:pt>
                <c:pt idx="14">
                  <c:v>3.7647020071744898E-2</c:v>
                </c:pt>
                <c:pt idx="15">
                  <c:v>3.7836160510778399E-2</c:v>
                </c:pt>
                <c:pt idx="16">
                  <c:v>3.7847474217414898E-2</c:v>
                </c:pt>
                <c:pt idx="17">
                  <c:v>3.7736713886261E-2</c:v>
                </c:pt>
                <c:pt idx="18">
                  <c:v>3.7901800125837298E-2</c:v>
                </c:pt>
                <c:pt idx="19">
                  <c:v>3.8016445934772498E-2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B3-45DC-B7D9-DCEF4F73E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366752"/>
        <c:axId val="95455824"/>
      </c:scatterChart>
      <c:valAx>
        <c:axId val="31336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55824"/>
        <c:crosses val="autoZero"/>
        <c:crossBetween val="midCat"/>
      </c:valAx>
      <c:valAx>
        <c:axId val="9545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36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Sheet1!$BB$53:$BB$92</c:f>
              <c:numCache>
                <c:formatCode>General</c:formatCode>
                <c:ptCount val="40"/>
                <c:pt idx="0">
                  <c:v>0.32999859776706492</c:v>
                </c:pt>
                <c:pt idx="1">
                  <c:v>0.34849308740237428</c:v>
                </c:pt>
                <c:pt idx="2">
                  <c:v>0.34711665284255472</c:v>
                </c:pt>
                <c:pt idx="3">
                  <c:v>0.3519347484586336</c:v>
                </c:pt>
                <c:pt idx="4">
                  <c:v>0.32747244795976971</c:v>
                </c:pt>
                <c:pt idx="5">
                  <c:v>0.3503435717877057</c:v>
                </c:pt>
                <c:pt idx="6">
                  <c:v>0.34158556495557957</c:v>
                </c:pt>
                <c:pt idx="7">
                  <c:v>0.3532171692206294</c:v>
                </c:pt>
                <c:pt idx="8">
                  <c:v>0.32005814076676314</c:v>
                </c:pt>
                <c:pt idx="9">
                  <c:v>0.35632183908045978</c:v>
                </c:pt>
                <c:pt idx="10">
                  <c:v>0.34837788061956931</c:v>
                </c:pt>
                <c:pt idx="11">
                  <c:v>0.35763864867981093</c:v>
                </c:pt>
                <c:pt idx="12">
                  <c:v>0.32425000993364328</c:v>
                </c:pt>
                <c:pt idx="13">
                  <c:v>0.35192177516228368</c:v>
                </c:pt>
                <c:pt idx="14">
                  <c:v>0.34184949237180784</c:v>
                </c:pt>
                <c:pt idx="15">
                  <c:v>0.34727362183669541</c:v>
                </c:pt>
                <c:pt idx="16">
                  <c:v>0.31315080532681172</c:v>
                </c:pt>
                <c:pt idx="17">
                  <c:v>0.30654192426130084</c:v>
                </c:pt>
                <c:pt idx="18">
                  <c:v>0.33720196592977791</c:v>
                </c:pt>
                <c:pt idx="19">
                  <c:v>0.3212235495872573</c:v>
                </c:pt>
                <c:pt idx="20">
                  <c:v>0.32275281104105324</c:v>
                </c:pt>
                <c:pt idx="21">
                  <c:v>0.33617186697765844</c:v>
                </c:pt>
                <c:pt idx="22">
                  <c:v>0.33981459303040701</c:v>
                </c:pt>
                <c:pt idx="23">
                  <c:v>0.35647574375730118</c:v>
                </c:pt>
                <c:pt idx="24">
                  <c:v>0.32281316622041945</c:v>
                </c:pt>
                <c:pt idx="25">
                  <c:v>0.36071495139708665</c:v>
                </c:pt>
                <c:pt idx="26">
                  <c:v>0.34029705899143181</c:v>
                </c:pt>
                <c:pt idx="27">
                  <c:v>0.35809560035501459</c:v>
                </c:pt>
                <c:pt idx="28">
                  <c:v>0.32777823782709509</c:v>
                </c:pt>
                <c:pt idx="29">
                  <c:v>0.34185255079903604</c:v>
                </c:pt>
                <c:pt idx="30">
                  <c:v>0.32748914787497357</c:v>
                </c:pt>
                <c:pt idx="31">
                  <c:v>0.33336697205823346</c:v>
                </c:pt>
                <c:pt idx="32">
                  <c:v>0.30994063439230979</c:v>
                </c:pt>
                <c:pt idx="33">
                  <c:v>0.32689492210813509</c:v>
                </c:pt>
                <c:pt idx="34">
                  <c:v>0.31858137650339019</c:v>
                </c:pt>
                <c:pt idx="35">
                  <c:v>0.31692473698408419</c:v>
                </c:pt>
                <c:pt idx="36">
                  <c:v>0.2988848185917572</c:v>
                </c:pt>
                <c:pt idx="37">
                  <c:v>0.31408961449975004</c:v>
                </c:pt>
                <c:pt idx="38">
                  <c:v>0.30406355985428968</c:v>
                </c:pt>
                <c:pt idx="39">
                  <c:v>0.30885991703142351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87-4156-850A-19A73594C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511744"/>
        <c:axId val="1390644464"/>
      </c:scatterChart>
      <c:valAx>
        <c:axId val="124851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644464"/>
        <c:crosses val="autoZero"/>
        <c:crossBetween val="midCat"/>
      </c:valAx>
      <c:valAx>
        <c:axId val="139064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51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3"/>
          <c:tx>
            <c:strRef>
              <c:f>Sheet1!$BN$4</c:f>
              <c:strCache>
                <c:ptCount val="1"/>
                <c:pt idx="0">
                  <c:v>Brecha del PIB (tendencial HP)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Sheet1!$BJ$5:$BJ$92</c:f>
              <c:numCache>
                <c:formatCode>m/d/yyyy</c:formatCode>
                <c:ptCount val="88"/>
                <c:pt idx="0">
                  <c:v>38047</c:v>
                </c:pt>
                <c:pt idx="1">
                  <c:v>38139</c:v>
                </c:pt>
                <c:pt idx="2">
                  <c:v>38231</c:v>
                </c:pt>
                <c:pt idx="3">
                  <c:v>38322</c:v>
                </c:pt>
                <c:pt idx="4">
                  <c:v>38412</c:v>
                </c:pt>
                <c:pt idx="5">
                  <c:v>38504</c:v>
                </c:pt>
                <c:pt idx="6">
                  <c:v>38596</c:v>
                </c:pt>
                <c:pt idx="7">
                  <c:v>38687</c:v>
                </c:pt>
                <c:pt idx="8">
                  <c:v>38777</c:v>
                </c:pt>
                <c:pt idx="9">
                  <c:v>38869</c:v>
                </c:pt>
                <c:pt idx="10">
                  <c:v>38961</c:v>
                </c:pt>
                <c:pt idx="11">
                  <c:v>39052</c:v>
                </c:pt>
                <c:pt idx="12">
                  <c:v>39142</c:v>
                </c:pt>
                <c:pt idx="13">
                  <c:v>39234</c:v>
                </c:pt>
                <c:pt idx="14">
                  <c:v>39326</c:v>
                </c:pt>
                <c:pt idx="15">
                  <c:v>39417</c:v>
                </c:pt>
                <c:pt idx="16">
                  <c:v>39508</c:v>
                </c:pt>
                <c:pt idx="17">
                  <c:v>39600</c:v>
                </c:pt>
                <c:pt idx="18">
                  <c:v>39692</c:v>
                </c:pt>
                <c:pt idx="19">
                  <c:v>39783</c:v>
                </c:pt>
                <c:pt idx="20">
                  <c:v>39873</c:v>
                </c:pt>
                <c:pt idx="21">
                  <c:v>39965</c:v>
                </c:pt>
                <c:pt idx="22">
                  <c:v>40057</c:v>
                </c:pt>
                <c:pt idx="23">
                  <c:v>40148</c:v>
                </c:pt>
                <c:pt idx="24">
                  <c:v>40238</c:v>
                </c:pt>
                <c:pt idx="25">
                  <c:v>40330</c:v>
                </c:pt>
                <c:pt idx="26">
                  <c:v>40422</c:v>
                </c:pt>
                <c:pt idx="27">
                  <c:v>40513</c:v>
                </c:pt>
                <c:pt idx="28">
                  <c:v>40603</c:v>
                </c:pt>
                <c:pt idx="29">
                  <c:v>40695</c:v>
                </c:pt>
                <c:pt idx="30">
                  <c:v>40787</c:v>
                </c:pt>
                <c:pt idx="31">
                  <c:v>40878</c:v>
                </c:pt>
                <c:pt idx="32">
                  <c:v>40969</c:v>
                </c:pt>
                <c:pt idx="33">
                  <c:v>41061</c:v>
                </c:pt>
                <c:pt idx="34">
                  <c:v>41153</c:v>
                </c:pt>
                <c:pt idx="35">
                  <c:v>41244</c:v>
                </c:pt>
                <c:pt idx="36">
                  <c:v>41334</c:v>
                </c:pt>
                <c:pt idx="37">
                  <c:v>41426</c:v>
                </c:pt>
                <c:pt idx="38">
                  <c:v>41518</c:v>
                </c:pt>
                <c:pt idx="39">
                  <c:v>41609</c:v>
                </c:pt>
                <c:pt idx="40">
                  <c:v>41699</c:v>
                </c:pt>
                <c:pt idx="41">
                  <c:v>41791</c:v>
                </c:pt>
                <c:pt idx="42">
                  <c:v>41883</c:v>
                </c:pt>
                <c:pt idx="43">
                  <c:v>41974</c:v>
                </c:pt>
                <c:pt idx="44">
                  <c:v>42064</c:v>
                </c:pt>
                <c:pt idx="45">
                  <c:v>42156</c:v>
                </c:pt>
                <c:pt idx="46">
                  <c:v>42248</c:v>
                </c:pt>
                <c:pt idx="47">
                  <c:v>42339</c:v>
                </c:pt>
                <c:pt idx="48">
                  <c:v>42430</c:v>
                </c:pt>
                <c:pt idx="49">
                  <c:v>42522</c:v>
                </c:pt>
                <c:pt idx="50">
                  <c:v>42614</c:v>
                </c:pt>
                <c:pt idx="51">
                  <c:v>42705</c:v>
                </c:pt>
                <c:pt idx="52">
                  <c:v>42795</c:v>
                </c:pt>
                <c:pt idx="53">
                  <c:v>42887</c:v>
                </c:pt>
                <c:pt idx="54">
                  <c:v>42979</c:v>
                </c:pt>
                <c:pt idx="55">
                  <c:v>43070</c:v>
                </c:pt>
                <c:pt idx="56">
                  <c:v>43160</c:v>
                </c:pt>
                <c:pt idx="57">
                  <c:v>43252</c:v>
                </c:pt>
                <c:pt idx="58">
                  <c:v>43344</c:v>
                </c:pt>
                <c:pt idx="59">
                  <c:v>43435</c:v>
                </c:pt>
                <c:pt idx="60">
                  <c:v>43525</c:v>
                </c:pt>
                <c:pt idx="61">
                  <c:v>43617</c:v>
                </c:pt>
                <c:pt idx="62">
                  <c:v>43709</c:v>
                </c:pt>
                <c:pt idx="63">
                  <c:v>43800</c:v>
                </c:pt>
                <c:pt idx="64">
                  <c:v>43891</c:v>
                </c:pt>
                <c:pt idx="65">
                  <c:v>43983</c:v>
                </c:pt>
                <c:pt idx="66">
                  <c:v>44075</c:v>
                </c:pt>
                <c:pt idx="67">
                  <c:v>44166</c:v>
                </c:pt>
                <c:pt idx="68">
                  <c:v>44256</c:v>
                </c:pt>
                <c:pt idx="69">
                  <c:v>44348</c:v>
                </c:pt>
                <c:pt idx="70">
                  <c:v>44440</c:v>
                </c:pt>
                <c:pt idx="71">
                  <c:v>44531</c:v>
                </c:pt>
                <c:pt idx="72">
                  <c:v>44621</c:v>
                </c:pt>
                <c:pt idx="73">
                  <c:v>44713</c:v>
                </c:pt>
                <c:pt idx="74">
                  <c:v>44805</c:v>
                </c:pt>
                <c:pt idx="75">
                  <c:v>44896</c:v>
                </c:pt>
                <c:pt idx="76">
                  <c:v>44986</c:v>
                </c:pt>
                <c:pt idx="77">
                  <c:v>45078</c:v>
                </c:pt>
                <c:pt idx="78">
                  <c:v>45170</c:v>
                </c:pt>
                <c:pt idx="79">
                  <c:v>45261</c:v>
                </c:pt>
                <c:pt idx="80">
                  <c:v>45352</c:v>
                </c:pt>
                <c:pt idx="81">
                  <c:v>45444</c:v>
                </c:pt>
                <c:pt idx="82">
                  <c:v>45536</c:v>
                </c:pt>
                <c:pt idx="83">
                  <c:v>45627</c:v>
                </c:pt>
                <c:pt idx="84">
                  <c:v>45717</c:v>
                </c:pt>
                <c:pt idx="85">
                  <c:v>45809</c:v>
                </c:pt>
                <c:pt idx="86">
                  <c:v>45901</c:v>
                </c:pt>
                <c:pt idx="87">
                  <c:v>45992</c:v>
                </c:pt>
              </c:numCache>
            </c:numRef>
          </c:cat>
          <c:val>
            <c:numRef>
              <c:f>Sheet1!$BN$5:$BN$92</c:f>
              <c:numCache>
                <c:formatCode>0%</c:formatCode>
                <c:ptCount val="88"/>
                <c:pt idx="0">
                  <c:v>6.5062814116243484E-3</c:v>
                </c:pt>
                <c:pt idx="1">
                  <c:v>-8.5581192310284493E-3</c:v>
                </c:pt>
                <c:pt idx="2">
                  <c:v>-1.1176634344381098E-2</c:v>
                </c:pt>
                <c:pt idx="3">
                  <c:v>6.8925500597010192E-3</c:v>
                </c:pt>
                <c:pt idx="4">
                  <c:v>-9.830393816143923E-3</c:v>
                </c:pt>
                <c:pt idx="5">
                  <c:v>8.6485160557336904E-4</c:v>
                </c:pt>
                <c:pt idx="6">
                  <c:v>-1.5695376996613053E-2</c:v>
                </c:pt>
                <c:pt idx="7">
                  <c:v>-1.0909046318109294E-2</c:v>
                </c:pt>
                <c:pt idx="8">
                  <c:v>-8.9965616359855005E-4</c:v>
                </c:pt>
                <c:pt idx="9">
                  <c:v>-1.0607996189149205E-4</c:v>
                </c:pt>
                <c:pt idx="10">
                  <c:v>6.6275930982333531E-3</c:v>
                </c:pt>
                <c:pt idx="11">
                  <c:v>1.0093359591147211E-2</c:v>
                </c:pt>
                <c:pt idx="12">
                  <c:v>1.5375661233161697E-2</c:v>
                </c:pt>
                <c:pt idx="13">
                  <c:v>1.6882007667262888E-2</c:v>
                </c:pt>
                <c:pt idx="14">
                  <c:v>2.6226992586857678E-2</c:v>
                </c:pt>
                <c:pt idx="15">
                  <c:v>2.7325758436278269E-2</c:v>
                </c:pt>
                <c:pt idx="16">
                  <c:v>2.0501789468120313E-2</c:v>
                </c:pt>
                <c:pt idx="17">
                  <c:v>1.7003866092818676E-2</c:v>
                </c:pt>
                <c:pt idx="18">
                  <c:v>1.5025895222835484E-2</c:v>
                </c:pt>
                <c:pt idx="19">
                  <c:v>-1.2448314916309489E-2</c:v>
                </c:pt>
                <c:pt idx="20">
                  <c:v>-2.0104352927933111E-2</c:v>
                </c:pt>
                <c:pt idx="21">
                  <c:v>-1.9634377552777971E-2</c:v>
                </c:pt>
                <c:pt idx="22">
                  <c:v>-2.0065357725054689E-2</c:v>
                </c:pt>
                <c:pt idx="23">
                  <c:v>-2.299456395372379E-2</c:v>
                </c:pt>
                <c:pt idx="24">
                  <c:v>-2.4574560275228863E-2</c:v>
                </c:pt>
                <c:pt idx="25">
                  <c:v>-1.9503228146901641E-2</c:v>
                </c:pt>
                <c:pt idx="26">
                  <c:v>-2.3181366907568779E-2</c:v>
                </c:pt>
                <c:pt idx="27">
                  <c:v>-1.3814760824083283E-2</c:v>
                </c:pt>
                <c:pt idx="28">
                  <c:v>-4.5006577295954031E-3</c:v>
                </c:pt>
                <c:pt idx="29">
                  <c:v>-4.9684938514826804E-4</c:v>
                </c:pt>
                <c:pt idx="30">
                  <c:v>8.302359228504308E-3</c:v>
                </c:pt>
                <c:pt idx="31">
                  <c:v>3.258903651839562E-3</c:v>
                </c:pt>
                <c:pt idx="32">
                  <c:v>8.7981850977842946E-3</c:v>
                </c:pt>
                <c:pt idx="33">
                  <c:v>1.1641889954898677E-3</c:v>
                </c:pt>
                <c:pt idx="34">
                  <c:v>-1.4411524174280932E-2</c:v>
                </c:pt>
                <c:pt idx="35">
                  <c:v>-1.2575056181316713E-2</c:v>
                </c:pt>
                <c:pt idx="36">
                  <c:v>-1.0742531180775061E-2</c:v>
                </c:pt>
                <c:pt idx="37">
                  <c:v>1.2160161816969328E-2</c:v>
                </c:pt>
                <c:pt idx="38">
                  <c:v>4.9175139414741054E-3</c:v>
                </c:pt>
                <c:pt idx="39">
                  <c:v>9.7342298966462959E-3</c:v>
                </c:pt>
                <c:pt idx="40">
                  <c:v>1.4900850248315445E-2</c:v>
                </c:pt>
                <c:pt idx="41">
                  <c:v>8.5067236225022658E-3</c:v>
                </c:pt>
                <c:pt idx="42">
                  <c:v>1.0173803879120147E-2</c:v>
                </c:pt>
                <c:pt idx="43">
                  <c:v>1.2375777755669004E-2</c:v>
                </c:pt>
                <c:pt idx="44">
                  <c:v>1.0671846894505288E-2</c:v>
                </c:pt>
                <c:pt idx="45">
                  <c:v>1.1201135317654209E-2</c:v>
                </c:pt>
                <c:pt idx="46">
                  <c:v>1.4392536204090867E-2</c:v>
                </c:pt>
                <c:pt idx="47">
                  <c:v>4.7530700304245777E-3</c:v>
                </c:pt>
                <c:pt idx="48">
                  <c:v>8.960248537609683E-3</c:v>
                </c:pt>
                <c:pt idx="49">
                  <c:v>7.1943315413116604E-3</c:v>
                </c:pt>
                <c:pt idx="50">
                  <c:v>4.3978788477123665E-3</c:v>
                </c:pt>
                <c:pt idx="51">
                  <c:v>5.6041506790378559E-3</c:v>
                </c:pt>
                <c:pt idx="52">
                  <c:v>-6.6211735105792258E-4</c:v>
                </c:pt>
                <c:pt idx="53">
                  <c:v>-7.8683294128534254E-4</c:v>
                </c:pt>
                <c:pt idx="54">
                  <c:v>6.552759984830292E-4</c:v>
                </c:pt>
                <c:pt idx="55">
                  <c:v>7.4737426172633015E-4</c:v>
                </c:pt>
                <c:pt idx="56">
                  <c:v>-1.4621792631451802E-3</c:v>
                </c:pt>
                <c:pt idx="57">
                  <c:v>7.8205478369746118E-3</c:v>
                </c:pt>
                <c:pt idx="58">
                  <c:v>1.0612227259049867E-2</c:v>
                </c:pt>
                <c:pt idx="59">
                  <c:v>1.2050485468621419E-2</c:v>
                </c:pt>
                <c:pt idx="60">
                  <c:v>1.5422196417110401E-2</c:v>
                </c:pt>
                <c:pt idx="61">
                  <c:v>1.9493965280920955E-2</c:v>
                </c:pt>
                <c:pt idx="62">
                  <c:v>2.2482124368969458E-2</c:v>
                </c:pt>
                <c:pt idx="63">
                  <c:v>2.3373737939322625E-2</c:v>
                </c:pt>
                <c:pt idx="64">
                  <c:v>-1.825946332197792E-3</c:v>
                </c:pt>
                <c:pt idx="65">
                  <c:v>-0.16940325390913724</c:v>
                </c:pt>
                <c:pt idx="66">
                  <c:v>-9.1687415800381755E-2</c:v>
                </c:pt>
                <c:pt idx="67">
                  <c:v>-3.4661515155278599E-2</c:v>
                </c:pt>
                <c:pt idx="68">
                  <c:v>-1.3548354323078104E-2</c:v>
                </c:pt>
                <c:pt idx="69">
                  <c:v>-4.3693148516084301E-2</c:v>
                </c:pt>
                <c:pt idx="70">
                  <c:v>-4.2725211972693966E-4</c:v>
                </c:pt>
                <c:pt idx="71">
                  <c:v>3.8442674176269787E-2</c:v>
                </c:pt>
                <c:pt idx="72">
                  <c:v>3.0915208640872383E-2</c:v>
                </c:pt>
                <c:pt idx="73">
                  <c:v>3.8966994303168079E-2</c:v>
                </c:pt>
                <c:pt idx="74">
                  <c:v>3.7900450216439729E-2</c:v>
                </c:pt>
                <c:pt idx="75">
                  <c:v>2.6708026740587476E-2</c:v>
                </c:pt>
                <c:pt idx="76">
                  <c:v>2.5116306513492725E-2</c:v>
                </c:pt>
                <c:pt idx="77">
                  <c:v>1.0953524473173548E-2</c:v>
                </c:pt>
                <c:pt idx="78">
                  <c:v>2.2994135713969577E-3</c:v>
                </c:pt>
                <c:pt idx="79">
                  <c:v>3.2145042224842602E-3</c:v>
                </c:pt>
                <c:pt idx="80">
                  <c:v>-1.6760515062803627E-3</c:v>
                </c:pt>
                <c:pt idx="81">
                  <c:v>-9.9178761141882621E-4</c:v>
                </c:pt>
                <c:pt idx="82">
                  <c:v>-9.3448423679656223E-3</c:v>
                </c:pt>
                <c:pt idx="83">
                  <c:v>-1.469318328720326E-3</c:v>
                </c:pt>
                <c:pt idx="84">
                  <c:v>-3.5117923781423643E-3</c:v>
                </c:pt>
                <c:pt idx="85">
                  <c:v>-6.5891108477663662E-3</c:v>
                </c:pt>
                <c:pt idx="86">
                  <c:v>-6.4290919115150835E-4</c:v>
                </c:pt>
                <c:pt idx="87">
                  <c:v>-5.9712204671716895E-3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27-4431-93B1-65E319A87177}"/>
            </c:ext>
          </c:extLst>
        </c:ser>
        <c:ser>
          <c:idx val="4"/>
          <c:order val="4"/>
          <c:tx>
            <c:strRef>
              <c:f>Sheet1!$BO$4</c:f>
              <c:strCache>
                <c:ptCount val="1"/>
                <c:pt idx="0">
                  <c:v>Brecha del PIB (potencial)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Sheet1!$BJ$5:$BJ$92</c:f>
              <c:numCache>
                <c:formatCode>m/d/yyyy</c:formatCode>
                <c:ptCount val="88"/>
                <c:pt idx="0">
                  <c:v>38047</c:v>
                </c:pt>
                <c:pt idx="1">
                  <c:v>38139</c:v>
                </c:pt>
                <c:pt idx="2">
                  <c:v>38231</c:v>
                </c:pt>
                <c:pt idx="3">
                  <c:v>38322</c:v>
                </c:pt>
                <c:pt idx="4">
                  <c:v>38412</c:v>
                </c:pt>
                <c:pt idx="5">
                  <c:v>38504</c:v>
                </c:pt>
                <c:pt idx="6">
                  <c:v>38596</c:v>
                </c:pt>
                <c:pt idx="7">
                  <c:v>38687</c:v>
                </c:pt>
                <c:pt idx="8">
                  <c:v>38777</c:v>
                </c:pt>
                <c:pt idx="9">
                  <c:v>38869</c:v>
                </c:pt>
                <c:pt idx="10">
                  <c:v>38961</c:v>
                </c:pt>
                <c:pt idx="11">
                  <c:v>39052</c:v>
                </c:pt>
                <c:pt idx="12">
                  <c:v>39142</c:v>
                </c:pt>
                <c:pt idx="13">
                  <c:v>39234</c:v>
                </c:pt>
                <c:pt idx="14">
                  <c:v>39326</c:v>
                </c:pt>
                <c:pt idx="15">
                  <c:v>39417</c:v>
                </c:pt>
                <c:pt idx="16">
                  <c:v>39508</c:v>
                </c:pt>
                <c:pt idx="17">
                  <c:v>39600</c:v>
                </c:pt>
                <c:pt idx="18">
                  <c:v>39692</c:v>
                </c:pt>
                <c:pt idx="19">
                  <c:v>39783</c:v>
                </c:pt>
                <c:pt idx="20">
                  <c:v>39873</c:v>
                </c:pt>
                <c:pt idx="21">
                  <c:v>39965</c:v>
                </c:pt>
                <c:pt idx="22">
                  <c:v>40057</c:v>
                </c:pt>
                <c:pt idx="23">
                  <c:v>40148</c:v>
                </c:pt>
                <c:pt idx="24">
                  <c:v>40238</c:v>
                </c:pt>
                <c:pt idx="25">
                  <c:v>40330</c:v>
                </c:pt>
                <c:pt idx="26">
                  <c:v>40422</c:v>
                </c:pt>
                <c:pt idx="27">
                  <c:v>40513</c:v>
                </c:pt>
                <c:pt idx="28">
                  <c:v>40603</c:v>
                </c:pt>
                <c:pt idx="29">
                  <c:v>40695</c:v>
                </c:pt>
                <c:pt idx="30">
                  <c:v>40787</c:v>
                </c:pt>
                <c:pt idx="31">
                  <c:v>40878</c:v>
                </c:pt>
                <c:pt idx="32">
                  <c:v>40969</c:v>
                </c:pt>
                <c:pt idx="33">
                  <c:v>41061</c:v>
                </c:pt>
                <c:pt idx="34">
                  <c:v>41153</c:v>
                </c:pt>
                <c:pt idx="35">
                  <c:v>41244</c:v>
                </c:pt>
                <c:pt idx="36">
                  <c:v>41334</c:v>
                </c:pt>
                <c:pt idx="37">
                  <c:v>41426</c:v>
                </c:pt>
                <c:pt idx="38">
                  <c:v>41518</c:v>
                </c:pt>
                <c:pt idx="39">
                  <c:v>41609</c:v>
                </c:pt>
                <c:pt idx="40">
                  <c:v>41699</c:v>
                </c:pt>
                <c:pt idx="41">
                  <c:v>41791</c:v>
                </c:pt>
                <c:pt idx="42">
                  <c:v>41883</c:v>
                </c:pt>
                <c:pt idx="43">
                  <c:v>41974</c:v>
                </c:pt>
                <c:pt idx="44">
                  <c:v>42064</c:v>
                </c:pt>
                <c:pt idx="45">
                  <c:v>42156</c:v>
                </c:pt>
                <c:pt idx="46">
                  <c:v>42248</c:v>
                </c:pt>
                <c:pt idx="47">
                  <c:v>42339</c:v>
                </c:pt>
                <c:pt idx="48">
                  <c:v>42430</c:v>
                </c:pt>
                <c:pt idx="49">
                  <c:v>42522</c:v>
                </c:pt>
                <c:pt idx="50">
                  <c:v>42614</c:v>
                </c:pt>
                <c:pt idx="51">
                  <c:v>42705</c:v>
                </c:pt>
                <c:pt idx="52">
                  <c:v>42795</c:v>
                </c:pt>
                <c:pt idx="53">
                  <c:v>42887</c:v>
                </c:pt>
                <c:pt idx="54">
                  <c:v>42979</c:v>
                </c:pt>
                <c:pt idx="55">
                  <c:v>43070</c:v>
                </c:pt>
                <c:pt idx="56">
                  <c:v>43160</c:v>
                </c:pt>
                <c:pt idx="57">
                  <c:v>43252</c:v>
                </c:pt>
                <c:pt idx="58">
                  <c:v>43344</c:v>
                </c:pt>
                <c:pt idx="59">
                  <c:v>43435</c:v>
                </c:pt>
                <c:pt idx="60">
                  <c:v>43525</c:v>
                </c:pt>
                <c:pt idx="61">
                  <c:v>43617</c:v>
                </c:pt>
                <c:pt idx="62">
                  <c:v>43709</c:v>
                </c:pt>
                <c:pt idx="63">
                  <c:v>43800</c:v>
                </c:pt>
                <c:pt idx="64">
                  <c:v>43891</c:v>
                </c:pt>
                <c:pt idx="65">
                  <c:v>43983</c:v>
                </c:pt>
                <c:pt idx="66">
                  <c:v>44075</c:v>
                </c:pt>
                <c:pt idx="67">
                  <c:v>44166</c:v>
                </c:pt>
                <c:pt idx="68">
                  <c:v>44256</c:v>
                </c:pt>
                <c:pt idx="69">
                  <c:v>44348</c:v>
                </c:pt>
                <c:pt idx="70">
                  <c:v>44440</c:v>
                </c:pt>
                <c:pt idx="71">
                  <c:v>44531</c:v>
                </c:pt>
                <c:pt idx="72">
                  <c:v>44621</c:v>
                </c:pt>
                <c:pt idx="73">
                  <c:v>44713</c:v>
                </c:pt>
                <c:pt idx="74">
                  <c:v>44805</c:v>
                </c:pt>
                <c:pt idx="75">
                  <c:v>44896</c:v>
                </c:pt>
                <c:pt idx="76">
                  <c:v>44986</c:v>
                </c:pt>
                <c:pt idx="77">
                  <c:v>45078</c:v>
                </c:pt>
                <c:pt idx="78">
                  <c:v>45170</c:v>
                </c:pt>
                <c:pt idx="79">
                  <c:v>45261</c:v>
                </c:pt>
                <c:pt idx="80">
                  <c:v>45352</c:v>
                </c:pt>
                <c:pt idx="81">
                  <c:v>45444</c:v>
                </c:pt>
                <c:pt idx="82">
                  <c:v>45536</c:v>
                </c:pt>
                <c:pt idx="83">
                  <c:v>45627</c:v>
                </c:pt>
                <c:pt idx="84">
                  <c:v>45717</c:v>
                </c:pt>
                <c:pt idx="85">
                  <c:v>45809</c:v>
                </c:pt>
                <c:pt idx="86">
                  <c:v>45901</c:v>
                </c:pt>
                <c:pt idx="87">
                  <c:v>45992</c:v>
                </c:pt>
              </c:numCache>
            </c:numRef>
          </c:cat>
          <c:val>
            <c:numRef>
              <c:f>Sheet1!$BO$5:$BO$92</c:f>
              <c:numCache>
                <c:formatCode>0%</c:formatCode>
                <c:ptCount val="88"/>
                <c:pt idx="0">
                  <c:v>-2.7792078094006301E-2</c:v>
                </c:pt>
                <c:pt idx="1">
                  <c:v>-1.8445180690059293E-2</c:v>
                </c:pt>
                <c:pt idx="2">
                  <c:v>8.7819203336680918E-3</c:v>
                </c:pt>
                <c:pt idx="3">
                  <c:v>6.5584315608882005E-3</c:v>
                </c:pt>
                <c:pt idx="4">
                  <c:v>3.756773713530448E-3</c:v>
                </c:pt>
                <c:pt idx="5">
                  <c:v>2.5260237562388044E-2</c:v>
                </c:pt>
                <c:pt idx="6">
                  <c:v>2.8077181885627134E-2</c:v>
                </c:pt>
                <c:pt idx="7">
                  <c:v>3.0855639861912421E-2</c:v>
                </c:pt>
                <c:pt idx="8">
                  <c:v>2.1651937171074831E-2</c:v>
                </c:pt>
                <c:pt idx="9">
                  <c:v>3.7961389007377999E-2</c:v>
                </c:pt>
                <c:pt idx="10">
                  <c:v>-2.9235170580268477E-3</c:v>
                </c:pt>
                <c:pt idx="11">
                  <c:v>8.8572096871408768E-4</c:v>
                </c:pt>
                <c:pt idx="12">
                  <c:v>-4.773711443673001E-4</c:v>
                </c:pt>
                <c:pt idx="13">
                  <c:v>9.0284380089160621E-3</c:v>
                </c:pt>
                <c:pt idx="14">
                  <c:v>1.567394794248389E-2</c:v>
                </c:pt>
                <c:pt idx="15">
                  <c:v>-1.0763125659915773E-2</c:v>
                </c:pt>
                <c:pt idx="16">
                  <c:v>-1.3352129959672832E-3</c:v>
                </c:pt>
                <c:pt idx="17">
                  <c:v>-2.5486626210522112E-2</c:v>
                </c:pt>
                <c:pt idx="18">
                  <c:v>-3.419267401079118E-3</c:v>
                </c:pt>
                <c:pt idx="19">
                  <c:v>-1.0209114024947619E-2</c:v>
                </c:pt>
                <c:pt idx="20">
                  <c:v>-1.1593547354687872E-2</c:v>
                </c:pt>
                <c:pt idx="21">
                  <c:v>-1.3689969175459504E-2</c:v>
                </c:pt>
                <c:pt idx="22">
                  <c:v>-1.327964783013702E-2</c:v>
                </c:pt>
                <c:pt idx="23">
                  <c:v>-5.4429297738246563E-3</c:v>
                </c:pt>
                <c:pt idx="24">
                  <c:v>-7.0548972615125383E-4</c:v>
                </c:pt>
                <c:pt idx="25">
                  <c:v>4.4371553618682835E-3</c:v>
                </c:pt>
                <c:pt idx="26">
                  <c:v>1.5364320616924942E-2</c:v>
                </c:pt>
                <c:pt idx="27">
                  <c:v>-4.6098915852810229E-4</c:v>
                </c:pt>
                <c:pt idx="28">
                  <c:v>1.2678845967764474E-2</c:v>
                </c:pt>
                <c:pt idx="29">
                  <c:v>1.0951829344748809E-2</c:v>
                </c:pt>
                <c:pt idx="30">
                  <c:v>2.2035589983569359E-2</c:v>
                </c:pt>
                <c:pt idx="31">
                  <c:v>3.599632124220431E-4</c:v>
                </c:pt>
                <c:pt idx="32">
                  <c:v>8.3765087856699783E-3</c:v>
                </c:pt>
                <c:pt idx="33">
                  <c:v>1.8098191986889001E-2</c:v>
                </c:pt>
                <c:pt idx="34">
                  <c:v>8.7883684443634813E-3</c:v>
                </c:pt>
                <c:pt idx="35">
                  <c:v>1.713672418886647E-3</c:v>
                </c:pt>
                <c:pt idx="36">
                  <c:v>-7.7853732275441345E-3</c:v>
                </c:pt>
                <c:pt idx="37">
                  <c:v>7.3623964515179274E-3</c:v>
                </c:pt>
                <c:pt idx="38">
                  <c:v>1.6158312348785842E-2</c:v>
                </c:pt>
                <c:pt idx="39">
                  <c:v>1.2361997692869942E-2</c:v>
                </c:pt>
                <c:pt idx="40">
                  <c:v>4.5212786734916133E-3</c:v>
                </c:pt>
                <c:pt idx="41">
                  <c:v>7.9634880550216725E-3</c:v>
                </c:pt>
                <c:pt idx="42">
                  <c:v>1.2075570765152532E-2</c:v>
                </c:pt>
                <c:pt idx="43">
                  <c:v>-2.2272431728156628E-2</c:v>
                </c:pt>
                <c:pt idx="44">
                  <c:v>-8.7761032212911871E-3</c:v>
                </c:pt>
                <c:pt idx="45">
                  <c:v>-4.1634245155974803E-3</c:v>
                </c:pt>
                <c:pt idx="46">
                  <c:v>3.6191330541335276E-3</c:v>
                </c:pt>
                <c:pt idx="47">
                  <c:v>8.425633560038559E-4</c:v>
                </c:pt>
                <c:pt idx="48">
                  <c:v>-2.4164247787027415E-3</c:v>
                </c:pt>
                <c:pt idx="49">
                  <c:v>1.0937510821690921E-2</c:v>
                </c:pt>
                <c:pt idx="50">
                  <c:v>1.436103359959473E-2</c:v>
                </c:pt>
                <c:pt idx="51">
                  <c:v>-3.4742163070201615E-3</c:v>
                </c:pt>
                <c:pt idx="52">
                  <c:v>-3.7489745543929365E-3</c:v>
                </c:pt>
                <c:pt idx="53">
                  <c:v>9.8690863866772727E-3</c:v>
                </c:pt>
                <c:pt idx="54">
                  <c:v>5.2745279176751314E-3</c:v>
                </c:pt>
                <c:pt idx="55">
                  <c:v>1.3867350006493417E-3</c:v>
                </c:pt>
                <c:pt idx="56">
                  <c:v>1.4836159487809253E-2</c:v>
                </c:pt>
                <c:pt idx="57">
                  <c:v>1.5377194335453037E-2</c:v>
                </c:pt>
                <c:pt idx="58">
                  <c:v>1.0073037801600515E-2</c:v>
                </c:pt>
                <c:pt idx="59">
                  <c:v>2.2725686195936845E-3</c:v>
                </c:pt>
                <c:pt idx="60">
                  <c:v>-4.7311498404560837E-3</c:v>
                </c:pt>
                <c:pt idx="61">
                  <c:v>9.4749044355288969E-3</c:v>
                </c:pt>
                <c:pt idx="62">
                  <c:v>-8.5352756704126787E-4</c:v>
                </c:pt>
                <c:pt idx="63">
                  <c:v>-7.8698737538982488E-3</c:v>
                </c:pt>
                <c:pt idx="64">
                  <c:v>-0.10198798467049375</c:v>
                </c:pt>
                <c:pt idx="65">
                  <c:v>-4.9225238826693385E-2</c:v>
                </c:pt>
                <c:pt idx="66">
                  <c:v>-9.2755065548769666E-3</c:v>
                </c:pt>
                <c:pt idx="67">
                  <c:v>-1.6675610131459906E-2</c:v>
                </c:pt>
                <c:pt idx="68">
                  <c:v>-1.9545321328680809E-2</c:v>
                </c:pt>
                <c:pt idx="69">
                  <c:v>-9.5286701747010483E-4</c:v>
                </c:pt>
                <c:pt idx="70">
                  <c:v>2.0850439044634683E-2</c:v>
                </c:pt>
                <c:pt idx="71">
                  <c:v>2.2284869308449862E-2</c:v>
                </c:pt>
                <c:pt idx="72">
                  <c:v>2.8053987775704448E-2</c:v>
                </c:pt>
                <c:pt idx="73">
                  <c:v>3.6002768924065176E-2</c:v>
                </c:pt>
                <c:pt idx="74">
                  <c:v>2.3244479727887235E-2</c:v>
                </c:pt>
                <c:pt idx="75">
                  <c:v>1.4715376143670911E-2</c:v>
                </c:pt>
                <c:pt idx="76">
                  <c:v>3.0397650189194714E-2</c:v>
                </c:pt>
                <c:pt idx="77">
                  <c:v>2.8693041907789985E-2</c:v>
                </c:pt>
                <c:pt idx="78">
                  <c:v>2.3034233926342518E-2</c:v>
                </c:pt>
                <c:pt idx="79">
                  <c:v>5.5261247479474473E-3</c:v>
                </c:pt>
                <c:pt idx="80">
                  <c:v>2.7397652024263586E-4</c:v>
                </c:pt>
                <c:pt idx="81">
                  <c:v>4.6251094367122381E-3</c:v>
                </c:pt>
                <c:pt idx="82">
                  <c:v>5.2354628992761221E-3</c:v>
                </c:pt>
                <c:pt idx="83">
                  <c:v>8.4413950477231214E-3</c:v>
                </c:pt>
                <c:pt idx="84">
                  <c:v>1.3140843041512973E-2</c:v>
                </c:pt>
                <c:pt idx="85">
                  <c:v>1.9034438229429851E-2</c:v>
                </c:pt>
                <c:pt idx="86">
                  <c:v>1.263918148906118E-2</c:v>
                </c:pt>
                <c:pt idx="87">
                  <c:v>3.4275522203173203E-3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27-4431-93B1-65E319A87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0907136"/>
        <c:axId val="1390558064"/>
      </c:lineChart>
      <c:lineChart>
        <c:grouping val="standard"/>
        <c:varyColors val="0"/>
        <c:ser>
          <c:idx val="0"/>
          <c:order val="0"/>
          <c:tx>
            <c:strRef>
              <c:f>Sheet1!$BK$4</c:f>
              <c:strCache>
                <c:ptCount val="1"/>
                <c:pt idx="0">
                  <c:v>PIB observado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Sheet1!$BJ$5:$BJ$92</c:f>
              <c:numCache>
                <c:formatCode>m/d/yyyy</c:formatCode>
                <c:ptCount val="88"/>
                <c:pt idx="0">
                  <c:v>38047</c:v>
                </c:pt>
                <c:pt idx="1">
                  <c:v>38139</c:v>
                </c:pt>
                <c:pt idx="2">
                  <c:v>38231</c:v>
                </c:pt>
                <c:pt idx="3">
                  <c:v>38322</c:v>
                </c:pt>
                <c:pt idx="4">
                  <c:v>38412</c:v>
                </c:pt>
                <c:pt idx="5">
                  <c:v>38504</c:v>
                </c:pt>
                <c:pt idx="6">
                  <c:v>38596</c:v>
                </c:pt>
                <c:pt idx="7">
                  <c:v>38687</c:v>
                </c:pt>
                <c:pt idx="8">
                  <c:v>38777</c:v>
                </c:pt>
                <c:pt idx="9">
                  <c:v>38869</c:v>
                </c:pt>
                <c:pt idx="10">
                  <c:v>38961</c:v>
                </c:pt>
                <c:pt idx="11">
                  <c:v>39052</c:v>
                </c:pt>
                <c:pt idx="12">
                  <c:v>39142</c:v>
                </c:pt>
                <c:pt idx="13">
                  <c:v>39234</c:v>
                </c:pt>
                <c:pt idx="14">
                  <c:v>39326</c:v>
                </c:pt>
                <c:pt idx="15">
                  <c:v>39417</c:v>
                </c:pt>
                <c:pt idx="16">
                  <c:v>39508</c:v>
                </c:pt>
                <c:pt idx="17">
                  <c:v>39600</c:v>
                </c:pt>
                <c:pt idx="18">
                  <c:v>39692</c:v>
                </c:pt>
                <c:pt idx="19">
                  <c:v>39783</c:v>
                </c:pt>
                <c:pt idx="20">
                  <c:v>39873</c:v>
                </c:pt>
                <c:pt idx="21">
                  <c:v>39965</c:v>
                </c:pt>
                <c:pt idx="22">
                  <c:v>40057</c:v>
                </c:pt>
                <c:pt idx="23">
                  <c:v>40148</c:v>
                </c:pt>
                <c:pt idx="24">
                  <c:v>40238</c:v>
                </c:pt>
                <c:pt idx="25">
                  <c:v>40330</c:v>
                </c:pt>
                <c:pt idx="26">
                  <c:v>40422</c:v>
                </c:pt>
                <c:pt idx="27">
                  <c:v>40513</c:v>
                </c:pt>
                <c:pt idx="28">
                  <c:v>40603</c:v>
                </c:pt>
                <c:pt idx="29">
                  <c:v>40695</c:v>
                </c:pt>
                <c:pt idx="30">
                  <c:v>40787</c:v>
                </c:pt>
                <c:pt idx="31">
                  <c:v>40878</c:v>
                </c:pt>
                <c:pt idx="32">
                  <c:v>40969</c:v>
                </c:pt>
                <c:pt idx="33">
                  <c:v>41061</c:v>
                </c:pt>
                <c:pt idx="34">
                  <c:v>41153</c:v>
                </c:pt>
                <c:pt idx="35">
                  <c:v>41244</c:v>
                </c:pt>
                <c:pt idx="36">
                  <c:v>41334</c:v>
                </c:pt>
                <c:pt idx="37">
                  <c:v>41426</c:v>
                </c:pt>
                <c:pt idx="38">
                  <c:v>41518</c:v>
                </c:pt>
                <c:pt idx="39">
                  <c:v>41609</c:v>
                </c:pt>
                <c:pt idx="40">
                  <c:v>41699</c:v>
                </c:pt>
                <c:pt idx="41">
                  <c:v>41791</c:v>
                </c:pt>
                <c:pt idx="42">
                  <c:v>41883</c:v>
                </c:pt>
                <c:pt idx="43">
                  <c:v>41974</c:v>
                </c:pt>
                <c:pt idx="44">
                  <c:v>42064</c:v>
                </c:pt>
                <c:pt idx="45">
                  <c:v>42156</c:v>
                </c:pt>
                <c:pt idx="46">
                  <c:v>42248</c:v>
                </c:pt>
                <c:pt idx="47">
                  <c:v>42339</c:v>
                </c:pt>
                <c:pt idx="48">
                  <c:v>42430</c:v>
                </c:pt>
                <c:pt idx="49">
                  <c:v>42522</c:v>
                </c:pt>
                <c:pt idx="50">
                  <c:v>42614</c:v>
                </c:pt>
                <c:pt idx="51">
                  <c:v>42705</c:v>
                </c:pt>
                <c:pt idx="52">
                  <c:v>42795</c:v>
                </c:pt>
                <c:pt idx="53">
                  <c:v>42887</c:v>
                </c:pt>
                <c:pt idx="54">
                  <c:v>42979</c:v>
                </c:pt>
                <c:pt idx="55">
                  <c:v>43070</c:v>
                </c:pt>
                <c:pt idx="56">
                  <c:v>43160</c:v>
                </c:pt>
                <c:pt idx="57">
                  <c:v>43252</c:v>
                </c:pt>
                <c:pt idx="58">
                  <c:v>43344</c:v>
                </c:pt>
                <c:pt idx="59">
                  <c:v>43435</c:v>
                </c:pt>
                <c:pt idx="60">
                  <c:v>43525</c:v>
                </c:pt>
                <c:pt idx="61">
                  <c:v>43617</c:v>
                </c:pt>
                <c:pt idx="62">
                  <c:v>43709</c:v>
                </c:pt>
                <c:pt idx="63">
                  <c:v>43800</c:v>
                </c:pt>
                <c:pt idx="64">
                  <c:v>43891</c:v>
                </c:pt>
                <c:pt idx="65">
                  <c:v>43983</c:v>
                </c:pt>
                <c:pt idx="66">
                  <c:v>44075</c:v>
                </c:pt>
                <c:pt idx="67">
                  <c:v>44166</c:v>
                </c:pt>
                <c:pt idx="68">
                  <c:v>44256</c:v>
                </c:pt>
                <c:pt idx="69">
                  <c:v>44348</c:v>
                </c:pt>
                <c:pt idx="70">
                  <c:v>44440</c:v>
                </c:pt>
                <c:pt idx="71">
                  <c:v>44531</c:v>
                </c:pt>
                <c:pt idx="72">
                  <c:v>44621</c:v>
                </c:pt>
                <c:pt idx="73">
                  <c:v>44713</c:v>
                </c:pt>
                <c:pt idx="74">
                  <c:v>44805</c:v>
                </c:pt>
                <c:pt idx="75">
                  <c:v>44896</c:v>
                </c:pt>
                <c:pt idx="76">
                  <c:v>44986</c:v>
                </c:pt>
                <c:pt idx="77">
                  <c:v>45078</c:v>
                </c:pt>
                <c:pt idx="78">
                  <c:v>45170</c:v>
                </c:pt>
                <c:pt idx="79">
                  <c:v>45261</c:v>
                </c:pt>
                <c:pt idx="80">
                  <c:v>45352</c:v>
                </c:pt>
                <c:pt idx="81">
                  <c:v>45444</c:v>
                </c:pt>
                <c:pt idx="82">
                  <c:v>45536</c:v>
                </c:pt>
                <c:pt idx="83">
                  <c:v>45627</c:v>
                </c:pt>
                <c:pt idx="84">
                  <c:v>45717</c:v>
                </c:pt>
                <c:pt idx="85">
                  <c:v>45809</c:v>
                </c:pt>
                <c:pt idx="86">
                  <c:v>45901</c:v>
                </c:pt>
                <c:pt idx="87">
                  <c:v>45992</c:v>
                </c:pt>
              </c:numCache>
            </c:numRef>
          </c:cat>
          <c:val>
            <c:numRef>
              <c:f>Sheet1!$BK$5:$BK$92</c:f>
              <c:numCache>
                <c:formatCode>_(* #,##0.00_);_(* \(#,##0.00\);_(* "-"??_);_(@_)</c:formatCode>
                <c:ptCount val="88"/>
                <c:pt idx="0">
                  <c:v>100</c:v>
                </c:pt>
                <c:pt idx="1">
                  <c:v>99.938844027308079</c:v>
                </c:pt>
                <c:pt idx="2">
                  <c:v>101.10704791383252</c:v>
                </c:pt>
                <c:pt idx="3">
                  <c:v>104.41321468242582</c:v>
                </c:pt>
                <c:pt idx="4">
                  <c:v>104.11286638907018</c:v>
                </c:pt>
                <c:pt idx="5">
                  <c:v>106.68573229156237</c:v>
                </c:pt>
                <c:pt idx="6">
                  <c:v>106.34285363057214</c:v>
                </c:pt>
                <c:pt idx="7">
                  <c:v>108.28622294772097</c:v>
                </c:pt>
                <c:pt idx="8">
                  <c:v>110.81768159653558</c:v>
                </c:pt>
                <c:pt idx="9">
                  <c:v>112.33459795419978</c:v>
                </c:pt>
                <c:pt idx="10">
                  <c:v>114.51881808776872</c:v>
                </c:pt>
                <c:pt idx="11">
                  <c:v>116.33199589177559</c:v>
                </c:pt>
                <c:pt idx="12">
                  <c:v>118.35043166453936</c:v>
                </c:pt>
                <c:pt idx="13">
                  <c:v>119.92021436403826</c:v>
                </c:pt>
                <c:pt idx="14">
                  <c:v>122.41058967230913</c:v>
                </c:pt>
                <c:pt idx="15">
                  <c:v>123.91347017978407</c:v>
                </c:pt>
                <c:pt idx="16">
                  <c:v>124.4379126464211</c:v>
                </c:pt>
                <c:pt idx="17">
                  <c:v>125.34396651333736</c:v>
                </c:pt>
                <c:pt idx="18">
                  <c:v>126.426233669767</c:v>
                </c:pt>
                <c:pt idx="19">
                  <c:v>124.29799952508769</c:v>
                </c:pt>
                <c:pt idx="20">
                  <c:v>124.63035067870423</c:v>
                </c:pt>
                <c:pt idx="21">
                  <c:v>126.00654991636351</c:v>
                </c:pt>
                <c:pt idx="22">
                  <c:v>127.2928696219591</c:v>
                </c:pt>
                <c:pt idx="23">
                  <c:v>128.28035326758337</c:v>
                </c:pt>
                <c:pt idx="24">
                  <c:v>129.47180303045059</c:v>
                </c:pt>
                <c:pt idx="25">
                  <c:v>131.58547703187071</c:v>
                </c:pt>
                <c:pt idx="26">
                  <c:v>132.56029187293996</c:v>
                </c:pt>
                <c:pt idx="27">
                  <c:v>135.34497027518816</c:v>
                </c:pt>
                <c:pt idx="28">
                  <c:v>138.17792867371466</c:v>
                </c:pt>
                <c:pt idx="29">
                  <c:v>140.3157843605637</c:v>
                </c:pt>
                <c:pt idx="30">
                  <c:v>143.16229323536407</c:v>
                </c:pt>
                <c:pt idx="31">
                  <c:v>144.05828199743141</c:v>
                </c:pt>
                <c:pt idx="32">
                  <c:v>146.47811431352767</c:v>
                </c:pt>
                <c:pt idx="33">
                  <c:v>146.98009249539237</c:v>
                </c:pt>
                <c:pt idx="34">
                  <c:v>146.27284510696813</c:v>
                </c:pt>
                <c:pt idx="35">
                  <c:v>148.11757593386426</c:v>
                </c:pt>
                <c:pt idx="36">
                  <c:v>149.95184197024091</c:v>
                </c:pt>
                <c:pt idx="37">
                  <c:v>154.99599816957908</c:v>
                </c:pt>
                <c:pt idx="38">
                  <c:v>155.41764044060974</c:v>
                </c:pt>
                <c:pt idx="39">
                  <c:v>157.66325773028345</c:v>
                </c:pt>
                <c:pt idx="40">
                  <c:v>159.93453075803779</c:v>
                </c:pt>
                <c:pt idx="41">
                  <c:v>160.33344349910234</c:v>
                </c:pt>
                <c:pt idx="42">
                  <c:v>161.95473078317934</c:v>
                </c:pt>
                <c:pt idx="43">
                  <c:v>163.61133153984159</c:v>
                </c:pt>
                <c:pt idx="44">
                  <c:v>164.579916341462</c:v>
                </c:pt>
                <c:pt idx="45">
                  <c:v>165.85265590629007</c:v>
                </c:pt>
                <c:pt idx="46">
                  <c:v>167.50863164281344</c:v>
                </c:pt>
                <c:pt idx="47">
                  <c:v>166.98304994393754</c:v>
                </c:pt>
                <c:pt idx="48">
                  <c:v>168.7002580705481</c:v>
                </c:pt>
                <c:pt idx="49">
                  <c:v>169.37227850094092</c:v>
                </c:pt>
                <c:pt idx="50">
                  <c:v>169.82238315125232</c:v>
                </c:pt>
                <c:pt idx="51">
                  <c:v>170.90884663538338</c:v>
                </c:pt>
                <c:pt idx="52">
                  <c:v>170.68790780045026</c:v>
                </c:pt>
                <c:pt idx="53">
                  <c:v>171.48395795766081</c:v>
                </c:pt>
                <c:pt idx="54">
                  <c:v>172.52964160454925</c:v>
                </c:pt>
                <c:pt idx="55">
                  <c:v>173.3296517650829</c:v>
                </c:pt>
                <c:pt idx="56">
                  <c:v>173.72152121336609</c:v>
                </c:pt>
                <c:pt idx="57">
                  <c:v>176.11675588007532</c:v>
                </c:pt>
                <c:pt idx="58">
                  <c:v>177.39178539507645</c:v>
                </c:pt>
                <c:pt idx="59">
                  <c:v>178.44444672581051</c:v>
                </c:pt>
                <c:pt idx="60">
                  <c:v>179.862101308332</c:v>
                </c:pt>
                <c:pt idx="61">
                  <c:v>181.43988730642582</c:v>
                </c:pt>
                <c:pt idx="62">
                  <c:v>182.87244271941341</c:v>
                </c:pt>
                <c:pt idx="63">
                  <c:v>183.98890403023668</c:v>
                </c:pt>
                <c:pt idx="64">
                  <c:v>180.46176425458441</c:v>
                </c:pt>
                <c:pt idx="65">
                  <c:v>151.07377542988459</c:v>
                </c:pt>
                <c:pt idx="66">
                  <c:v>166.3000524940669</c:v>
                </c:pt>
                <c:pt idx="67">
                  <c:v>178.00255112503871</c:v>
                </c:pt>
                <c:pt idx="68">
                  <c:v>183.27854814992924</c:v>
                </c:pt>
                <c:pt idx="69">
                  <c:v>179.09425117728998</c:v>
                </c:pt>
                <c:pt idx="70">
                  <c:v>188.73987554484924</c:v>
                </c:pt>
                <c:pt idx="71">
                  <c:v>197.72408573663844</c:v>
                </c:pt>
                <c:pt idx="72">
                  <c:v>197.94240575041056</c:v>
                </c:pt>
                <c:pt idx="73">
                  <c:v>201.15352744432789</c:v>
                </c:pt>
                <c:pt idx="74">
                  <c:v>202.59672712215297</c:v>
                </c:pt>
                <c:pt idx="75">
                  <c:v>202.02093467335453</c:v>
                </c:pt>
                <c:pt idx="76">
                  <c:v>203.28666540248713</c:v>
                </c:pt>
                <c:pt idx="77">
                  <c:v>202.00682858689899</c:v>
                </c:pt>
                <c:pt idx="78">
                  <c:v>201.76697562124528</c:v>
                </c:pt>
                <c:pt idx="79">
                  <c:v>203.41894351115363</c:v>
                </c:pt>
                <c:pt idx="80">
                  <c:v>203.86855807758826</c:v>
                </c:pt>
                <c:pt idx="81">
                  <c:v>205.4351359375728</c:v>
                </c:pt>
                <c:pt idx="82">
                  <c:v>205.12076915177326</c:v>
                </c:pt>
                <c:pt idx="83">
                  <c:v>208.15789801376218</c:v>
                </c:pt>
                <c:pt idx="84">
                  <c:v>209.13006263392791</c:v>
                </c:pt>
                <c:pt idx="85">
                  <c:v>209.87445013364575</c:v>
                </c:pt>
                <c:pt idx="86">
                  <c:v>212.52753791632793</c:v>
                </c:pt>
                <c:pt idx="87">
                  <c:v>212.78300927919625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27-4431-93B1-65E319A87177}"/>
            </c:ext>
          </c:extLst>
        </c:ser>
        <c:ser>
          <c:idx val="1"/>
          <c:order val="1"/>
          <c:tx>
            <c:strRef>
              <c:f>Sheet1!$BL$4</c:f>
              <c:strCache>
                <c:ptCount val="1"/>
                <c:pt idx="0">
                  <c:v>PIB tendencial HP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Sheet1!$BJ$5:$BJ$92</c:f>
              <c:numCache>
                <c:formatCode>m/d/yyyy</c:formatCode>
                <c:ptCount val="88"/>
                <c:pt idx="0">
                  <c:v>38047</c:v>
                </c:pt>
                <c:pt idx="1">
                  <c:v>38139</c:v>
                </c:pt>
                <c:pt idx="2">
                  <c:v>38231</c:v>
                </c:pt>
                <c:pt idx="3">
                  <c:v>38322</c:v>
                </c:pt>
                <c:pt idx="4">
                  <c:v>38412</c:v>
                </c:pt>
                <c:pt idx="5">
                  <c:v>38504</c:v>
                </c:pt>
                <c:pt idx="6">
                  <c:v>38596</c:v>
                </c:pt>
                <c:pt idx="7">
                  <c:v>38687</c:v>
                </c:pt>
                <c:pt idx="8">
                  <c:v>38777</c:v>
                </c:pt>
                <c:pt idx="9">
                  <c:v>38869</c:v>
                </c:pt>
                <c:pt idx="10">
                  <c:v>38961</c:v>
                </c:pt>
                <c:pt idx="11">
                  <c:v>39052</c:v>
                </c:pt>
                <c:pt idx="12">
                  <c:v>39142</c:v>
                </c:pt>
                <c:pt idx="13">
                  <c:v>39234</c:v>
                </c:pt>
                <c:pt idx="14">
                  <c:v>39326</c:v>
                </c:pt>
                <c:pt idx="15">
                  <c:v>39417</c:v>
                </c:pt>
                <c:pt idx="16">
                  <c:v>39508</c:v>
                </c:pt>
                <c:pt idx="17">
                  <c:v>39600</c:v>
                </c:pt>
                <c:pt idx="18">
                  <c:v>39692</c:v>
                </c:pt>
                <c:pt idx="19">
                  <c:v>39783</c:v>
                </c:pt>
                <c:pt idx="20">
                  <c:v>39873</c:v>
                </c:pt>
                <c:pt idx="21">
                  <c:v>39965</c:v>
                </c:pt>
                <c:pt idx="22">
                  <c:v>40057</c:v>
                </c:pt>
                <c:pt idx="23">
                  <c:v>40148</c:v>
                </c:pt>
                <c:pt idx="24">
                  <c:v>40238</c:v>
                </c:pt>
                <c:pt idx="25">
                  <c:v>40330</c:v>
                </c:pt>
                <c:pt idx="26">
                  <c:v>40422</c:v>
                </c:pt>
                <c:pt idx="27">
                  <c:v>40513</c:v>
                </c:pt>
                <c:pt idx="28">
                  <c:v>40603</c:v>
                </c:pt>
                <c:pt idx="29">
                  <c:v>40695</c:v>
                </c:pt>
                <c:pt idx="30">
                  <c:v>40787</c:v>
                </c:pt>
                <c:pt idx="31">
                  <c:v>40878</c:v>
                </c:pt>
                <c:pt idx="32">
                  <c:v>40969</c:v>
                </c:pt>
                <c:pt idx="33">
                  <c:v>41061</c:v>
                </c:pt>
                <c:pt idx="34">
                  <c:v>41153</c:v>
                </c:pt>
                <c:pt idx="35">
                  <c:v>41244</c:v>
                </c:pt>
                <c:pt idx="36">
                  <c:v>41334</c:v>
                </c:pt>
                <c:pt idx="37">
                  <c:v>41426</c:v>
                </c:pt>
                <c:pt idx="38">
                  <c:v>41518</c:v>
                </c:pt>
                <c:pt idx="39">
                  <c:v>41609</c:v>
                </c:pt>
                <c:pt idx="40">
                  <c:v>41699</c:v>
                </c:pt>
                <c:pt idx="41">
                  <c:v>41791</c:v>
                </c:pt>
                <c:pt idx="42">
                  <c:v>41883</c:v>
                </c:pt>
                <c:pt idx="43">
                  <c:v>41974</c:v>
                </c:pt>
                <c:pt idx="44">
                  <c:v>42064</c:v>
                </c:pt>
                <c:pt idx="45">
                  <c:v>42156</c:v>
                </c:pt>
                <c:pt idx="46">
                  <c:v>42248</c:v>
                </c:pt>
                <c:pt idx="47">
                  <c:v>42339</c:v>
                </c:pt>
                <c:pt idx="48">
                  <c:v>42430</c:v>
                </c:pt>
                <c:pt idx="49">
                  <c:v>42522</c:v>
                </c:pt>
                <c:pt idx="50">
                  <c:v>42614</c:v>
                </c:pt>
                <c:pt idx="51">
                  <c:v>42705</c:v>
                </c:pt>
                <c:pt idx="52">
                  <c:v>42795</c:v>
                </c:pt>
                <c:pt idx="53">
                  <c:v>42887</c:v>
                </c:pt>
                <c:pt idx="54">
                  <c:v>42979</c:v>
                </c:pt>
                <c:pt idx="55">
                  <c:v>43070</c:v>
                </c:pt>
                <c:pt idx="56">
                  <c:v>43160</c:v>
                </c:pt>
                <c:pt idx="57">
                  <c:v>43252</c:v>
                </c:pt>
                <c:pt idx="58">
                  <c:v>43344</c:v>
                </c:pt>
                <c:pt idx="59">
                  <c:v>43435</c:v>
                </c:pt>
                <c:pt idx="60">
                  <c:v>43525</c:v>
                </c:pt>
                <c:pt idx="61">
                  <c:v>43617</c:v>
                </c:pt>
                <c:pt idx="62">
                  <c:v>43709</c:v>
                </c:pt>
                <c:pt idx="63">
                  <c:v>43800</c:v>
                </c:pt>
                <c:pt idx="64">
                  <c:v>43891</c:v>
                </c:pt>
                <c:pt idx="65">
                  <c:v>43983</c:v>
                </c:pt>
                <c:pt idx="66">
                  <c:v>44075</c:v>
                </c:pt>
                <c:pt idx="67">
                  <c:v>44166</c:v>
                </c:pt>
                <c:pt idx="68">
                  <c:v>44256</c:v>
                </c:pt>
                <c:pt idx="69">
                  <c:v>44348</c:v>
                </c:pt>
                <c:pt idx="70">
                  <c:v>44440</c:v>
                </c:pt>
                <c:pt idx="71">
                  <c:v>44531</c:v>
                </c:pt>
                <c:pt idx="72">
                  <c:v>44621</c:v>
                </c:pt>
                <c:pt idx="73">
                  <c:v>44713</c:v>
                </c:pt>
                <c:pt idx="74">
                  <c:v>44805</c:v>
                </c:pt>
                <c:pt idx="75">
                  <c:v>44896</c:v>
                </c:pt>
                <c:pt idx="76">
                  <c:v>44986</c:v>
                </c:pt>
                <c:pt idx="77">
                  <c:v>45078</c:v>
                </c:pt>
                <c:pt idx="78">
                  <c:v>45170</c:v>
                </c:pt>
                <c:pt idx="79">
                  <c:v>45261</c:v>
                </c:pt>
                <c:pt idx="80">
                  <c:v>45352</c:v>
                </c:pt>
                <c:pt idx="81">
                  <c:v>45444</c:v>
                </c:pt>
                <c:pt idx="82">
                  <c:v>45536</c:v>
                </c:pt>
                <c:pt idx="83">
                  <c:v>45627</c:v>
                </c:pt>
                <c:pt idx="84">
                  <c:v>45717</c:v>
                </c:pt>
                <c:pt idx="85">
                  <c:v>45809</c:v>
                </c:pt>
                <c:pt idx="86">
                  <c:v>45901</c:v>
                </c:pt>
                <c:pt idx="87">
                  <c:v>45992</c:v>
                </c:pt>
              </c:numCache>
            </c:numRef>
          </c:cat>
          <c:val>
            <c:numRef>
              <c:f>Sheet1!$BL$5:$BL$92</c:f>
              <c:numCache>
                <c:formatCode>_(* #,##0.00_);_(* \(#,##0.00\);_(* "-"??_);_(@_)</c:formatCode>
                <c:ptCount val="88"/>
                <c:pt idx="0">
                  <c:v>99.353577664463316</c:v>
                </c:pt>
                <c:pt idx="1">
                  <c:v>100.80151541489712</c:v>
                </c:pt>
                <c:pt idx="2">
                  <c:v>102.24985717929064</c:v>
                </c:pt>
                <c:pt idx="3">
                  <c:v>103.69846780198633</c:v>
                </c:pt>
                <c:pt idx="4">
                  <c:v>105.14649787153571</c:v>
                </c:pt>
                <c:pt idx="5">
                  <c:v>106.59354469329062</c:v>
                </c:pt>
                <c:pt idx="6">
                  <c:v>108.03855955292634</c:v>
                </c:pt>
                <c:pt idx="7">
                  <c:v>109.48055135336699</c:v>
                </c:pt>
                <c:pt idx="8">
                  <c:v>110.91746918133532</c:v>
                </c:pt>
                <c:pt idx="9">
                  <c:v>112.34651566830051</c:v>
                </c:pt>
                <c:pt idx="10">
                  <c:v>113.76483107849123</c:v>
                </c:pt>
                <c:pt idx="11">
                  <c:v>115.16954822756482</c:v>
                </c:pt>
                <c:pt idx="12">
                  <c:v>116.55827117305941</c:v>
                </c:pt>
                <c:pt idx="13">
                  <c:v>117.9293305023032</c:v>
                </c:pt>
                <c:pt idx="14">
                  <c:v>119.28217690293168</c:v>
                </c:pt>
                <c:pt idx="15">
                  <c:v>120.61750536499376</c:v>
                </c:pt>
                <c:pt idx="16">
                  <c:v>121.93796613651939</c:v>
                </c:pt>
                <c:pt idx="17">
                  <c:v>123.24826944354766</c:v>
                </c:pt>
                <c:pt idx="18">
                  <c:v>124.5546879786863</c:v>
                </c:pt>
                <c:pt idx="19">
                  <c:v>125.86480424521173</c:v>
                </c:pt>
                <c:pt idx="20">
                  <c:v>127.18737046245725</c:v>
                </c:pt>
                <c:pt idx="21">
                  <c:v>128.53015959680602</c:v>
                </c:pt>
                <c:pt idx="22">
                  <c:v>129.89934647727648</c:v>
                </c:pt>
                <c:pt idx="23">
                  <c:v>131.29952867683667</c:v>
                </c:pt>
                <c:pt idx="24">
                  <c:v>132.73367472042017</c:v>
                </c:pt>
                <c:pt idx="25">
                  <c:v>134.20286614832969</c:v>
                </c:pt>
                <c:pt idx="26">
                  <c:v>135.70614583106183</c:v>
                </c:pt>
                <c:pt idx="27">
                  <c:v>137.24092077091532</c:v>
                </c:pt>
                <c:pt idx="28">
                  <c:v>138.80263181146512</c:v>
                </c:pt>
                <c:pt idx="29">
                  <c:v>140.38553482722631</c:v>
                </c:pt>
                <c:pt idx="30">
                  <c:v>141.98349525325293</c:v>
                </c:pt>
                <c:pt idx="31">
                  <c:v>143.59033493055733</c:v>
                </c:pt>
                <c:pt idx="32">
                  <c:v>145.20061244889069</c:v>
                </c:pt>
                <c:pt idx="33">
                  <c:v>146.80917886492094</c:v>
                </c:pt>
                <c:pt idx="34">
                  <c:v>148.41168367398146</c:v>
                </c:pt>
                <c:pt idx="35">
                  <c:v>150.00388319242467</c:v>
                </c:pt>
                <c:pt idx="36">
                  <c:v>151.58019696249858</c:v>
                </c:pt>
                <c:pt idx="37">
                  <c:v>153.13386558441456</c:v>
                </c:pt>
                <c:pt idx="38">
                  <c:v>154.65711193651381</c:v>
                </c:pt>
                <c:pt idx="39">
                  <c:v>156.14332273000335</c:v>
                </c:pt>
                <c:pt idx="40">
                  <c:v>157.58636000640522</c:v>
                </c:pt>
                <c:pt idx="41">
                  <c:v>158.9810357666166</c:v>
                </c:pt>
                <c:pt idx="42">
                  <c:v>160.32362961825453</c:v>
                </c:pt>
                <c:pt idx="43">
                  <c:v>161.61126642376883</c:v>
                </c:pt>
                <c:pt idx="44">
                  <c:v>162.84209048383732</c:v>
                </c:pt>
                <c:pt idx="45">
                  <c:v>164.01549613983556</c:v>
                </c:pt>
                <c:pt idx="46">
                  <c:v>165.13196387429994</c:v>
                </c:pt>
                <c:pt idx="47">
                  <c:v>166.19312239462099</c:v>
                </c:pt>
                <c:pt idx="48">
                  <c:v>167.20208582554449</c:v>
                </c:pt>
                <c:pt idx="49">
                  <c:v>168.16246199653463</c:v>
                </c:pt>
                <c:pt idx="50">
                  <c:v>169.07879509470862</c:v>
                </c:pt>
                <c:pt idx="51">
                  <c:v>169.95638544249897</c:v>
                </c:pt>
                <c:pt idx="52">
                  <c:v>170.80099810487351</c:v>
                </c:pt>
                <c:pt idx="53">
                  <c:v>171.61899343504572</c:v>
                </c:pt>
                <c:pt idx="54">
                  <c:v>172.41666110478872</c:v>
                </c:pt>
                <c:pt idx="55">
                  <c:v>173.2002063887023</c:v>
                </c:pt>
                <c:pt idx="56">
                  <c:v>173.97590517419872</c:v>
                </c:pt>
                <c:pt idx="57">
                  <c:v>174.75011425205037</c:v>
                </c:pt>
                <c:pt idx="58">
                  <c:v>175.52903142305411</c:v>
                </c:pt>
                <c:pt idx="59">
                  <c:v>176.31970863902438</c:v>
                </c:pt>
                <c:pt idx="60">
                  <c:v>177.13036207300817</c:v>
                </c:pt>
                <c:pt idx="61">
                  <c:v>177.97053585935663</c:v>
                </c:pt>
                <c:pt idx="62">
                  <c:v>178.85148146944297</c:v>
                </c:pt>
                <c:pt idx="63">
                  <c:v>179.78661871929498</c:v>
                </c:pt>
                <c:pt idx="64">
                  <c:v>180.7918805257215</c:v>
                </c:pt>
                <c:pt idx="65">
                  <c:v>181.88582623385085</c:v>
                </c:pt>
                <c:pt idx="66">
                  <c:v>183.08680886614187</c:v>
                </c:pt>
                <c:pt idx="67">
                  <c:v>184.39392391330088</c:v>
                </c:pt>
                <c:pt idx="68">
                  <c:v>185.79577514330163</c:v>
                </c:pt>
                <c:pt idx="69">
                  <c:v>187.27697171612516</c:v>
                </c:pt>
                <c:pt idx="70">
                  <c:v>188.82054952488176</c:v>
                </c:pt>
                <c:pt idx="71">
                  <c:v>190.40443026234485</c:v>
                </c:pt>
                <c:pt idx="72">
                  <c:v>192.00648520005041</c:v>
                </c:pt>
                <c:pt idx="73">
                  <c:v>193.60916039420573</c:v>
                </c:pt>
                <c:pt idx="74">
                  <c:v>195.19861185136227</c:v>
                </c:pt>
                <c:pt idx="75">
                  <c:v>196.76571080747772</c:v>
                </c:pt>
                <c:pt idx="76">
                  <c:v>198.30595232055401</c:v>
                </c:pt>
                <c:pt idx="77">
                  <c:v>199.81811596350926</c:v>
                </c:pt>
                <c:pt idx="78">
                  <c:v>201.3040942549377</c:v>
                </c:pt>
                <c:pt idx="79">
                  <c:v>202.76714765882323</c:v>
                </c:pt>
                <c:pt idx="80">
                  <c:v>204.21082594000376</c:v>
                </c:pt>
                <c:pt idx="81">
                  <c:v>205.63908623572487</c:v>
                </c:pt>
                <c:pt idx="82">
                  <c:v>207.05567176581806</c:v>
                </c:pt>
                <c:pt idx="83">
                  <c:v>208.46419828117871</c:v>
                </c:pt>
                <c:pt idx="84">
                  <c:v>209.86707221856813</c:v>
                </c:pt>
                <c:pt idx="85">
                  <c:v>211.26650857708071</c:v>
                </c:pt>
                <c:pt idx="86">
                  <c:v>212.66426172482028</c:v>
                </c:pt>
                <c:pt idx="87">
                  <c:v>214.06121599336348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27-4431-93B1-65E319A87177}"/>
            </c:ext>
          </c:extLst>
        </c:ser>
        <c:ser>
          <c:idx val="2"/>
          <c:order val="2"/>
          <c:tx>
            <c:strRef>
              <c:f>Sheet1!$BM$4</c:f>
              <c:strCache>
                <c:ptCount val="1"/>
                <c:pt idx="0">
                  <c:v>PIB potencial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Sheet1!$BJ$5:$BJ$92</c:f>
              <c:numCache>
                <c:formatCode>m/d/yyyy</c:formatCode>
                <c:ptCount val="88"/>
                <c:pt idx="0">
                  <c:v>38047</c:v>
                </c:pt>
                <c:pt idx="1">
                  <c:v>38139</c:v>
                </c:pt>
                <c:pt idx="2">
                  <c:v>38231</c:v>
                </c:pt>
                <c:pt idx="3">
                  <c:v>38322</c:v>
                </c:pt>
                <c:pt idx="4">
                  <c:v>38412</c:v>
                </c:pt>
                <c:pt idx="5">
                  <c:v>38504</c:v>
                </c:pt>
                <c:pt idx="6">
                  <c:v>38596</c:v>
                </c:pt>
                <c:pt idx="7">
                  <c:v>38687</c:v>
                </c:pt>
                <c:pt idx="8">
                  <c:v>38777</c:v>
                </c:pt>
                <c:pt idx="9">
                  <c:v>38869</c:v>
                </c:pt>
                <c:pt idx="10">
                  <c:v>38961</c:v>
                </c:pt>
                <c:pt idx="11">
                  <c:v>39052</c:v>
                </c:pt>
                <c:pt idx="12">
                  <c:v>39142</c:v>
                </c:pt>
                <c:pt idx="13">
                  <c:v>39234</c:v>
                </c:pt>
                <c:pt idx="14">
                  <c:v>39326</c:v>
                </c:pt>
                <c:pt idx="15">
                  <c:v>39417</c:v>
                </c:pt>
                <c:pt idx="16">
                  <c:v>39508</c:v>
                </c:pt>
                <c:pt idx="17">
                  <c:v>39600</c:v>
                </c:pt>
                <c:pt idx="18">
                  <c:v>39692</c:v>
                </c:pt>
                <c:pt idx="19">
                  <c:v>39783</c:v>
                </c:pt>
                <c:pt idx="20">
                  <c:v>39873</c:v>
                </c:pt>
                <c:pt idx="21">
                  <c:v>39965</c:v>
                </c:pt>
                <c:pt idx="22">
                  <c:v>40057</c:v>
                </c:pt>
                <c:pt idx="23">
                  <c:v>40148</c:v>
                </c:pt>
                <c:pt idx="24">
                  <c:v>40238</c:v>
                </c:pt>
                <c:pt idx="25">
                  <c:v>40330</c:v>
                </c:pt>
                <c:pt idx="26">
                  <c:v>40422</c:v>
                </c:pt>
                <c:pt idx="27">
                  <c:v>40513</c:v>
                </c:pt>
                <c:pt idx="28">
                  <c:v>40603</c:v>
                </c:pt>
                <c:pt idx="29">
                  <c:v>40695</c:v>
                </c:pt>
                <c:pt idx="30">
                  <c:v>40787</c:v>
                </c:pt>
                <c:pt idx="31">
                  <c:v>40878</c:v>
                </c:pt>
                <c:pt idx="32">
                  <c:v>40969</c:v>
                </c:pt>
                <c:pt idx="33">
                  <c:v>41061</c:v>
                </c:pt>
                <c:pt idx="34">
                  <c:v>41153</c:v>
                </c:pt>
                <c:pt idx="35">
                  <c:v>41244</c:v>
                </c:pt>
                <c:pt idx="36">
                  <c:v>41334</c:v>
                </c:pt>
                <c:pt idx="37">
                  <c:v>41426</c:v>
                </c:pt>
                <c:pt idx="38">
                  <c:v>41518</c:v>
                </c:pt>
                <c:pt idx="39">
                  <c:v>41609</c:v>
                </c:pt>
                <c:pt idx="40">
                  <c:v>41699</c:v>
                </c:pt>
                <c:pt idx="41">
                  <c:v>41791</c:v>
                </c:pt>
                <c:pt idx="42">
                  <c:v>41883</c:v>
                </c:pt>
                <c:pt idx="43">
                  <c:v>41974</c:v>
                </c:pt>
                <c:pt idx="44">
                  <c:v>42064</c:v>
                </c:pt>
                <c:pt idx="45">
                  <c:v>42156</c:v>
                </c:pt>
                <c:pt idx="46">
                  <c:v>42248</c:v>
                </c:pt>
                <c:pt idx="47">
                  <c:v>42339</c:v>
                </c:pt>
                <c:pt idx="48">
                  <c:v>42430</c:v>
                </c:pt>
                <c:pt idx="49">
                  <c:v>42522</c:v>
                </c:pt>
                <c:pt idx="50">
                  <c:v>42614</c:v>
                </c:pt>
                <c:pt idx="51">
                  <c:v>42705</c:v>
                </c:pt>
                <c:pt idx="52">
                  <c:v>42795</c:v>
                </c:pt>
                <c:pt idx="53">
                  <c:v>42887</c:v>
                </c:pt>
                <c:pt idx="54">
                  <c:v>42979</c:v>
                </c:pt>
                <c:pt idx="55">
                  <c:v>43070</c:v>
                </c:pt>
                <c:pt idx="56">
                  <c:v>43160</c:v>
                </c:pt>
                <c:pt idx="57">
                  <c:v>43252</c:v>
                </c:pt>
                <c:pt idx="58">
                  <c:v>43344</c:v>
                </c:pt>
                <c:pt idx="59">
                  <c:v>43435</c:v>
                </c:pt>
                <c:pt idx="60">
                  <c:v>43525</c:v>
                </c:pt>
                <c:pt idx="61">
                  <c:v>43617</c:v>
                </c:pt>
                <c:pt idx="62">
                  <c:v>43709</c:v>
                </c:pt>
                <c:pt idx="63">
                  <c:v>43800</c:v>
                </c:pt>
                <c:pt idx="64">
                  <c:v>43891</c:v>
                </c:pt>
                <c:pt idx="65">
                  <c:v>43983</c:v>
                </c:pt>
                <c:pt idx="66">
                  <c:v>44075</c:v>
                </c:pt>
                <c:pt idx="67">
                  <c:v>44166</c:v>
                </c:pt>
                <c:pt idx="68">
                  <c:v>44256</c:v>
                </c:pt>
                <c:pt idx="69">
                  <c:v>44348</c:v>
                </c:pt>
                <c:pt idx="70">
                  <c:v>44440</c:v>
                </c:pt>
                <c:pt idx="71">
                  <c:v>44531</c:v>
                </c:pt>
                <c:pt idx="72">
                  <c:v>44621</c:v>
                </c:pt>
                <c:pt idx="73">
                  <c:v>44713</c:v>
                </c:pt>
                <c:pt idx="74">
                  <c:v>44805</c:v>
                </c:pt>
                <c:pt idx="75">
                  <c:v>44896</c:v>
                </c:pt>
                <c:pt idx="76">
                  <c:v>44986</c:v>
                </c:pt>
                <c:pt idx="77">
                  <c:v>45078</c:v>
                </c:pt>
                <c:pt idx="78">
                  <c:v>45170</c:v>
                </c:pt>
                <c:pt idx="79">
                  <c:v>45261</c:v>
                </c:pt>
                <c:pt idx="80">
                  <c:v>45352</c:v>
                </c:pt>
                <c:pt idx="81">
                  <c:v>45444</c:v>
                </c:pt>
                <c:pt idx="82">
                  <c:v>45536</c:v>
                </c:pt>
                <c:pt idx="83">
                  <c:v>45627</c:v>
                </c:pt>
                <c:pt idx="84">
                  <c:v>45717</c:v>
                </c:pt>
                <c:pt idx="85">
                  <c:v>45809</c:v>
                </c:pt>
                <c:pt idx="86">
                  <c:v>45901</c:v>
                </c:pt>
                <c:pt idx="87">
                  <c:v>45992</c:v>
                </c:pt>
              </c:numCache>
            </c:numRef>
          </c:cat>
          <c:val>
            <c:numRef>
              <c:f>Sheet1!$BM$5:$BM$92</c:f>
              <c:numCache>
                <c:formatCode>_(* #,##0.00_);_(* \(#,##0.00\);_(* "-"??_);_(@_)</c:formatCode>
                <c:ptCount val="88"/>
                <c:pt idx="0">
                  <c:v>102.85865579448483</c:v>
                </c:pt>
                <c:pt idx="1">
                  <c:v>101.81687467804169</c:v>
                </c:pt>
                <c:pt idx="2">
                  <c:v>100.22686358255707</c:v>
                </c:pt>
                <c:pt idx="3">
                  <c:v>103.73288962520574</c:v>
                </c:pt>
                <c:pt idx="4">
                  <c:v>103.72320179109816</c:v>
                </c:pt>
                <c:pt idx="5">
                  <c:v>104.05722214021829</c:v>
                </c:pt>
                <c:pt idx="6">
                  <c:v>103.43858953811768</c:v>
                </c:pt>
                <c:pt idx="7">
                  <c:v>105.04499249014768</c:v>
                </c:pt>
                <c:pt idx="8">
                  <c:v>108.46911513072308</c:v>
                </c:pt>
                <c:pt idx="9">
                  <c:v>108.22618176734635</c:v>
                </c:pt>
                <c:pt idx="10">
                  <c:v>114.85459746264357</c:v>
                </c:pt>
                <c:pt idx="11">
                  <c:v>116.2290493855611</c:v>
                </c:pt>
                <c:pt idx="12">
                  <c:v>118.40695572849651</c:v>
                </c:pt>
                <c:pt idx="13">
                  <c:v>118.84720969874053</c:v>
                </c:pt>
                <c:pt idx="14">
                  <c:v>120.52154130790117</c:v>
                </c:pt>
                <c:pt idx="15">
                  <c:v>125.26167735351174</c:v>
                </c:pt>
                <c:pt idx="16">
                  <c:v>124.60428590831911</c:v>
                </c:pt>
                <c:pt idx="17">
                  <c:v>128.62211015732572</c:v>
                </c:pt>
                <c:pt idx="18">
                  <c:v>126.86000193889751</c:v>
                </c:pt>
                <c:pt idx="19">
                  <c:v>125.58006068386915</c:v>
                </c:pt>
                <c:pt idx="20">
                  <c:v>126.09220664752945</c:v>
                </c:pt>
                <c:pt idx="21">
                  <c:v>127.75551903393288</c:v>
                </c:pt>
                <c:pt idx="22">
                  <c:v>129.00602419118417</c:v>
                </c:pt>
                <c:pt idx="23">
                  <c:v>128.98239538773851</c:v>
                </c:pt>
                <c:pt idx="24">
                  <c:v>129.56320854296484</c:v>
                </c:pt>
                <c:pt idx="25">
                  <c:v>131.00419108297964</c:v>
                </c:pt>
                <c:pt idx="26">
                  <c:v>130.55441202857875</c:v>
                </c:pt>
                <c:pt idx="27">
                  <c:v>135.40739161470711</c:v>
                </c:pt>
                <c:pt idx="28">
                  <c:v>136.4479264318642</c:v>
                </c:pt>
                <c:pt idx="29">
                  <c:v>138.79571735036055</c:v>
                </c:pt>
                <c:pt idx="30">
                  <c:v>140.07564378229296</c:v>
                </c:pt>
                <c:pt idx="31">
                  <c:v>144.00644497488878</c:v>
                </c:pt>
                <c:pt idx="32">
                  <c:v>145.26133149404964</c:v>
                </c:pt>
                <c:pt idx="33">
                  <c:v>144.36730528766637</c:v>
                </c:pt>
                <c:pt idx="34">
                  <c:v>144.99854447423215</c:v>
                </c:pt>
                <c:pt idx="35">
                  <c:v>147.86418515801782</c:v>
                </c:pt>
                <c:pt idx="36">
                  <c:v>151.12843322821655</c:v>
                </c:pt>
                <c:pt idx="37">
                  <c:v>153.86319631898101</c:v>
                </c:pt>
                <c:pt idx="38">
                  <c:v>152.94628656963076</c:v>
                </c:pt>
                <c:pt idx="39">
                  <c:v>155.73802462912607</c:v>
                </c:pt>
                <c:pt idx="40">
                  <c:v>159.21467683515615</c:v>
                </c:pt>
                <c:pt idx="41">
                  <c:v>159.06671759359426</c:v>
                </c:pt>
                <c:pt idx="42">
                  <c:v>160.0223693382282</c:v>
                </c:pt>
                <c:pt idx="43">
                  <c:v>167.33836382360425</c:v>
                </c:pt>
                <c:pt idx="44">
                  <c:v>166.03707484889716</c:v>
                </c:pt>
                <c:pt idx="45">
                  <c:v>166.54605784650431</c:v>
                </c:pt>
                <c:pt idx="46">
                  <c:v>166.90458175410086</c:v>
                </c:pt>
                <c:pt idx="47">
                  <c:v>166.84247458862416</c:v>
                </c:pt>
                <c:pt idx="48">
                  <c:v>169.10889699955692</c:v>
                </c:pt>
                <c:pt idx="49">
                  <c:v>167.53981001582875</c:v>
                </c:pt>
                <c:pt idx="50">
                  <c:v>167.41808638746213</c:v>
                </c:pt>
                <c:pt idx="51">
                  <c:v>171.50469102968918</c:v>
                </c:pt>
                <c:pt idx="52">
                  <c:v>171.33022043726811</c:v>
                </c:pt>
                <c:pt idx="53">
                  <c:v>169.80810707973279</c:v>
                </c:pt>
                <c:pt idx="54">
                  <c:v>171.62440389485153</c:v>
                </c:pt>
                <c:pt idx="55">
                  <c:v>173.08962232755209</c:v>
                </c:pt>
                <c:pt idx="56">
                  <c:v>171.18184013175471</c:v>
                </c:pt>
                <c:pt idx="57">
                  <c:v>173.44958786014561</c:v>
                </c:pt>
                <c:pt idx="58">
                  <c:v>175.62273098702383</c:v>
                </c:pt>
                <c:pt idx="59">
                  <c:v>178.03983897471903</c:v>
                </c:pt>
                <c:pt idx="60">
                  <c:v>180.71710099185731</c:v>
                </c:pt>
                <c:pt idx="61">
                  <c:v>179.73689738020988</c:v>
                </c:pt>
                <c:pt idx="62">
                  <c:v>183.02866272861098</c:v>
                </c:pt>
                <c:pt idx="63">
                  <c:v>185.44835920504798</c:v>
                </c:pt>
                <c:pt idx="64">
                  <c:v>200.95695956625684</c:v>
                </c:pt>
                <c:pt idx="65">
                  <c:v>158.89544148548023</c:v>
                </c:pt>
                <c:pt idx="66">
                  <c:v>167.85701130268703</c:v>
                </c:pt>
                <c:pt idx="67">
                  <c:v>181.02118991357037</c:v>
                </c:pt>
                <c:pt idx="68">
                  <c:v>186.93219802704442</c:v>
                </c:pt>
                <c:pt idx="69">
                  <c:v>179.26506694696832</c:v>
                </c:pt>
                <c:pt idx="70">
                  <c:v>184.88494330421398</c:v>
                </c:pt>
                <c:pt idx="71">
                  <c:v>193.41388263957563</c:v>
                </c:pt>
                <c:pt idx="72">
                  <c:v>192.54086663160399</c:v>
                </c:pt>
                <c:pt idx="73">
                  <c:v>194.163117588223</c:v>
                </c:pt>
                <c:pt idx="74">
                  <c:v>197.99444916236419</c:v>
                </c:pt>
                <c:pt idx="75">
                  <c:v>199.09123230310735</c:v>
                </c:pt>
                <c:pt idx="76">
                  <c:v>197.28952736369399</c:v>
                </c:pt>
                <c:pt idx="77">
                  <c:v>196.3723096758406</c:v>
                </c:pt>
                <c:pt idx="78">
                  <c:v>197.22407025117434</c:v>
                </c:pt>
                <c:pt idx="79">
                  <c:v>202.30100293231479</c:v>
                </c:pt>
                <c:pt idx="80">
                  <c:v>203.81271817828059</c:v>
                </c:pt>
                <c:pt idx="81">
                  <c:v>204.48935031372963</c:v>
                </c:pt>
                <c:pt idx="82">
                  <c:v>204.05246006758341</c:v>
                </c:pt>
                <c:pt idx="83">
                  <c:v>206.4154635420449</c:v>
                </c:pt>
                <c:pt idx="84">
                  <c:v>206.41756185261096</c:v>
                </c:pt>
                <c:pt idx="85">
                  <c:v>205.95422711945059</c:v>
                </c:pt>
                <c:pt idx="86">
                  <c:v>209.87489107799621</c:v>
                </c:pt>
                <c:pt idx="87">
                  <c:v>212.05617566346891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27-4431-93B1-65E319A87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8470912"/>
        <c:axId val="1390626704"/>
      </c:lineChart>
      <c:dateAx>
        <c:axId val="1330907136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558064"/>
        <c:crosses val="autoZero"/>
        <c:auto val="1"/>
        <c:lblOffset val="100"/>
        <c:baseTimeUnit val="months"/>
      </c:dateAx>
      <c:valAx>
        <c:axId val="139055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  <a:r>
                  <a:rPr lang="en-US" baseline="0"/>
                  <a:t> frente al PIB potencial o tendencial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907136"/>
        <c:crosses val="autoZero"/>
        <c:crossBetween val="between"/>
      </c:valAx>
      <c:valAx>
        <c:axId val="1390626704"/>
        <c:scaling>
          <c:orientation val="minMax"/>
          <c:max val="275"/>
          <c:min val="7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Índice con base 100 correspondiente</a:t>
                </a:r>
                <a:r>
                  <a:rPr lang="en-US" baseline="0"/>
                  <a:t> al PIB observado del primer trimestre de 2004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470912"/>
        <c:crosses val="max"/>
        <c:crossBetween val="between"/>
      </c:valAx>
      <c:dateAx>
        <c:axId val="12484709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390626704"/>
        <c:auto val="1"/>
        <c:lblOffset val="100"/>
        <c:baseTimeUnit val="months"/>
        <c:majorUnit val="1"/>
        <c:minorUnit val="1"/>
      </c:dateAx>
      <c:spPr>
        <a:solidFill>
          <a:sysClr val="window" lastClr="FFFFFF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282</xdr:row>
      <xdr:rowOff>0</xdr:rowOff>
    </xdr:from>
    <xdr:to>
      <xdr:col>13</xdr:col>
      <xdr:colOff>300990</xdr:colOff>
      <xdr:row>297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B69D6D2-62ED-4632-8D8A-04D78E57C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298</xdr:row>
      <xdr:rowOff>0</xdr:rowOff>
    </xdr:from>
    <xdr:to>
      <xdr:col>13</xdr:col>
      <xdr:colOff>300990</xdr:colOff>
      <xdr:row>313</xdr:row>
      <xdr:rowOff>26670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903FFF3-86D6-4515-90E5-3172E7955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48</xdr:col>
      <xdr:colOff>147637</xdr:colOff>
      <xdr:row>62</xdr:row>
      <xdr:rowOff>157162</xdr:rowOff>
    </xdr:from>
    <xdr:to>
      <xdr:col>55</xdr:col>
      <xdr:colOff>452437</xdr:colOff>
      <xdr:row>78</xdr:row>
      <xdr:rowOff>4762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559ED027-E042-1B1C-6A95-1DA48CDA1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61</xdr:col>
      <xdr:colOff>247649</xdr:colOff>
      <xdr:row>11</xdr:row>
      <xdr:rowOff>21906</xdr:rowOff>
    </xdr:from>
    <xdr:to>
      <xdr:col>75</xdr:col>
      <xdr:colOff>504824</xdr:colOff>
      <xdr:row>41</xdr:row>
      <xdr:rowOff>75246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262B48-4211-ACC5-058B-94C885628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GPT%20Apps/Clippy%20Game/scraping-NAIRU/data/inputs/nairu_estimates_v6.csv" TargetMode="External"/><Relationship Id="rId2" Type="http://schemas.openxmlformats.org/officeDocument/2006/relationships/externalLinkPath" Target="file:///D:\New%20folder%20(4)\GPT%20Apps\Clippy%20Game\scraping-NAIRU\data\inputs\nairu_estimates_v6.csv" TargetMode="External"/><Relationship Id="rId1" Type="http://schemas.openxmlformats.org/officeDocument/2006/relationships/externalLinkPath" Target="/New%20folder%20(4)/GPT%20Apps/Clippy%20Game/scraping-NAIRU/data/inputs/nairu_estimates_v6.csv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HPFilter.xla" TargetMode="External"/><Relationship Id="rId2" Type="http://schemas.openxmlformats.org/officeDocument/2006/relationships/externalLinkPath" Target="file:///D:\New%20folder%20(4)\HPFilter.xla" TargetMode="External"/><Relationship Id="rId1" Type="http://schemas.openxmlformats.org/officeDocument/2006/relationships/externalLinkPath" Target="/New%20folder%20(4)/HPFilter.xla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GPT%20Apps/Clippy%20Game/scraping-NAIRU/data/raw/pwt/pwt_raw.csv" TargetMode="External"/><Relationship Id="rId2" Type="http://schemas.openxmlformats.org/officeDocument/2006/relationships/externalLinkPath" Target="file:///D:\New%20folder%20(4)\GPT%20Apps\Clippy%20Game\scraping-NAIRU\data\raw\pwt\pwt_raw.csv" TargetMode="External"/><Relationship Id="rId1" Type="http://schemas.openxmlformats.org/officeDocument/2006/relationships/externalLinkPath" Target="/New%20folder%20(4)/GPT%20Apps/Clippy%20Game/scraping-NAIRU/data/raw/pwt/pwt_raw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airu_estimates_v6"/>
    </sheetNames>
    <sheetDataSet>
      <sheetData sheetId="0">
        <row r="2">
          <cell r="A2">
            <v>37987</v>
          </cell>
          <cell r="P2">
            <v>11.534947255769501</v>
          </cell>
          <cell r="V2">
            <v>77.377041787716095</v>
          </cell>
        </row>
        <row r="3">
          <cell r="A3">
            <v>38018</v>
          </cell>
          <cell r="P3">
            <v>11.934285915977799</v>
          </cell>
          <cell r="V3">
            <v>76.703694780556603</v>
          </cell>
        </row>
        <row r="4">
          <cell r="A4">
            <v>38047</v>
          </cell>
          <cell r="P4">
            <v>12.306830096725401</v>
          </cell>
          <cell r="V4">
            <v>76.331412669718304</v>
          </cell>
        </row>
        <row r="5">
          <cell r="A5">
            <v>38078</v>
          </cell>
          <cell r="P5">
            <v>12.662497652617599</v>
          </cell>
          <cell r="V5">
            <v>76.147652368013496</v>
          </cell>
        </row>
        <row r="6">
          <cell r="A6">
            <v>38108</v>
          </cell>
          <cell r="P6">
            <v>12.9058473408575</v>
          </cell>
          <cell r="V6">
            <v>75.935333200924603</v>
          </cell>
        </row>
        <row r="7">
          <cell r="A7">
            <v>38139</v>
          </cell>
          <cell r="P7">
            <v>13.172969055245501</v>
          </cell>
          <cell r="V7">
            <v>75.788111724333305</v>
          </cell>
        </row>
        <row r="8">
          <cell r="A8">
            <v>38169</v>
          </cell>
          <cell r="P8">
            <v>13.394372221581699</v>
          </cell>
          <cell r="V8">
            <v>75.510191949934097</v>
          </cell>
        </row>
        <row r="9">
          <cell r="A9">
            <v>38200</v>
          </cell>
          <cell r="P9">
            <v>13.489318061857199</v>
          </cell>
          <cell r="V9">
            <v>75.636623854329699</v>
          </cell>
        </row>
        <row r="10">
          <cell r="A10">
            <v>38231</v>
          </cell>
          <cell r="P10">
            <v>13.585335863262699</v>
          </cell>
          <cell r="V10">
            <v>75.922885614407406</v>
          </cell>
        </row>
        <row r="11">
          <cell r="A11">
            <v>38261</v>
          </cell>
          <cell r="P11">
            <v>13.6561302547655</v>
          </cell>
          <cell r="V11">
            <v>75.991793019763193</v>
          </cell>
        </row>
        <row r="12">
          <cell r="A12">
            <v>38292</v>
          </cell>
          <cell r="P12">
            <v>13.7108210750201</v>
          </cell>
          <cell r="V12">
            <v>76.072011420026001</v>
          </cell>
        </row>
        <row r="13">
          <cell r="A13">
            <v>38322</v>
          </cell>
          <cell r="P13">
            <v>13.7458423351818</v>
          </cell>
          <cell r="V13">
            <v>76.257929203497696</v>
          </cell>
        </row>
        <row r="14">
          <cell r="A14">
            <v>38353</v>
          </cell>
          <cell r="P14">
            <v>13.775357366934101</v>
          </cell>
          <cell r="V14">
            <v>76.2514600033455</v>
          </cell>
        </row>
        <row r="15">
          <cell r="A15">
            <v>38384</v>
          </cell>
          <cell r="P15">
            <v>13.753181871806101</v>
          </cell>
          <cell r="V15">
            <v>76.132291775560503</v>
          </cell>
        </row>
        <row r="16">
          <cell r="A16">
            <v>38412</v>
          </cell>
          <cell r="P16">
            <v>13.728116976185101</v>
          </cell>
          <cell r="V16">
            <v>76.159155042073493</v>
          </cell>
        </row>
        <row r="17">
          <cell r="A17">
            <v>38443</v>
          </cell>
          <cell r="P17">
            <v>13.711271765540801</v>
          </cell>
          <cell r="V17">
            <v>76.392153035066698</v>
          </cell>
        </row>
        <row r="18">
          <cell r="A18">
            <v>38473</v>
          </cell>
          <cell r="P18">
            <v>13.6877638007551</v>
          </cell>
          <cell r="V18">
            <v>76.729923928900703</v>
          </cell>
        </row>
        <row r="19">
          <cell r="A19">
            <v>38504</v>
          </cell>
          <cell r="P19">
            <v>13.660615021369599</v>
          </cell>
          <cell r="V19">
            <v>77.040318755044098</v>
          </cell>
        </row>
        <row r="20">
          <cell r="A20">
            <v>38534</v>
          </cell>
          <cell r="P20">
            <v>13.625283668312999</v>
          </cell>
          <cell r="V20">
            <v>77.249493155471299</v>
          </cell>
        </row>
        <row r="21">
          <cell r="A21">
            <v>38565</v>
          </cell>
          <cell r="P21">
            <v>13.5815337596328</v>
          </cell>
          <cell r="V21">
            <v>77.568839240507003</v>
          </cell>
        </row>
        <row r="22">
          <cell r="A22">
            <v>38596</v>
          </cell>
          <cell r="P22">
            <v>13.5310738720566</v>
          </cell>
          <cell r="V22">
            <v>77.981069759450506</v>
          </cell>
        </row>
        <row r="23">
          <cell r="A23">
            <v>38626</v>
          </cell>
          <cell r="P23">
            <v>13.4698773242018</v>
          </cell>
          <cell r="V23">
            <v>78.432114095324394</v>
          </cell>
        </row>
        <row r="24">
          <cell r="A24">
            <v>38657</v>
          </cell>
          <cell r="P24">
            <v>13.3983593818214</v>
          </cell>
          <cell r="V24">
            <v>78.9388789729949</v>
          </cell>
        </row>
        <row r="25">
          <cell r="A25">
            <v>38687</v>
          </cell>
          <cell r="P25">
            <v>13.324029328281499</v>
          </cell>
          <cell r="V25">
            <v>79.159025400356796</v>
          </cell>
        </row>
        <row r="26">
          <cell r="A26">
            <v>38718</v>
          </cell>
          <cell r="P26">
            <v>13.2512063927001</v>
          </cell>
          <cell r="V26">
            <v>79.024015206832701</v>
          </cell>
        </row>
        <row r="27">
          <cell r="A27">
            <v>38749</v>
          </cell>
          <cell r="P27">
            <v>13.1640586943708</v>
          </cell>
          <cell r="V27">
            <v>79.036543257691804</v>
          </cell>
        </row>
        <row r="28">
          <cell r="A28">
            <v>38777</v>
          </cell>
          <cell r="P28">
            <v>13.073451495384401</v>
          </cell>
          <cell r="V28">
            <v>79.153137781098906</v>
          </cell>
        </row>
        <row r="29">
          <cell r="A29">
            <v>38808</v>
          </cell>
          <cell r="P29">
            <v>12.9820937131568</v>
          </cell>
          <cell r="V29">
            <v>79.558699492774707</v>
          </cell>
        </row>
        <row r="30">
          <cell r="A30">
            <v>38838</v>
          </cell>
          <cell r="P30">
            <v>12.890697127805799</v>
          </cell>
          <cell r="V30">
            <v>79.527718821911094</v>
          </cell>
        </row>
        <row r="31">
          <cell r="A31">
            <v>38869</v>
          </cell>
          <cell r="P31">
            <v>12.7992730252298</v>
          </cell>
          <cell r="V31">
            <v>79.821397836799505</v>
          </cell>
        </row>
        <row r="32">
          <cell r="A32">
            <v>38899</v>
          </cell>
          <cell r="P32">
            <v>12.7012505484402</v>
          </cell>
          <cell r="V32">
            <v>79.9945460043065</v>
          </cell>
        </row>
        <row r="33">
          <cell r="A33">
            <v>38930</v>
          </cell>
          <cell r="P33">
            <v>12.611723064352701</v>
          </cell>
          <cell r="V33">
            <v>80.320192242116903</v>
          </cell>
        </row>
        <row r="34">
          <cell r="A34">
            <v>38961</v>
          </cell>
          <cell r="P34">
            <v>12.5330902568278</v>
          </cell>
          <cell r="V34">
            <v>80.522390398772799</v>
          </cell>
        </row>
        <row r="35">
          <cell r="A35">
            <v>38991</v>
          </cell>
          <cell r="P35">
            <v>12.465771479529399</v>
          </cell>
          <cell r="V35">
            <v>80.875226941043294</v>
          </cell>
        </row>
        <row r="36">
          <cell r="A36">
            <v>39022</v>
          </cell>
          <cell r="P36">
            <v>12.406228958674401</v>
          </cell>
          <cell r="V36">
            <v>81.112533084350403</v>
          </cell>
        </row>
        <row r="37">
          <cell r="A37">
            <v>39052</v>
          </cell>
          <cell r="P37">
            <v>12.3505114242078</v>
          </cell>
          <cell r="V37">
            <v>81.647857021393307</v>
          </cell>
        </row>
        <row r="38">
          <cell r="A38">
            <v>39083</v>
          </cell>
          <cell r="P38">
            <v>12.3038048472947</v>
          </cell>
          <cell r="V38">
            <v>81.619518155363195</v>
          </cell>
        </row>
        <row r="39">
          <cell r="A39">
            <v>39114</v>
          </cell>
          <cell r="P39">
            <v>12.263268577135999</v>
          </cell>
          <cell r="V39">
            <v>81.636524044926603</v>
          </cell>
        </row>
        <row r="40">
          <cell r="A40">
            <v>39142</v>
          </cell>
          <cell r="P40">
            <v>12.222547645332201</v>
          </cell>
          <cell r="V40">
            <v>81.423940970355105</v>
          </cell>
        </row>
        <row r="41">
          <cell r="A41">
            <v>39173</v>
          </cell>
          <cell r="P41">
            <v>12.1814962304469</v>
          </cell>
          <cell r="V41">
            <v>81.394060699374606</v>
          </cell>
        </row>
        <row r="42">
          <cell r="A42">
            <v>39203</v>
          </cell>
          <cell r="P42">
            <v>12.139234858592999</v>
          </cell>
          <cell r="V42">
            <v>81.401949804827396</v>
          </cell>
        </row>
        <row r="43">
          <cell r="A43">
            <v>39234</v>
          </cell>
          <cell r="P43">
            <v>12.097552635874401</v>
          </cell>
          <cell r="V43">
            <v>81.538364147394006</v>
          </cell>
        </row>
        <row r="44">
          <cell r="A44">
            <v>39264</v>
          </cell>
          <cell r="P44">
            <v>12.0608342605054</v>
          </cell>
          <cell r="V44">
            <v>81.540434736766699</v>
          </cell>
        </row>
        <row r="45">
          <cell r="A45">
            <v>39295</v>
          </cell>
          <cell r="P45">
            <v>12.0225461034342</v>
          </cell>
          <cell r="V45">
            <v>81.541389767028704</v>
          </cell>
        </row>
        <row r="46">
          <cell r="A46">
            <v>39326</v>
          </cell>
          <cell r="P46">
            <v>11.985594535760701</v>
          </cell>
          <cell r="V46">
            <v>81.719135214524002</v>
          </cell>
        </row>
        <row r="47">
          <cell r="A47">
            <v>39356</v>
          </cell>
          <cell r="P47">
            <v>11.952231839320101</v>
          </cell>
          <cell r="V47">
            <v>81.838312135693798</v>
          </cell>
        </row>
        <row r="48">
          <cell r="A48">
            <v>39387</v>
          </cell>
          <cell r="P48">
            <v>11.9238448168016</v>
          </cell>
          <cell r="V48">
            <v>81.988162971948796</v>
          </cell>
        </row>
        <row r="49">
          <cell r="A49">
            <v>39417</v>
          </cell>
          <cell r="P49">
            <v>11.8946676437217</v>
          </cell>
          <cell r="V49">
            <v>82.059077023506106</v>
          </cell>
        </row>
        <row r="50">
          <cell r="A50">
            <v>39448</v>
          </cell>
          <cell r="P50">
            <v>11.867588357546399</v>
          </cell>
          <cell r="V50">
            <v>81.896001298675003</v>
          </cell>
        </row>
        <row r="51">
          <cell r="A51">
            <v>39479</v>
          </cell>
          <cell r="P51">
            <v>11.842703728363199</v>
          </cell>
          <cell r="V51">
            <v>81.537409501741806</v>
          </cell>
        </row>
        <row r="52">
          <cell r="A52">
            <v>39508</v>
          </cell>
          <cell r="P52">
            <v>11.8165292738875</v>
          </cell>
          <cell r="V52">
            <v>81.163228785272693</v>
          </cell>
        </row>
        <row r="53">
          <cell r="A53">
            <v>39539</v>
          </cell>
          <cell r="P53">
            <v>11.7923026759498</v>
          </cell>
          <cell r="V53">
            <v>80.601138757251903</v>
          </cell>
        </row>
        <row r="54">
          <cell r="A54">
            <v>39569</v>
          </cell>
          <cell r="P54">
            <v>11.766727078074499</v>
          </cell>
          <cell r="V54">
            <v>80.517729448868096</v>
          </cell>
        </row>
        <row r="55">
          <cell r="A55">
            <v>39600</v>
          </cell>
          <cell r="P55">
            <v>11.738967582500599</v>
          </cell>
          <cell r="V55">
            <v>80.369466223603595</v>
          </cell>
        </row>
        <row r="56">
          <cell r="A56">
            <v>39630</v>
          </cell>
          <cell r="P56">
            <v>11.718959225307801</v>
          </cell>
          <cell r="V56">
            <v>79.775067132781004</v>
          </cell>
        </row>
        <row r="57">
          <cell r="A57">
            <v>39661</v>
          </cell>
          <cell r="P57">
            <v>11.6998683583843</v>
          </cell>
          <cell r="V57">
            <v>79.512618801179201</v>
          </cell>
        </row>
        <row r="58">
          <cell r="A58">
            <v>39692</v>
          </cell>
          <cell r="P58">
            <v>11.675677225545501</v>
          </cell>
          <cell r="V58">
            <v>79.244491726767706</v>
          </cell>
        </row>
        <row r="59">
          <cell r="A59">
            <v>39722</v>
          </cell>
          <cell r="P59">
            <v>11.6471936571968</v>
          </cell>
          <cell r="V59">
            <v>79.273651802858396</v>
          </cell>
        </row>
        <row r="60">
          <cell r="A60">
            <v>39753</v>
          </cell>
          <cell r="P60">
            <v>11.613032086497499</v>
          </cell>
          <cell r="V60">
            <v>79.1039354240053</v>
          </cell>
        </row>
        <row r="61">
          <cell r="A61">
            <v>39783</v>
          </cell>
          <cell r="P61">
            <v>11.5841340509761</v>
          </cell>
          <cell r="V61">
            <v>78.723678774803503</v>
          </cell>
        </row>
        <row r="62">
          <cell r="A62">
            <v>39814</v>
          </cell>
          <cell r="P62">
            <v>11.547438293907</v>
          </cell>
          <cell r="V62">
            <v>78.212211500823003</v>
          </cell>
        </row>
        <row r="63">
          <cell r="A63">
            <v>39845</v>
          </cell>
          <cell r="P63">
            <v>11.5227077649424</v>
          </cell>
          <cell r="V63">
            <v>77.506073246854697</v>
          </cell>
        </row>
        <row r="64">
          <cell r="A64">
            <v>39873</v>
          </cell>
          <cell r="P64">
            <v>11.500766937772701</v>
          </cell>
          <cell r="V64">
            <v>76.965508585312094</v>
          </cell>
        </row>
        <row r="65">
          <cell r="A65">
            <v>39904</v>
          </cell>
          <cell r="P65">
            <v>11.4808216864363</v>
          </cell>
          <cell r="V65">
            <v>76.699868931909705</v>
          </cell>
        </row>
        <row r="66">
          <cell r="A66">
            <v>39934</v>
          </cell>
          <cell r="P66">
            <v>11.470939508410799</v>
          </cell>
          <cell r="V66">
            <v>76.210160347812007</v>
          </cell>
        </row>
        <row r="67">
          <cell r="A67">
            <v>39965</v>
          </cell>
          <cell r="P67">
            <v>11.4630919398587</v>
          </cell>
          <cell r="V67">
            <v>75.809813348123797</v>
          </cell>
        </row>
        <row r="68">
          <cell r="A68">
            <v>39995</v>
          </cell>
          <cell r="P68">
            <v>11.458227498668901</v>
          </cell>
          <cell r="V68">
            <v>75.414513879090904</v>
          </cell>
        </row>
        <row r="69">
          <cell r="A69">
            <v>40026</v>
          </cell>
          <cell r="P69">
            <v>11.460744912883101</v>
          </cell>
          <cell r="V69">
            <v>75.207286442142106</v>
          </cell>
        </row>
        <row r="70">
          <cell r="A70">
            <v>40057</v>
          </cell>
          <cell r="P70">
            <v>11.468640136889499</v>
          </cell>
          <cell r="V70">
            <v>75.007412721223702</v>
          </cell>
        </row>
        <row r="71">
          <cell r="A71">
            <v>40087</v>
          </cell>
          <cell r="P71">
            <v>11.483682910777199</v>
          </cell>
          <cell r="V71">
            <v>74.873034417481307</v>
          </cell>
        </row>
        <row r="72">
          <cell r="A72">
            <v>40118</v>
          </cell>
          <cell r="P72">
            <v>11.506773042316</v>
          </cell>
          <cell r="V72">
            <v>74.915030548780393</v>
          </cell>
        </row>
        <row r="73">
          <cell r="A73">
            <v>40148</v>
          </cell>
          <cell r="P73">
            <v>11.535131591012901</v>
          </cell>
          <cell r="V73">
            <v>75.102709565862597</v>
          </cell>
        </row>
        <row r="74">
          <cell r="A74">
            <v>40179</v>
          </cell>
          <cell r="P74">
            <v>11.577971043913999</v>
          </cell>
          <cell r="V74">
            <v>75.135941171193494</v>
          </cell>
        </row>
        <row r="75">
          <cell r="A75">
            <v>40210</v>
          </cell>
          <cell r="P75">
            <v>11.611673396553799</v>
          </cell>
          <cell r="V75">
            <v>74.836197718587997</v>
          </cell>
        </row>
        <row r="76">
          <cell r="A76">
            <v>40238</v>
          </cell>
          <cell r="P76">
            <v>11.6427718107301</v>
          </cell>
          <cell r="V76">
            <v>74.8939240953721</v>
          </cell>
        </row>
        <row r="77">
          <cell r="A77">
            <v>40269</v>
          </cell>
          <cell r="P77">
            <v>11.6773661374729</v>
          </cell>
          <cell r="V77">
            <v>74.983230433520106</v>
          </cell>
        </row>
        <row r="78">
          <cell r="A78">
            <v>40299</v>
          </cell>
          <cell r="P78">
            <v>11.714774631559701</v>
          </cell>
          <cell r="V78">
            <v>75.128900900592896</v>
          </cell>
        </row>
        <row r="79">
          <cell r="A79">
            <v>40330</v>
          </cell>
          <cell r="P79">
            <v>11.754419476284699</v>
          </cell>
          <cell r="V79">
            <v>75.395090782481304</v>
          </cell>
        </row>
        <row r="80">
          <cell r="A80">
            <v>40360</v>
          </cell>
          <cell r="P80">
            <v>11.7918767094876</v>
          </cell>
          <cell r="V80">
            <v>75.499670659685904</v>
          </cell>
        </row>
        <row r="81">
          <cell r="A81">
            <v>40391</v>
          </cell>
          <cell r="P81">
            <v>11.8276108065755</v>
          </cell>
          <cell r="V81">
            <v>75.499822024492403</v>
          </cell>
        </row>
        <row r="82">
          <cell r="A82">
            <v>40422</v>
          </cell>
          <cell r="P82">
            <v>11.8589434981645</v>
          </cell>
          <cell r="V82">
            <v>75.769296125606999</v>
          </cell>
        </row>
        <row r="83">
          <cell r="A83">
            <v>40452</v>
          </cell>
          <cell r="P83">
            <v>11.8862035340312</v>
          </cell>
          <cell r="V83">
            <v>76.017341253956303</v>
          </cell>
        </row>
        <row r="84">
          <cell r="A84">
            <v>40483</v>
          </cell>
          <cell r="P84">
            <v>11.9119002619192</v>
          </cell>
          <cell r="V84">
            <v>76.348223290750596</v>
          </cell>
        </row>
        <row r="85">
          <cell r="A85">
            <v>40513</v>
          </cell>
          <cell r="P85">
            <v>11.934142011562701</v>
          </cell>
          <cell r="V85">
            <v>76.237589215755094</v>
          </cell>
        </row>
        <row r="86">
          <cell r="A86">
            <v>40544</v>
          </cell>
          <cell r="P86">
            <v>11.9550058036655</v>
          </cell>
          <cell r="V86">
            <v>76.245872522907007</v>
          </cell>
        </row>
        <row r="87">
          <cell r="A87">
            <v>40575</v>
          </cell>
          <cell r="P87">
            <v>11.9707285437267</v>
          </cell>
          <cell r="V87">
            <v>76.124302187068594</v>
          </cell>
        </row>
        <row r="88">
          <cell r="A88">
            <v>40603</v>
          </cell>
          <cell r="P88">
            <v>11.985644864312199</v>
          </cell>
          <cell r="V88">
            <v>76.197753587695402</v>
          </cell>
        </row>
        <row r="89">
          <cell r="A89">
            <v>40634</v>
          </cell>
          <cell r="P89">
            <v>11.9924107567969</v>
          </cell>
          <cell r="V89">
            <v>76.312988326665902</v>
          </cell>
        </row>
        <row r="90">
          <cell r="A90">
            <v>40664</v>
          </cell>
          <cell r="P90">
            <v>11.9930462277652</v>
          </cell>
          <cell r="V90">
            <v>76.260902811667506</v>
          </cell>
        </row>
        <row r="91">
          <cell r="A91">
            <v>40695</v>
          </cell>
          <cell r="P91">
            <v>11.9929414986404</v>
          </cell>
          <cell r="V91">
            <v>76.521007782316701</v>
          </cell>
        </row>
        <row r="92">
          <cell r="A92">
            <v>40725</v>
          </cell>
          <cell r="P92">
            <v>11.9898328622404</v>
          </cell>
          <cell r="V92">
            <v>76.607582301229499</v>
          </cell>
        </row>
        <row r="93">
          <cell r="A93">
            <v>40756</v>
          </cell>
          <cell r="P93">
            <v>11.9798937761123</v>
          </cell>
          <cell r="V93">
            <v>76.623034571162194</v>
          </cell>
        </row>
        <row r="94">
          <cell r="A94">
            <v>40787</v>
          </cell>
          <cell r="P94">
            <v>11.9652000735535</v>
          </cell>
          <cell r="V94">
            <v>76.837978648525507</v>
          </cell>
        </row>
        <row r="95">
          <cell r="A95">
            <v>40817</v>
          </cell>
          <cell r="P95">
            <v>11.939837244205</v>
          </cell>
          <cell r="V95">
            <v>76.986475680405306</v>
          </cell>
        </row>
        <row r="96">
          <cell r="A96">
            <v>40848</v>
          </cell>
          <cell r="P96">
            <v>11.9054039959248</v>
          </cell>
          <cell r="V96">
            <v>77.333156170221898</v>
          </cell>
        </row>
        <row r="97">
          <cell r="A97">
            <v>40878</v>
          </cell>
          <cell r="P97">
            <v>11.864659310969101</v>
          </cell>
          <cell r="V97">
            <v>77.211932773860696</v>
          </cell>
        </row>
        <row r="98">
          <cell r="A98">
            <v>40909</v>
          </cell>
          <cell r="P98">
            <v>11.8211193860454</v>
          </cell>
          <cell r="V98">
            <v>76.928174728338703</v>
          </cell>
        </row>
        <row r="99">
          <cell r="A99">
            <v>40940</v>
          </cell>
          <cell r="P99">
            <v>11.7723854229385</v>
          </cell>
          <cell r="V99">
            <v>76.694185766504503</v>
          </cell>
        </row>
        <row r="100">
          <cell r="A100">
            <v>40969</v>
          </cell>
          <cell r="P100">
            <v>11.7258611774529</v>
          </cell>
          <cell r="V100">
            <v>76.836195409799899</v>
          </cell>
        </row>
        <row r="101">
          <cell r="A101">
            <v>41000</v>
          </cell>
          <cell r="P101">
            <v>11.678019525040201</v>
          </cell>
          <cell r="V101">
            <v>76.778127863303197</v>
          </cell>
        </row>
        <row r="102">
          <cell r="A102">
            <v>41030</v>
          </cell>
          <cell r="P102">
            <v>11.6279459572915</v>
          </cell>
          <cell r="V102">
            <v>76.55039368125</v>
          </cell>
        </row>
        <row r="103">
          <cell r="A103">
            <v>41061</v>
          </cell>
          <cell r="P103">
            <v>11.576834119176601</v>
          </cell>
          <cell r="V103">
            <v>76.481850437602404</v>
          </cell>
        </row>
        <row r="104">
          <cell r="A104">
            <v>41091</v>
          </cell>
          <cell r="P104">
            <v>11.524033321074199</v>
          </cell>
          <cell r="V104">
            <v>76.548170091744794</v>
          </cell>
        </row>
        <row r="105">
          <cell r="A105">
            <v>41122</v>
          </cell>
          <cell r="P105">
            <v>11.469878867021899</v>
          </cell>
          <cell r="V105">
            <v>76.733221180426995</v>
          </cell>
        </row>
        <row r="106">
          <cell r="A106">
            <v>41153</v>
          </cell>
          <cell r="P106">
            <v>11.414770665567501</v>
          </cell>
          <cell r="V106">
            <v>76.882916469581701</v>
          </cell>
        </row>
        <row r="107">
          <cell r="A107">
            <v>41183</v>
          </cell>
          <cell r="P107">
            <v>11.3625658308172</v>
          </cell>
          <cell r="V107">
            <v>77.027328300221797</v>
          </cell>
        </row>
        <row r="108">
          <cell r="A108">
            <v>41214</v>
          </cell>
          <cell r="P108">
            <v>11.3101833564175</v>
          </cell>
          <cell r="V108">
            <v>77.270109125312501</v>
          </cell>
        </row>
        <row r="109">
          <cell r="A109">
            <v>41244</v>
          </cell>
          <cell r="P109">
            <v>11.257284617027899</v>
          </cell>
          <cell r="V109">
            <v>77.416813075685297</v>
          </cell>
        </row>
        <row r="110">
          <cell r="A110">
            <v>41275</v>
          </cell>
          <cell r="P110">
            <v>11.2033646652856</v>
          </cell>
          <cell r="V110">
            <v>77.325806353764406</v>
          </cell>
        </row>
        <row r="111">
          <cell r="A111">
            <v>41306</v>
          </cell>
          <cell r="P111">
            <v>11.1488065235205</v>
          </cell>
          <cell r="V111">
            <v>77.014027890022405</v>
          </cell>
        </row>
        <row r="112">
          <cell r="A112">
            <v>41334</v>
          </cell>
          <cell r="P112">
            <v>11.0952783729998</v>
          </cell>
          <cell r="V112">
            <v>76.585309343929495</v>
          </cell>
        </row>
        <row r="113">
          <cell r="A113">
            <v>41365</v>
          </cell>
          <cell r="P113">
            <v>11.043480977600799</v>
          </cell>
          <cell r="V113">
            <v>76.241282452331305</v>
          </cell>
        </row>
        <row r="114">
          <cell r="A114">
            <v>41395</v>
          </cell>
          <cell r="P114">
            <v>10.994170140164201</v>
          </cell>
          <cell r="V114">
            <v>76.018033260904403</v>
          </cell>
        </row>
        <row r="115">
          <cell r="A115">
            <v>41426</v>
          </cell>
          <cell r="P115">
            <v>10.9426891804537</v>
          </cell>
          <cell r="V115">
            <v>75.937416419620405</v>
          </cell>
        </row>
        <row r="116">
          <cell r="A116">
            <v>41456</v>
          </cell>
          <cell r="P116">
            <v>10.889727654182</v>
          </cell>
          <cell r="V116">
            <v>75.841728114444294</v>
          </cell>
        </row>
        <row r="117">
          <cell r="A117">
            <v>41487</v>
          </cell>
          <cell r="P117">
            <v>10.8355616883181</v>
          </cell>
          <cell r="V117">
            <v>76.049946426119405</v>
          </cell>
        </row>
        <row r="118">
          <cell r="A118">
            <v>41518</v>
          </cell>
          <cell r="P118">
            <v>10.7831205152949</v>
          </cell>
          <cell r="V118">
            <v>76.072074742415495</v>
          </cell>
        </row>
        <row r="119">
          <cell r="A119">
            <v>41548</v>
          </cell>
          <cell r="P119">
            <v>10.732971874957601</v>
          </cell>
          <cell r="V119">
            <v>76.396602697929097</v>
          </cell>
        </row>
        <row r="120">
          <cell r="A120">
            <v>41579</v>
          </cell>
          <cell r="P120">
            <v>10.683485145760701</v>
          </cell>
          <cell r="V120">
            <v>76.737387800550195</v>
          </cell>
        </row>
        <row r="121">
          <cell r="A121">
            <v>41609</v>
          </cell>
          <cell r="P121">
            <v>10.6369123668114</v>
          </cell>
          <cell r="V121">
            <v>76.8600174993378</v>
          </cell>
        </row>
        <row r="122">
          <cell r="A122">
            <v>41640</v>
          </cell>
          <cell r="P122">
            <v>10.587848784564001</v>
          </cell>
          <cell r="V122">
            <v>76.822137891832398</v>
          </cell>
        </row>
        <row r="123">
          <cell r="A123">
            <v>41671</v>
          </cell>
          <cell r="P123">
            <v>10.538740223447601</v>
          </cell>
          <cell r="V123">
            <v>76.796887639443298</v>
          </cell>
        </row>
        <row r="124">
          <cell r="A124">
            <v>41699</v>
          </cell>
          <cell r="P124">
            <v>10.489738300302999</v>
          </cell>
          <cell r="V124">
            <v>76.694101296507995</v>
          </cell>
        </row>
        <row r="125">
          <cell r="A125">
            <v>41730</v>
          </cell>
          <cell r="P125">
            <v>10.4426788926404</v>
          </cell>
          <cell r="V125">
            <v>76.440307006693601</v>
          </cell>
        </row>
        <row r="126">
          <cell r="A126">
            <v>41760</v>
          </cell>
          <cell r="P126">
            <v>10.3933572391207</v>
          </cell>
          <cell r="V126">
            <v>76.461156737943895</v>
          </cell>
        </row>
        <row r="127">
          <cell r="A127">
            <v>41791</v>
          </cell>
          <cell r="P127">
            <v>10.339393726935899</v>
          </cell>
          <cell r="V127">
            <v>76.631061965921504</v>
          </cell>
        </row>
        <row r="128">
          <cell r="A128">
            <v>41821</v>
          </cell>
          <cell r="P128">
            <v>10.2874327206028</v>
          </cell>
          <cell r="V128">
            <v>76.501002483655398</v>
          </cell>
        </row>
        <row r="129">
          <cell r="A129">
            <v>41852</v>
          </cell>
          <cell r="P129">
            <v>10.2375155990885</v>
          </cell>
          <cell r="V129">
            <v>76.730485441252299</v>
          </cell>
        </row>
        <row r="130">
          <cell r="A130">
            <v>41883</v>
          </cell>
          <cell r="P130">
            <v>10.1886125091161</v>
          </cell>
          <cell r="V130">
            <v>76.684838459050994</v>
          </cell>
        </row>
        <row r="131">
          <cell r="A131">
            <v>41913</v>
          </cell>
          <cell r="P131">
            <v>10.1373980266912</v>
          </cell>
          <cell r="V131">
            <v>76.671997728351997</v>
          </cell>
        </row>
        <row r="132">
          <cell r="A132">
            <v>41944</v>
          </cell>
          <cell r="P132">
            <v>10.085864673858101</v>
          </cell>
          <cell r="V132">
            <v>76.831448210813406</v>
          </cell>
        </row>
        <row r="133">
          <cell r="A133">
            <v>41974</v>
          </cell>
          <cell r="P133">
            <v>10.0352705151137</v>
          </cell>
          <cell r="V133">
            <v>76.713802089850901</v>
          </cell>
        </row>
        <row r="134">
          <cell r="A134">
            <v>42005</v>
          </cell>
          <cell r="P134">
            <v>9.9866084811946898</v>
          </cell>
          <cell r="V134">
            <v>76.627238707490406</v>
          </cell>
        </row>
        <row r="135">
          <cell r="A135">
            <v>42036</v>
          </cell>
          <cell r="P135">
            <v>9.9385287273059095</v>
          </cell>
          <cell r="V135">
            <v>75.5991741957138</v>
          </cell>
        </row>
        <row r="136">
          <cell r="A136">
            <v>42064</v>
          </cell>
          <cell r="P136">
            <v>9.8861505466104802</v>
          </cell>
          <cell r="V136">
            <v>74.936737748779606</v>
          </cell>
        </row>
        <row r="137">
          <cell r="A137">
            <v>42095</v>
          </cell>
          <cell r="P137">
            <v>9.8338546701112399</v>
          </cell>
          <cell r="V137">
            <v>74.6121879874092</v>
          </cell>
        </row>
        <row r="138">
          <cell r="A138">
            <v>42125</v>
          </cell>
          <cell r="P138">
            <v>9.7847636678138592</v>
          </cell>
          <cell r="V138">
            <v>73.964332590206297</v>
          </cell>
        </row>
        <row r="139">
          <cell r="A139">
            <v>42156</v>
          </cell>
          <cell r="P139">
            <v>9.7392556205762002</v>
          </cell>
          <cell r="V139">
            <v>73.747729333179706</v>
          </cell>
        </row>
        <row r="140">
          <cell r="A140">
            <v>42186</v>
          </cell>
          <cell r="P140">
            <v>9.6943258200884905</v>
          </cell>
          <cell r="V140">
            <v>73.501108903544704</v>
          </cell>
        </row>
        <row r="141">
          <cell r="A141">
            <v>42217</v>
          </cell>
          <cell r="P141">
            <v>9.6509864164048391</v>
          </cell>
          <cell r="V141">
            <v>73.410160207130204</v>
          </cell>
        </row>
        <row r="142">
          <cell r="A142">
            <v>42248</v>
          </cell>
          <cell r="P142">
            <v>9.6120503457413307</v>
          </cell>
          <cell r="V142">
            <v>73.289565747894997</v>
          </cell>
        </row>
        <row r="143">
          <cell r="A143">
            <v>42278</v>
          </cell>
          <cell r="P143">
            <v>9.5762510908512599</v>
          </cell>
          <cell r="V143">
            <v>73.307745668327001</v>
          </cell>
        </row>
        <row r="144">
          <cell r="A144">
            <v>42309</v>
          </cell>
          <cell r="P144">
            <v>9.5450360739164299</v>
          </cell>
          <cell r="V144">
            <v>73.376007096366294</v>
          </cell>
        </row>
        <row r="145">
          <cell r="A145">
            <v>42339</v>
          </cell>
          <cell r="P145">
            <v>9.5126359417329809</v>
          </cell>
          <cell r="V145">
            <v>73.386041200339406</v>
          </cell>
        </row>
        <row r="146">
          <cell r="A146">
            <v>42370</v>
          </cell>
          <cell r="P146">
            <v>9.4869826258154397</v>
          </cell>
          <cell r="V146">
            <v>73.371434538701607</v>
          </cell>
        </row>
        <row r="147">
          <cell r="A147">
            <v>42401</v>
          </cell>
          <cell r="P147">
            <v>9.4665745539554305</v>
          </cell>
          <cell r="V147">
            <v>73.408563853637403</v>
          </cell>
        </row>
        <row r="148">
          <cell r="A148">
            <v>42430</v>
          </cell>
          <cell r="P148">
            <v>9.4464261434167103</v>
          </cell>
          <cell r="V148">
            <v>73.378377465978005</v>
          </cell>
        </row>
        <row r="149">
          <cell r="A149">
            <v>42461</v>
          </cell>
          <cell r="P149">
            <v>9.4313145820403506</v>
          </cell>
          <cell r="V149">
            <v>73.546354151797999</v>
          </cell>
        </row>
        <row r="150">
          <cell r="A150">
            <v>42491</v>
          </cell>
          <cell r="P150">
            <v>9.4183974318621395</v>
          </cell>
          <cell r="V150">
            <v>73.704224576955298</v>
          </cell>
        </row>
        <row r="151">
          <cell r="A151">
            <v>42522</v>
          </cell>
          <cell r="P151">
            <v>9.4085533746200891</v>
          </cell>
          <cell r="V151">
            <v>73.861087248962704</v>
          </cell>
        </row>
        <row r="152">
          <cell r="A152">
            <v>42552</v>
          </cell>
          <cell r="P152">
            <v>9.3990357147940493</v>
          </cell>
          <cell r="V152">
            <v>74.034140149953799</v>
          </cell>
        </row>
        <row r="153">
          <cell r="A153">
            <v>42583</v>
          </cell>
          <cell r="P153">
            <v>9.3928388138354393</v>
          </cell>
          <cell r="V153">
            <v>74.097966033176803</v>
          </cell>
        </row>
        <row r="154">
          <cell r="A154">
            <v>42614</v>
          </cell>
          <cell r="P154">
            <v>9.3867610558384609</v>
          </cell>
          <cell r="V154">
            <v>74.588516762525401</v>
          </cell>
        </row>
        <row r="155">
          <cell r="A155">
            <v>42644</v>
          </cell>
          <cell r="P155">
            <v>9.3823656286417592</v>
          </cell>
          <cell r="V155">
            <v>75.030403790522598</v>
          </cell>
        </row>
        <row r="156">
          <cell r="A156">
            <v>42675</v>
          </cell>
          <cell r="P156">
            <v>9.3808376761175296</v>
          </cell>
          <cell r="V156">
            <v>75.218949755981797</v>
          </cell>
        </row>
        <row r="157">
          <cell r="A157">
            <v>42705</v>
          </cell>
          <cell r="P157">
            <v>9.3797311602824198</v>
          </cell>
          <cell r="V157">
            <v>75.471615180494894</v>
          </cell>
        </row>
        <row r="158">
          <cell r="A158">
            <v>42736</v>
          </cell>
          <cell r="P158">
            <v>9.3804991069584904</v>
          </cell>
          <cell r="V158">
            <v>75.699347983325893</v>
          </cell>
        </row>
        <row r="159">
          <cell r="A159">
            <v>42767</v>
          </cell>
          <cell r="P159">
            <v>9.3847182693492002</v>
          </cell>
          <cell r="V159">
            <v>75.5780937054936</v>
          </cell>
        </row>
        <row r="160">
          <cell r="A160">
            <v>42795</v>
          </cell>
          <cell r="P160">
            <v>9.3906290133402308</v>
          </cell>
          <cell r="V160">
            <v>75.227567027479495</v>
          </cell>
        </row>
        <row r="161">
          <cell r="A161">
            <v>42826</v>
          </cell>
          <cell r="P161">
            <v>9.3984975372233404</v>
          </cell>
          <cell r="V161">
            <v>75.366399700551497</v>
          </cell>
        </row>
        <row r="162">
          <cell r="A162">
            <v>42856</v>
          </cell>
          <cell r="P162">
            <v>9.4031639798972506</v>
          </cell>
          <cell r="V162">
            <v>75.218261197694602</v>
          </cell>
        </row>
        <row r="163">
          <cell r="A163">
            <v>42887</v>
          </cell>
          <cell r="P163">
            <v>9.41017590339154</v>
          </cell>
          <cell r="V163">
            <v>75.311116927536403</v>
          </cell>
        </row>
        <row r="164">
          <cell r="A164">
            <v>42917</v>
          </cell>
          <cell r="P164">
            <v>9.4189155549155501</v>
          </cell>
          <cell r="V164">
            <v>75.317420672040896</v>
          </cell>
        </row>
        <row r="165">
          <cell r="A165">
            <v>42948</v>
          </cell>
          <cell r="P165">
            <v>9.4300176884290998</v>
          </cell>
          <cell r="V165">
            <v>75.420410969628705</v>
          </cell>
        </row>
        <row r="166">
          <cell r="A166">
            <v>42979</v>
          </cell>
          <cell r="P166">
            <v>9.4411350283164701</v>
          </cell>
          <cell r="V166">
            <v>75.713339156756803</v>
          </cell>
        </row>
        <row r="167">
          <cell r="A167">
            <v>43009</v>
          </cell>
          <cell r="P167">
            <v>9.4535103139444097</v>
          </cell>
          <cell r="V167">
            <v>75.897175581481093</v>
          </cell>
        </row>
        <row r="168">
          <cell r="A168">
            <v>43040</v>
          </cell>
          <cell r="P168">
            <v>9.4656108023426508</v>
          </cell>
          <cell r="V168">
            <v>76.245596679605796</v>
          </cell>
        </row>
        <row r="169">
          <cell r="A169">
            <v>43070</v>
          </cell>
          <cell r="P169">
            <v>9.4823974040942094</v>
          </cell>
          <cell r="V169">
            <v>76.417536367172602</v>
          </cell>
        </row>
        <row r="170">
          <cell r="A170">
            <v>43101</v>
          </cell>
          <cell r="P170">
            <v>9.4954325395909098</v>
          </cell>
          <cell r="V170">
            <v>76.552895357374695</v>
          </cell>
        </row>
        <row r="171">
          <cell r="A171">
            <v>43132</v>
          </cell>
          <cell r="P171">
            <v>9.50601902473643</v>
          </cell>
          <cell r="V171">
            <v>76.583913842280694</v>
          </cell>
        </row>
        <row r="172">
          <cell r="A172">
            <v>43160</v>
          </cell>
          <cell r="P172">
            <v>9.5204802728021694</v>
          </cell>
          <cell r="V172">
            <v>76.494257195532697</v>
          </cell>
        </row>
        <row r="173">
          <cell r="A173">
            <v>43191</v>
          </cell>
          <cell r="P173">
            <v>9.5303987407662891</v>
          </cell>
          <cell r="V173">
            <v>76.902778564671806</v>
          </cell>
        </row>
        <row r="174">
          <cell r="A174">
            <v>43221</v>
          </cell>
          <cell r="P174">
            <v>9.5417837289686993</v>
          </cell>
          <cell r="V174">
            <v>77.247097979817099</v>
          </cell>
        </row>
        <row r="175">
          <cell r="A175">
            <v>43252</v>
          </cell>
          <cell r="P175">
            <v>9.5542401399282593</v>
          </cell>
          <cell r="V175">
            <v>77.625300792278196</v>
          </cell>
        </row>
        <row r="176">
          <cell r="A176">
            <v>43282</v>
          </cell>
          <cell r="P176">
            <v>9.5659528177819393</v>
          </cell>
          <cell r="V176">
            <v>77.900939343490705</v>
          </cell>
        </row>
        <row r="177">
          <cell r="A177">
            <v>43313</v>
          </cell>
          <cell r="P177">
            <v>9.57542710555723</v>
          </cell>
          <cell r="V177">
            <v>78.329403452974802</v>
          </cell>
        </row>
        <row r="178">
          <cell r="A178">
            <v>43344</v>
          </cell>
          <cell r="P178">
            <v>9.5846122934243407</v>
          </cell>
          <cell r="V178">
            <v>78.7283688755806</v>
          </cell>
        </row>
        <row r="179">
          <cell r="A179">
            <v>43374</v>
          </cell>
          <cell r="P179">
            <v>9.5965767015888392</v>
          </cell>
          <cell r="V179">
            <v>78.934224904534304</v>
          </cell>
        </row>
        <row r="180">
          <cell r="A180">
            <v>43405</v>
          </cell>
          <cell r="P180">
            <v>9.6094510485974407</v>
          </cell>
          <cell r="V180">
            <v>79.273639129295802</v>
          </cell>
        </row>
        <row r="181">
          <cell r="A181">
            <v>43435</v>
          </cell>
          <cell r="P181">
            <v>9.6275495032615197</v>
          </cell>
          <cell r="V181">
            <v>79.504904333798294</v>
          </cell>
        </row>
        <row r="182">
          <cell r="A182">
            <v>43466</v>
          </cell>
          <cell r="P182">
            <v>9.6504169488776004</v>
          </cell>
          <cell r="V182">
            <v>79.527380637151595</v>
          </cell>
        </row>
        <row r="183">
          <cell r="A183">
            <v>43497</v>
          </cell>
          <cell r="P183">
            <v>9.6753147279351293</v>
          </cell>
          <cell r="V183">
            <v>79.531213538016701</v>
          </cell>
        </row>
        <row r="184">
          <cell r="A184">
            <v>43525</v>
          </cell>
          <cell r="P184">
            <v>9.7032667625583802</v>
          </cell>
          <cell r="V184">
            <v>79.411596925985407</v>
          </cell>
        </row>
        <row r="185">
          <cell r="A185">
            <v>43556</v>
          </cell>
          <cell r="P185">
            <v>9.7366391448020106</v>
          </cell>
          <cell r="V185">
            <v>79.718521192058105</v>
          </cell>
        </row>
        <row r="186">
          <cell r="A186">
            <v>43586</v>
          </cell>
          <cell r="P186">
            <v>9.77195026204671</v>
          </cell>
          <cell r="V186">
            <v>79.635384577648296</v>
          </cell>
        </row>
        <row r="187">
          <cell r="A187">
            <v>43617</v>
          </cell>
          <cell r="P187">
            <v>9.80851474611746</v>
          </cell>
          <cell r="V187">
            <v>79.807791447639701</v>
          </cell>
        </row>
        <row r="188">
          <cell r="A188">
            <v>43647</v>
          </cell>
          <cell r="P188">
            <v>9.8454804347165599</v>
          </cell>
          <cell r="V188">
            <v>79.625589269445797</v>
          </cell>
        </row>
        <row r="189">
          <cell r="A189">
            <v>43678</v>
          </cell>
          <cell r="P189">
            <v>9.88474723303076</v>
          </cell>
          <cell r="V189">
            <v>79.8334975610518</v>
          </cell>
        </row>
        <row r="190">
          <cell r="A190">
            <v>43709</v>
          </cell>
          <cell r="P190">
            <v>9.9274347542802399</v>
          </cell>
          <cell r="V190">
            <v>80.176681576270596</v>
          </cell>
        </row>
        <row r="191">
          <cell r="A191">
            <v>43739</v>
          </cell>
          <cell r="P191">
            <v>9.9712099807140309</v>
          </cell>
          <cell r="V191">
            <v>80.324499814327396</v>
          </cell>
        </row>
        <row r="192">
          <cell r="A192">
            <v>43770</v>
          </cell>
          <cell r="P192">
            <v>10.0172667382014</v>
          </cell>
          <cell r="V192">
            <v>80.555139711094199</v>
          </cell>
        </row>
        <row r="193">
          <cell r="A193">
            <v>43800</v>
          </cell>
          <cell r="P193">
            <v>10.061530038935899</v>
          </cell>
          <cell r="V193">
            <v>80.704020632936604</v>
          </cell>
        </row>
        <row r="194">
          <cell r="A194">
            <v>43831</v>
          </cell>
          <cell r="P194">
            <v>10.105707947211499</v>
          </cell>
          <cell r="V194">
            <v>80.680664213431001</v>
          </cell>
        </row>
        <row r="195">
          <cell r="A195">
            <v>43862</v>
          </cell>
          <cell r="P195">
            <v>10.151108203671599</v>
          </cell>
          <cell r="V195">
            <v>80.525678667723497</v>
          </cell>
        </row>
        <row r="196">
          <cell r="A196">
            <v>43891</v>
          </cell>
          <cell r="P196">
            <v>10.2008233419673</v>
          </cell>
          <cell r="V196">
            <v>80.575320192022104</v>
          </cell>
        </row>
        <row r="197">
          <cell r="A197">
            <v>43922</v>
          </cell>
          <cell r="P197">
            <v>10.2624197166468</v>
          </cell>
          <cell r="V197">
            <v>80.048057770932004</v>
          </cell>
        </row>
        <row r="198">
          <cell r="A198">
            <v>43952</v>
          </cell>
          <cell r="P198">
            <v>10.3721038572713</v>
          </cell>
          <cell r="V198">
            <v>77.006453794516403</v>
          </cell>
        </row>
        <row r="199">
          <cell r="A199">
            <v>43983</v>
          </cell>
          <cell r="P199">
            <v>10.5313512187537</v>
          </cell>
          <cell r="V199">
            <v>75.813283861744793</v>
          </cell>
        </row>
        <row r="200">
          <cell r="A200">
            <v>44013</v>
          </cell>
          <cell r="P200">
            <v>10.729515295459199</v>
          </cell>
          <cell r="V200">
            <v>75.534254664290103</v>
          </cell>
        </row>
        <row r="201">
          <cell r="A201">
            <v>44044</v>
          </cell>
          <cell r="P201">
            <v>10.959172201534701</v>
          </cell>
          <cell r="V201">
            <v>75.810544736563699</v>
          </cell>
        </row>
        <row r="202">
          <cell r="A202">
            <v>44075</v>
          </cell>
          <cell r="P202">
            <v>11.2020116466795</v>
          </cell>
          <cell r="V202">
            <v>76.164008689733507</v>
          </cell>
        </row>
        <row r="203">
          <cell r="A203">
            <v>44105</v>
          </cell>
          <cell r="P203">
            <v>11.448782118734799</v>
          </cell>
          <cell r="V203">
            <v>76.738603830798496</v>
          </cell>
        </row>
        <row r="204">
          <cell r="A204">
            <v>44136</v>
          </cell>
          <cell r="P204">
            <v>11.6946046208199</v>
          </cell>
          <cell r="V204">
            <v>77.3962972834439</v>
          </cell>
        </row>
        <row r="205">
          <cell r="A205">
            <v>44166</v>
          </cell>
          <cell r="P205">
            <v>11.93700142356</v>
          </cell>
          <cell r="V205">
            <v>77.757128188437406</v>
          </cell>
        </row>
        <row r="206">
          <cell r="A206">
            <v>44197</v>
          </cell>
          <cell r="P206">
            <v>12.168981874639099</v>
          </cell>
          <cell r="V206">
            <v>78.088237516267796</v>
          </cell>
        </row>
        <row r="207">
          <cell r="A207">
            <v>44228</v>
          </cell>
          <cell r="P207">
            <v>12.395859975135201</v>
          </cell>
          <cell r="V207">
            <v>78.163159691758594</v>
          </cell>
        </row>
        <row r="208">
          <cell r="A208">
            <v>44256</v>
          </cell>
          <cell r="P208">
            <v>12.612228746990001</v>
          </cell>
          <cell r="V208">
            <v>78.391317978262606</v>
          </cell>
        </row>
        <row r="209">
          <cell r="A209">
            <v>44287</v>
          </cell>
          <cell r="P209">
            <v>12.8207932758532</v>
          </cell>
          <cell r="V209">
            <v>78.910275752090101</v>
          </cell>
        </row>
        <row r="210">
          <cell r="A210">
            <v>44317</v>
          </cell>
          <cell r="P210">
            <v>13.028838852672701</v>
          </cell>
          <cell r="V210">
            <v>78.951027985264801</v>
          </cell>
        </row>
        <row r="211">
          <cell r="A211">
            <v>44348</v>
          </cell>
          <cell r="P211">
            <v>13.231507197860701</v>
          </cell>
          <cell r="V211">
            <v>77.543079464602897</v>
          </cell>
        </row>
        <row r="212">
          <cell r="A212">
            <v>44378</v>
          </cell>
          <cell r="P212">
            <v>13.4328512290577</v>
          </cell>
          <cell r="V212">
            <v>77.912483289968193</v>
          </cell>
        </row>
        <row r="213">
          <cell r="A213">
            <v>44409</v>
          </cell>
          <cell r="P213">
            <v>13.6197933281742</v>
          </cell>
          <cell r="V213">
            <v>78.324493499996095</v>
          </cell>
        </row>
        <row r="214">
          <cell r="A214">
            <v>44440</v>
          </cell>
          <cell r="P214">
            <v>13.7905999022364</v>
          </cell>
          <cell r="V214">
            <v>78.637774435789893</v>
          </cell>
        </row>
        <row r="215">
          <cell r="A215">
            <v>44470</v>
          </cell>
          <cell r="P215">
            <v>13.9457727552159</v>
          </cell>
          <cell r="V215">
            <v>79.099409410941405</v>
          </cell>
        </row>
        <row r="216">
          <cell r="A216">
            <v>44501</v>
          </cell>
          <cell r="P216">
            <v>14.095778226643301</v>
          </cell>
          <cell r="V216">
            <v>79.605536013176803</v>
          </cell>
        </row>
        <row r="217">
          <cell r="A217">
            <v>44531</v>
          </cell>
          <cell r="P217">
            <v>14.233507709713701</v>
          </cell>
          <cell r="V217">
            <v>79.633937135545295</v>
          </cell>
        </row>
        <row r="218">
          <cell r="A218">
            <v>44562</v>
          </cell>
          <cell r="P218">
            <v>14.3638210287919</v>
          </cell>
          <cell r="V218">
            <v>79.802788912276199</v>
          </cell>
        </row>
        <row r="219">
          <cell r="A219">
            <v>44593</v>
          </cell>
          <cell r="P219">
            <v>14.4822679538538</v>
          </cell>
          <cell r="V219">
            <v>79.831159853072293</v>
          </cell>
        </row>
        <row r="220">
          <cell r="A220">
            <v>44621</v>
          </cell>
          <cell r="P220">
            <v>14.584479258246301</v>
          </cell>
          <cell r="V220">
            <v>79.764526291638504</v>
          </cell>
        </row>
        <row r="221">
          <cell r="A221">
            <v>44652</v>
          </cell>
          <cell r="P221">
            <v>14.670166810556401</v>
          </cell>
          <cell r="V221">
            <v>80.096487417219706</v>
          </cell>
        </row>
        <row r="222">
          <cell r="A222">
            <v>44682</v>
          </cell>
          <cell r="P222">
            <v>14.6944100590601</v>
          </cell>
          <cell r="V222">
            <v>80.136211440778695</v>
          </cell>
        </row>
        <row r="223">
          <cell r="A223">
            <v>44713</v>
          </cell>
          <cell r="P223">
            <v>14.654257845433801</v>
          </cell>
          <cell r="V223">
            <v>80.211336748266106</v>
          </cell>
        </row>
        <row r="224">
          <cell r="A224">
            <v>44743</v>
          </cell>
          <cell r="P224">
            <v>14.572063011134601</v>
          </cell>
          <cell r="V224">
            <v>80.554508390467603</v>
          </cell>
        </row>
        <row r="225">
          <cell r="A225">
            <v>44774</v>
          </cell>
          <cell r="P225">
            <v>14.4500620878413</v>
          </cell>
          <cell r="V225">
            <v>80.694685575198903</v>
          </cell>
        </row>
        <row r="226">
          <cell r="A226">
            <v>44805</v>
          </cell>
          <cell r="P226">
            <v>14.3082442629519</v>
          </cell>
          <cell r="V226">
            <v>80.765339703067099</v>
          </cell>
        </row>
        <row r="227">
          <cell r="A227">
            <v>44835</v>
          </cell>
          <cell r="P227">
            <v>14.157184892110701</v>
          </cell>
          <cell r="V227">
            <v>80.703590678489604</v>
          </cell>
        </row>
        <row r="228">
          <cell r="A228">
            <v>44866</v>
          </cell>
          <cell r="P228">
            <v>13.9928372116219</v>
          </cell>
          <cell r="V228">
            <v>80.526876652244695</v>
          </cell>
        </row>
        <row r="229">
          <cell r="A229">
            <v>44896</v>
          </cell>
          <cell r="P229">
            <v>13.8264969059229</v>
          </cell>
          <cell r="V229">
            <v>80.154003624474896</v>
          </cell>
        </row>
        <row r="230">
          <cell r="A230">
            <v>44927</v>
          </cell>
          <cell r="P230">
            <v>13.6594102603575</v>
          </cell>
          <cell r="V230">
            <v>80.0615976925083</v>
          </cell>
        </row>
        <row r="231">
          <cell r="A231">
            <v>44958</v>
          </cell>
          <cell r="P231">
            <v>13.4931966904941</v>
          </cell>
          <cell r="V231">
            <v>79.684200561590401</v>
          </cell>
        </row>
        <row r="232">
          <cell r="A232">
            <v>44986</v>
          </cell>
          <cell r="P232">
            <v>13.327503510066499</v>
          </cell>
          <cell r="V232">
            <v>79.368151648889494</v>
          </cell>
        </row>
        <row r="233">
          <cell r="A233">
            <v>45017</v>
          </cell>
          <cell r="P233">
            <v>13.1554201876097</v>
          </cell>
          <cell r="V233">
            <v>79.396906886494904</v>
          </cell>
        </row>
        <row r="234">
          <cell r="A234">
            <v>45047</v>
          </cell>
          <cell r="P234">
            <v>12.979672485566001</v>
          </cell>
          <cell r="V234">
            <v>79.185961437784997</v>
          </cell>
        </row>
        <row r="235">
          <cell r="A235">
            <v>45078</v>
          </cell>
          <cell r="P235">
            <v>12.8027462613057</v>
          </cell>
          <cell r="V235">
            <v>79.180755946256497</v>
          </cell>
        </row>
        <row r="236">
          <cell r="A236">
            <v>45108</v>
          </cell>
          <cell r="P236">
            <v>12.618919096509501</v>
          </cell>
          <cell r="V236">
            <v>79.306004355735794</v>
          </cell>
        </row>
        <row r="237">
          <cell r="A237">
            <v>45139</v>
          </cell>
          <cell r="P237">
            <v>12.440908150662899</v>
          </cell>
          <cell r="V237">
            <v>79.119652211175705</v>
          </cell>
        </row>
        <row r="238">
          <cell r="A238">
            <v>45170</v>
          </cell>
          <cell r="P238">
            <v>12.2671997993831</v>
          </cell>
          <cell r="V238">
            <v>79.103739426211106</v>
          </cell>
        </row>
        <row r="239">
          <cell r="A239">
            <v>45200</v>
          </cell>
          <cell r="P239">
            <v>12.102423951232099</v>
          </cell>
          <cell r="V239">
            <v>79.334441040300106</v>
          </cell>
        </row>
        <row r="240">
          <cell r="A240">
            <v>45231</v>
          </cell>
          <cell r="P240">
            <v>11.9429927716408</v>
          </cell>
          <cell r="V240">
            <v>79.288579552895499</v>
          </cell>
        </row>
        <row r="241">
          <cell r="A241">
            <v>45261</v>
          </cell>
          <cell r="P241">
            <v>11.789663227653399</v>
          </cell>
          <cell r="V241">
            <v>79.485027526930907</v>
          </cell>
        </row>
        <row r="242">
          <cell r="A242">
            <v>45292</v>
          </cell>
          <cell r="P242">
            <v>11.648277040896801</v>
          </cell>
          <cell r="V242">
            <v>79.486476206698498</v>
          </cell>
        </row>
        <row r="243">
          <cell r="A243">
            <v>45323</v>
          </cell>
          <cell r="P243">
            <v>11.514839500945699</v>
          </cell>
          <cell r="V243">
            <v>79.327575117993106</v>
          </cell>
        </row>
        <row r="244">
          <cell r="A244">
            <v>45352</v>
          </cell>
          <cell r="P244">
            <v>11.392306048871101</v>
          </cell>
          <cell r="V244">
            <v>79.094241137507296</v>
          </cell>
        </row>
        <row r="245">
          <cell r="A245">
            <v>45383</v>
          </cell>
          <cell r="P245">
            <v>11.280974486026199</v>
          </cell>
          <cell r="V245">
            <v>79.0535873799288</v>
          </cell>
        </row>
        <row r="246">
          <cell r="A246">
            <v>45413</v>
          </cell>
          <cell r="P246">
            <v>11.1814981698581</v>
          </cell>
          <cell r="V246">
            <v>78.822058303112897</v>
          </cell>
        </row>
        <row r="247">
          <cell r="A247">
            <v>45444</v>
          </cell>
          <cell r="P247">
            <v>11.093365517402001</v>
          </cell>
          <cell r="V247">
            <v>78.680555222142402</v>
          </cell>
        </row>
        <row r="248">
          <cell r="A248">
            <v>45474</v>
          </cell>
          <cell r="P248">
            <v>11.010441816223601</v>
          </cell>
          <cell r="V248">
            <v>78.714105599306393</v>
          </cell>
        </row>
        <row r="249">
          <cell r="A249">
            <v>45505</v>
          </cell>
          <cell r="P249">
            <v>10.9326295451459</v>
          </cell>
          <cell r="V249">
            <v>78.707013072200098</v>
          </cell>
        </row>
        <row r="250">
          <cell r="A250">
            <v>45536</v>
          </cell>
          <cell r="P250">
            <v>10.861838446243</v>
          </cell>
          <cell r="V250">
            <v>78.710801794609907</v>
          </cell>
        </row>
        <row r="251">
          <cell r="A251">
            <v>45566</v>
          </cell>
          <cell r="P251">
            <v>10.7910561508599</v>
          </cell>
          <cell r="V251">
            <v>78.740534794950094</v>
          </cell>
        </row>
        <row r="252">
          <cell r="A252">
            <v>45597</v>
          </cell>
          <cell r="P252">
            <v>10.726438220247999</v>
          </cell>
          <cell r="V252">
            <v>78.683685183163306</v>
          </cell>
        </row>
        <row r="253">
          <cell r="A253">
            <v>45627</v>
          </cell>
          <cell r="P253">
            <v>10.6622662377873</v>
          </cell>
          <cell r="V253">
            <v>78.705559280196596</v>
          </cell>
        </row>
        <row r="254">
          <cell r="A254">
            <v>45658</v>
          </cell>
          <cell r="P254">
            <v>10.599001566124601</v>
          </cell>
          <cell r="V254">
            <v>78.423830037411605</v>
          </cell>
        </row>
        <row r="255">
          <cell r="A255">
            <v>45689</v>
          </cell>
          <cell r="P255">
            <v>10.533566038112699</v>
          </cell>
          <cell r="V255">
            <v>78.513213376627704</v>
          </cell>
        </row>
        <row r="256">
          <cell r="A256">
            <v>45717</v>
          </cell>
          <cell r="P256">
            <v>10.470633207641299</v>
          </cell>
          <cell r="V256">
            <v>78.312385868428706</v>
          </cell>
        </row>
        <row r="257">
          <cell r="A257">
            <v>45748</v>
          </cell>
          <cell r="P257">
            <v>10.4139461303351</v>
          </cell>
          <cell r="V257">
            <v>78.320884461979603</v>
          </cell>
        </row>
        <row r="258">
          <cell r="A258">
            <v>45778</v>
          </cell>
          <cell r="P258">
            <v>10.3533920923308</v>
          </cell>
          <cell r="V258">
            <v>78.431206669006002</v>
          </cell>
        </row>
        <row r="259">
          <cell r="A259">
            <v>45809</v>
          </cell>
          <cell r="P259">
            <v>10.2933325000915</v>
          </cell>
          <cell r="V259">
            <v>78.623856565158107</v>
          </cell>
        </row>
        <row r="260">
          <cell r="A260">
            <v>45839</v>
          </cell>
          <cell r="P260">
            <v>10.236961818702399</v>
          </cell>
          <cell r="V260">
            <v>78.782682277608501</v>
          </cell>
        </row>
        <row r="261">
          <cell r="A261">
            <v>45870</v>
          </cell>
          <cell r="P261">
            <v>10.1836640690178</v>
          </cell>
          <cell r="V261">
            <v>78.826590113669198</v>
          </cell>
        </row>
        <row r="262">
          <cell r="A262">
            <v>45901</v>
          </cell>
          <cell r="P262">
            <v>10.134073342572201</v>
          </cell>
          <cell r="V262">
            <v>79.025722614616498</v>
          </cell>
        </row>
        <row r="263">
          <cell r="A263">
            <v>45931</v>
          </cell>
          <cell r="P263">
            <v>10.085521142966501</v>
          </cell>
          <cell r="V263">
            <v>78.965498132187605</v>
          </cell>
        </row>
        <row r="264">
          <cell r="A264">
            <v>45962</v>
          </cell>
          <cell r="P264">
            <v>10.0358168249586</v>
          </cell>
          <cell r="V264">
            <v>79.084244458729302</v>
          </cell>
        </row>
        <row r="265">
          <cell r="A265">
            <v>45992</v>
          </cell>
          <cell r="P265">
            <v>9.9840874856885495</v>
          </cell>
          <cell r="V265">
            <v>79.158608828817506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elle1"/>
    </sheetNames>
    <definedNames>
      <definedName name="hp"/>
    </defined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"/>
      <sheetName val="Legend"/>
      <sheetName val="Data"/>
    </sheetNames>
    <sheetDataSet>
      <sheetData sheetId="0" refreshError="1"/>
      <sheetData sheetId="1" refreshError="1"/>
      <sheetData sheetId="2">
        <row r="2814">
          <cell r="D2814">
            <v>1950</v>
          </cell>
          <cell r="AB2814">
            <v>3.2730326056480401E-2</v>
          </cell>
        </row>
        <row r="2815">
          <cell r="D2815">
            <v>1951</v>
          </cell>
          <cell r="AB2815">
            <v>3.2613616436719901E-2</v>
          </cell>
        </row>
        <row r="2816">
          <cell r="D2816">
            <v>1952</v>
          </cell>
          <cell r="AB2816">
            <v>3.2621704041957897E-2</v>
          </cell>
        </row>
        <row r="2817">
          <cell r="D2817">
            <v>1953</v>
          </cell>
          <cell r="AB2817">
            <v>3.2950628548860598E-2</v>
          </cell>
        </row>
        <row r="2818">
          <cell r="D2818">
            <v>1954</v>
          </cell>
          <cell r="AB2818">
            <v>3.3508121967315702E-2</v>
          </cell>
        </row>
        <row r="2819">
          <cell r="D2819">
            <v>1955</v>
          </cell>
          <cell r="AB2819">
            <v>3.39003764092922E-2</v>
          </cell>
        </row>
        <row r="2820">
          <cell r="D2820">
            <v>1956</v>
          </cell>
          <cell r="AB2820">
            <v>3.3995091915130601E-2</v>
          </cell>
        </row>
        <row r="2821">
          <cell r="D2821">
            <v>1957</v>
          </cell>
          <cell r="AB2821">
            <v>3.3360164612531697E-2</v>
          </cell>
        </row>
        <row r="2822">
          <cell r="D2822">
            <v>1958</v>
          </cell>
          <cell r="AB2822">
            <v>3.22980806231499E-2</v>
          </cell>
        </row>
        <row r="2823">
          <cell r="D2823">
            <v>1959</v>
          </cell>
          <cell r="AB2823">
            <v>3.1317289918661097E-2</v>
          </cell>
        </row>
        <row r="2824">
          <cell r="D2824">
            <v>1960</v>
          </cell>
          <cell r="AB2824">
            <v>3.0749361962079998E-2</v>
          </cell>
        </row>
        <row r="2825">
          <cell r="D2825">
            <v>1961</v>
          </cell>
          <cell r="AB2825">
            <v>3.05878613144159E-2</v>
          </cell>
        </row>
        <row r="2826">
          <cell r="D2826">
            <v>1962</v>
          </cell>
          <cell r="AB2826">
            <v>3.03252059966326E-2</v>
          </cell>
        </row>
        <row r="2827">
          <cell r="D2827">
            <v>1963</v>
          </cell>
          <cell r="AB2827">
            <v>2.99048591405153E-2</v>
          </cell>
        </row>
        <row r="2828">
          <cell r="D2828">
            <v>1964</v>
          </cell>
          <cell r="AB2828">
            <v>2.9602816328406299E-2</v>
          </cell>
        </row>
        <row r="2829">
          <cell r="D2829">
            <v>1965</v>
          </cell>
          <cell r="AB2829">
            <v>2.9343118891119999E-2</v>
          </cell>
        </row>
        <row r="2830">
          <cell r="D2830">
            <v>1966</v>
          </cell>
          <cell r="AB2830">
            <v>2.9123343527316999E-2</v>
          </cell>
        </row>
        <row r="2831">
          <cell r="D2831">
            <v>1967</v>
          </cell>
          <cell r="AB2831">
            <v>2.8910169377923001E-2</v>
          </cell>
        </row>
        <row r="2832">
          <cell r="D2832">
            <v>1968</v>
          </cell>
          <cell r="AB2832">
            <v>2.8714239597320598E-2</v>
          </cell>
        </row>
        <row r="2833">
          <cell r="D2833">
            <v>1969</v>
          </cell>
          <cell r="AB2833">
            <v>2.8684044256806401E-2</v>
          </cell>
        </row>
        <row r="2834">
          <cell r="D2834">
            <v>1970</v>
          </cell>
          <cell r="AB2834">
            <v>2.88545582443476E-2</v>
          </cell>
        </row>
        <row r="2835">
          <cell r="D2835">
            <v>1971</v>
          </cell>
          <cell r="AB2835">
            <v>2.9216967523097999E-2</v>
          </cell>
        </row>
        <row r="2836">
          <cell r="D2836">
            <v>1972</v>
          </cell>
          <cell r="AB2836">
            <v>2.9582122340798399E-2</v>
          </cell>
        </row>
        <row r="2837">
          <cell r="D2837">
            <v>1973</v>
          </cell>
          <cell r="AB2837">
            <v>2.9785281047224998E-2</v>
          </cell>
        </row>
        <row r="2838">
          <cell r="D2838">
            <v>1974</v>
          </cell>
          <cell r="AB2838">
            <v>2.9921909794211402E-2</v>
          </cell>
        </row>
        <row r="2839">
          <cell r="D2839">
            <v>1975</v>
          </cell>
          <cell r="AB2839">
            <v>3.0118808150291401E-2</v>
          </cell>
        </row>
        <row r="2840">
          <cell r="D2840">
            <v>1976</v>
          </cell>
          <cell r="AB2840">
            <v>3.0409855768084498E-2</v>
          </cell>
        </row>
        <row r="2841">
          <cell r="D2841">
            <v>1977</v>
          </cell>
          <cell r="AB2841">
            <v>3.0623123049735999E-2</v>
          </cell>
        </row>
        <row r="2842">
          <cell r="D2842">
            <v>1978</v>
          </cell>
          <cell r="AB2842">
            <v>3.07548400014639E-2</v>
          </cell>
        </row>
        <row r="2843">
          <cell r="D2843">
            <v>1979</v>
          </cell>
          <cell r="AB2843">
            <v>3.10240089893341E-2</v>
          </cell>
        </row>
        <row r="2844">
          <cell r="D2844">
            <v>1980</v>
          </cell>
          <cell r="AB2844">
            <v>3.1352080404758502E-2</v>
          </cell>
        </row>
        <row r="2845">
          <cell r="D2845">
            <v>1981</v>
          </cell>
          <cell r="AB2845">
            <v>3.1636826694011702E-2</v>
          </cell>
        </row>
        <row r="2846">
          <cell r="D2846">
            <v>1982</v>
          </cell>
          <cell r="AB2846">
            <v>3.1842038035392803E-2</v>
          </cell>
        </row>
        <row r="2847">
          <cell r="D2847">
            <v>1983</v>
          </cell>
          <cell r="AB2847">
            <v>3.1869612634181997E-2</v>
          </cell>
        </row>
        <row r="2848">
          <cell r="D2848">
            <v>1984</v>
          </cell>
          <cell r="AB2848">
            <v>3.1744997948408099E-2</v>
          </cell>
        </row>
        <row r="2849">
          <cell r="D2849">
            <v>1985</v>
          </cell>
          <cell r="AB2849">
            <v>3.1453862786293002E-2</v>
          </cell>
        </row>
        <row r="2850">
          <cell r="D2850">
            <v>1986</v>
          </cell>
          <cell r="AB2850">
            <v>3.1100137159228301E-2</v>
          </cell>
        </row>
        <row r="2851">
          <cell r="D2851">
            <v>1987</v>
          </cell>
          <cell r="AB2851">
            <v>3.0944572761654899E-2</v>
          </cell>
        </row>
        <row r="2852">
          <cell r="D2852">
            <v>1988</v>
          </cell>
          <cell r="AB2852">
            <v>3.09615023434162E-2</v>
          </cell>
        </row>
        <row r="2853">
          <cell r="D2853">
            <v>1989</v>
          </cell>
          <cell r="AB2853">
            <v>3.09768561273813E-2</v>
          </cell>
        </row>
        <row r="2854">
          <cell r="D2854">
            <v>1990</v>
          </cell>
          <cell r="AB2854">
            <v>3.0966009944677401E-2</v>
          </cell>
        </row>
        <row r="2855">
          <cell r="D2855">
            <v>1991</v>
          </cell>
          <cell r="AB2855">
            <v>3.0800620093941699E-2</v>
          </cell>
        </row>
        <row r="2856">
          <cell r="D2856">
            <v>1992</v>
          </cell>
          <cell r="AB2856">
            <v>3.0539384111762002E-2</v>
          </cell>
        </row>
        <row r="2857">
          <cell r="D2857">
            <v>1993</v>
          </cell>
          <cell r="AB2857">
            <v>3.0781492590904201E-2</v>
          </cell>
        </row>
        <row r="2858">
          <cell r="D2858">
            <v>1994</v>
          </cell>
          <cell r="AB2858">
            <v>3.1438928097486503E-2</v>
          </cell>
        </row>
        <row r="2859">
          <cell r="D2859">
            <v>1995</v>
          </cell>
          <cell r="AB2859">
            <v>3.19398269057274E-2</v>
          </cell>
        </row>
        <row r="2860">
          <cell r="D2860">
            <v>1996</v>
          </cell>
          <cell r="AB2860">
            <v>3.2205794006586103E-2</v>
          </cell>
        </row>
        <row r="2861">
          <cell r="D2861">
            <v>1997</v>
          </cell>
          <cell r="AB2861">
            <v>3.2424516975879697E-2</v>
          </cell>
        </row>
        <row r="2862">
          <cell r="D2862">
            <v>1998</v>
          </cell>
          <cell r="AB2862">
            <v>3.2562412321567501E-2</v>
          </cell>
        </row>
        <row r="2863">
          <cell r="D2863">
            <v>1999</v>
          </cell>
          <cell r="AB2863">
            <v>3.2406870275735897E-2</v>
          </cell>
        </row>
        <row r="2864">
          <cell r="D2864">
            <v>2000</v>
          </cell>
          <cell r="AB2864">
            <v>3.2072391360998202E-2</v>
          </cell>
        </row>
        <row r="2865">
          <cell r="D2865">
            <v>2001</v>
          </cell>
          <cell r="AB2865">
            <v>3.18518243730068E-2</v>
          </cell>
        </row>
        <row r="2866">
          <cell r="D2866">
            <v>2002</v>
          </cell>
          <cell r="AB2866">
            <v>3.1760107725858702E-2</v>
          </cell>
        </row>
        <row r="2867">
          <cell r="D2867">
            <v>2003</v>
          </cell>
          <cell r="AB2867">
            <v>3.1762082129716901E-2</v>
          </cell>
        </row>
        <row r="2868">
          <cell r="D2868">
            <v>2004</v>
          </cell>
          <cell r="AB2868">
            <v>3.1810741871595397E-2</v>
          </cell>
        </row>
        <row r="2869">
          <cell r="D2869">
            <v>2005</v>
          </cell>
          <cell r="AB2869">
            <v>3.1943887472152703E-2</v>
          </cell>
        </row>
        <row r="2870">
          <cell r="D2870">
            <v>2006</v>
          </cell>
          <cell r="AB2870">
            <v>3.2420206815004397E-2</v>
          </cell>
        </row>
        <row r="2871">
          <cell r="D2871">
            <v>2007</v>
          </cell>
          <cell r="AB2871">
            <v>3.3165283501148203E-2</v>
          </cell>
        </row>
        <row r="2872">
          <cell r="D2872">
            <v>2008</v>
          </cell>
          <cell r="AB2872">
            <v>3.3944629132747699E-2</v>
          </cell>
        </row>
        <row r="2873">
          <cell r="D2873">
            <v>2009</v>
          </cell>
          <cell r="AB2873">
            <v>3.4526836127042798E-2</v>
          </cell>
        </row>
        <row r="2874">
          <cell r="D2874">
            <v>2010</v>
          </cell>
          <cell r="AB2874">
            <v>3.4942641854286201E-2</v>
          </cell>
        </row>
        <row r="2875">
          <cell r="D2875">
            <v>2011</v>
          </cell>
          <cell r="AB2875">
            <v>3.5686161369085298E-2</v>
          </cell>
        </row>
        <row r="2876">
          <cell r="D2876">
            <v>2012</v>
          </cell>
          <cell r="AB2876">
            <v>3.65020483732224E-2</v>
          </cell>
        </row>
        <row r="2877">
          <cell r="D2877">
            <v>2013</v>
          </cell>
          <cell r="AB2877">
            <v>3.7031713873147999E-2</v>
          </cell>
        </row>
        <row r="2878">
          <cell r="D2878">
            <v>2014</v>
          </cell>
          <cell r="AB2878">
            <v>3.7471737712621703E-2</v>
          </cell>
        </row>
        <row r="2879">
          <cell r="D2879">
            <v>2015</v>
          </cell>
          <cell r="AB2879">
            <v>3.7777654826641097E-2</v>
          </cell>
        </row>
        <row r="2880">
          <cell r="D2880">
            <v>2016</v>
          </cell>
          <cell r="AB2880">
            <v>3.7806391716003397E-2</v>
          </cell>
        </row>
        <row r="2881">
          <cell r="D2881">
            <v>2017</v>
          </cell>
          <cell r="AB2881">
            <v>3.7680886685848201E-2</v>
          </cell>
        </row>
        <row r="2882">
          <cell r="D2882">
            <v>2018</v>
          </cell>
          <cell r="AB2882">
            <v>3.7647020071744898E-2</v>
          </cell>
        </row>
        <row r="2883">
          <cell r="D2883">
            <v>2019</v>
          </cell>
          <cell r="AB2883">
            <v>3.7836160510778399E-2</v>
          </cell>
        </row>
        <row r="2884">
          <cell r="D2884">
            <v>2020</v>
          </cell>
          <cell r="AB2884">
            <v>3.7847474217414898E-2</v>
          </cell>
        </row>
        <row r="2885">
          <cell r="D2885">
            <v>2021</v>
          </cell>
          <cell r="AB2885">
            <v>3.7736713886261E-2</v>
          </cell>
        </row>
        <row r="2886">
          <cell r="D2886">
            <v>2022</v>
          </cell>
          <cell r="AB2886">
            <v>3.7901800125837298E-2</v>
          </cell>
        </row>
        <row r="2887">
          <cell r="D2887">
            <v>2023</v>
          </cell>
          <cell r="AB2887">
            <v>3.8016445934772498E-2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B938F-867E-4A96-B5C9-0FA88C47B0C1}">
  <dimension ref="B2:BO423"/>
  <sheetViews>
    <sheetView tabSelected="1" topLeftCell="BB6" workbookViewId="0">
      <selection activeCell="BY15" sqref="BY15"/>
    </sheetView>
  </sheetViews>
  <sheetFormatPr defaultRowHeight="14.4" x14ac:dyDescent="0.3"/>
  <cols>
    <col min="14" max="15" width="9" customWidth="1"/>
    <col min="16" max="16" width="22.6640625" customWidth="1"/>
    <col min="20" max="20" width="11.21875" bestFit="1" customWidth="1"/>
    <col min="21" max="25" width="11.21875" customWidth="1"/>
    <col min="27" max="27" width="13.88671875" bestFit="1" customWidth="1"/>
    <col min="28" max="29" width="13.88671875" customWidth="1"/>
    <col min="30" max="43" width="17.21875" customWidth="1"/>
    <col min="44" max="44" width="12.88671875" bestFit="1" customWidth="1"/>
    <col min="45" max="48" width="12.88671875" customWidth="1"/>
    <col min="59" max="59" width="12" bestFit="1" customWidth="1"/>
    <col min="62" max="62" width="9.33203125" bestFit="1" customWidth="1"/>
    <col min="63" max="64" width="11.21875" bestFit="1" customWidth="1"/>
  </cols>
  <sheetData>
    <row r="2" spans="2:67" x14ac:dyDescent="0.3">
      <c r="Q2" s="36" t="s">
        <v>2</v>
      </c>
      <c r="R2" s="36"/>
      <c r="S2" s="37"/>
      <c r="T2" s="35" t="s">
        <v>10</v>
      </c>
      <c r="U2" s="36"/>
      <c r="V2" s="36"/>
      <c r="W2" s="36"/>
      <c r="X2" s="37"/>
      <c r="Y2" s="35" t="s">
        <v>22</v>
      </c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7"/>
      <c r="AL2" s="35" t="s">
        <v>44</v>
      </c>
      <c r="AM2" s="36"/>
      <c r="AN2" s="36"/>
      <c r="AO2" s="36"/>
      <c r="AP2" s="36"/>
      <c r="AQ2" s="36"/>
      <c r="AR2" s="36"/>
      <c r="AS2" s="36"/>
      <c r="AT2" s="36"/>
      <c r="AU2" s="36"/>
      <c r="AV2" s="37"/>
      <c r="AW2" s="35" t="s">
        <v>31</v>
      </c>
      <c r="AX2" s="36"/>
      <c r="AY2" s="36"/>
      <c r="AZ2" s="36"/>
      <c r="BA2" s="36"/>
      <c r="BB2" s="36"/>
      <c r="BC2" s="36"/>
      <c r="BD2" s="37"/>
      <c r="BE2" s="2" t="s">
        <v>45</v>
      </c>
      <c r="BF2" s="8"/>
      <c r="BG2" s="2" t="s">
        <v>47</v>
      </c>
    </row>
    <row r="3" spans="2:67" x14ac:dyDescent="0.3">
      <c r="Q3" s="36"/>
      <c r="R3" s="36"/>
      <c r="S3" s="37"/>
      <c r="T3" s="10" t="s">
        <v>8</v>
      </c>
      <c r="U3" s="11" t="s">
        <v>11</v>
      </c>
      <c r="V3" s="11"/>
      <c r="W3" s="11"/>
      <c r="X3" s="12"/>
      <c r="Y3" s="10" t="s">
        <v>13</v>
      </c>
      <c r="AB3" t="s">
        <v>34</v>
      </c>
      <c r="AC3" s="29" t="s">
        <v>63</v>
      </c>
      <c r="AD3" s="11" t="s">
        <v>17</v>
      </c>
      <c r="AE3" s="11"/>
      <c r="AF3" s="11"/>
      <c r="AG3" s="11"/>
      <c r="AH3" s="11" t="s">
        <v>20</v>
      </c>
      <c r="AI3" s="11"/>
      <c r="AJ3" s="11"/>
      <c r="AK3" s="12"/>
      <c r="AL3" s="10"/>
      <c r="AM3" s="11" t="s">
        <v>56</v>
      </c>
      <c r="AN3" s="11" t="s">
        <v>37</v>
      </c>
      <c r="AO3" s="11"/>
      <c r="AP3" s="39" t="s">
        <v>65</v>
      </c>
      <c r="AQ3" s="39" t="s">
        <v>66</v>
      </c>
      <c r="AV3" s="21"/>
      <c r="AW3" s="22" t="s">
        <v>35</v>
      </c>
      <c r="AX3" t="s">
        <v>35</v>
      </c>
      <c r="AY3" t="s">
        <v>35</v>
      </c>
      <c r="AZ3" t="s">
        <v>35</v>
      </c>
      <c r="BD3" s="21"/>
      <c r="BE3" t="s">
        <v>46</v>
      </c>
      <c r="BF3" s="21"/>
    </row>
    <row r="4" spans="2:67" x14ac:dyDescent="0.3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12</v>
      </c>
      <c r="H4" s="2" t="s">
        <v>3</v>
      </c>
      <c r="I4" s="2" t="s">
        <v>4</v>
      </c>
      <c r="J4" s="2" t="s">
        <v>12</v>
      </c>
      <c r="K4" s="2" t="s">
        <v>19</v>
      </c>
      <c r="L4" s="2" t="s">
        <v>40</v>
      </c>
      <c r="M4" s="2" t="s">
        <v>55</v>
      </c>
      <c r="N4" s="2" t="s">
        <v>55</v>
      </c>
      <c r="O4" s="2" t="s">
        <v>48</v>
      </c>
      <c r="P4" s="2"/>
      <c r="Q4" s="2" t="s">
        <v>0</v>
      </c>
      <c r="R4" s="2" t="s">
        <v>1</v>
      </c>
      <c r="S4" s="8" t="s">
        <v>2</v>
      </c>
      <c r="T4" s="25" t="s">
        <v>7</v>
      </c>
      <c r="U4" s="2" t="s">
        <v>9</v>
      </c>
      <c r="V4" s="2" t="s">
        <v>64</v>
      </c>
      <c r="W4" s="2" t="s">
        <v>72</v>
      </c>
      <c r="X4" s="8" t="s">
        <v>18</v>
      </c>
      <c r="Y4" s="25" t="s">
        <v>14</v>
      </c>
      <c r="Z4" s="26" t="s">
        <v>5</v>
      </c>
      <c r="AA4" s="2" t="s">
        <v>49</v>
      </c>
      <c r="AB4" s="27" t="s">
        <v>48</v>
      </c>
      <c r="AC4" s="27" t="s">
        <v>15</v>
      </c>
      <c r="AD4" s="2" t="s">
        <v>50</v>
      </c>
      <c r="AE4" s="2" t="s">
        <v>16</v>
      </c>
      <c r="AF4" s="2" t="s">
        <v>51</v>
      </c>
      <c r="AG4" s="2" t="s">
        <v>52</v>
      </c>
      <c r="AH4" s="27" t="s">
        <v>19</v>
      </c>
      <c r="AI4" s="2" t="s">
        <v>21</v>
      </c>
      <c r="AJ4" s="2" t="s">
        <v>53</v>
      </c>
      <c r="AK4" s="8" t="s">
        <v>54</v>
      </c>
      <c r="AL4" s="28" t="s">
        <v>6</v>
      </c>
      <c r="AM4" s="27" t="s">
        <v>57</v>
      </c>
      <c r="AN4" s="27" t="s">
        <v>36</v>
      </c>
      <c r="AO4" s="2" t="s">
        <v>38</v>
      </c>
      <c r="AP4" s="27" t="s">
        <v>39</v>
      </c>
      <c r="AQ4" s="2" t="s">
        <v>42</v>
      </c>
      <c r="AR4" s="2" t="s">
        <v>43</v>
      </c>
      <c r="AS4" s="2" t="s">
        <v>58</v>
      </c>
      <c r="AT4" s="2" t="s">
        <v>59</v>
      </c>
      <c r="AU4" s="2" t="s">
        <v>60</v>
      </c>
      <c r="AV4" s="8" t="s">
        <v>61</v>
      </c>
      <c r="AW4" s="25" t="s">
        <v>26</v>
      </c>
      <c r="AX4" s="27" t="s">
        <v>27</v>
      </c>
      <c r="AY4" s="27" t="s">
        <v>28</v>
      </c>
      <c r="AZ4" s="27" t="s">
        <v>29</v>
      </c>
      <c r="BA4" s="2" t="s">
        <v>30</v>
      </c>
      <c r="BB4" s="2" t="s">
        <v>31</v>
      </c>
      <c r="BC4" s="2" t="s">
        <v>32</v>
      </c>
      <c r="BD4" s="8" t="s">
        <v>33</v>
      </c>
      <c r="BE4" s="2" t="s">
        <v>45</v>
      </c>
      <c r="BF4" s="8"/>
      <c r="BG4" s="2" t="s">
        <v>47</v>
      </c>
      <c r="BH4" s="2" t="s">
        <v>62</v>
      </c>
      <c r="BJ4" s="40" t="s">
        <v>2</v>
      </c>
      <c r="BK4" s="40" t="s">
        <v>67</v>
      </c>
      <c r="BL4" s="40" t="s">
        <v>68</v>
      </c>
      <c r="BM4" s="40" t="s">
        <v>69</v>
      </c>
      <c r="BN4" s="40" t="s">
        <v>70</v>
      </c>
      <c r="BO4" s="40" t="s">
        <v>71</v>
      </c>
    </row>
    <row r="5" spans="2:67" x14ac:dyDescent="0.3">
      <c r="B5">
        <v>2004</v>
      </c>
      <c r="C5">
        <v>1</v>
      </c>
      <c r="D5" s="1">
        <f>DATE(B5,C5,1)</f>
        <v>37987</v>
      </c>
      <c r="E5">
        <f>_xlfn.XLOOKUP(D5,[1]nairu_estimates_v6!$A$2:$A$265,[1]nairu_estimates_v6!$P$2:$P$265)</f>
        <v>11.534947255769501</v>
      </c>
      <c r="F5">
        <f>_xlfn.XLOOKUP(D5,[1]nairu_estimates_v6!$A$2:$A$265,[1]nairu_estimates_v6!$V$2:$V$265)</f>
        <v>77.377041787716095</v>
      </c>
      <c r="G5">
        <v>18791953.220253989</v>
      </c>
      <c r="H5">
        <f t="shared" ref="H5:H68" si="0">IF(OR(C5=3,C5=6,C5=9,C5=12),AVERAGE(E3:E5),0)</f>
        <v>0</v>
      </c>
      <c r="I5">
        <f t="shared" ref="I5:I68" si="1">IF(OR(C5=3,C5=6,C5=9,C5=12),AVERAGE(F3:F5),0)</f>
        <v>0</v>
      </c>
      <c r="J5">
        <f>IF(OR(C5=3,C5=6,C5=9,C5=12),AVERAGE(G3:G5),0)</f>
        <v>0</v>
      </c>
      <c r="K5">
        <v>2.2496</v>
      </c>
      <c r="L5">
        <v>3.1810741871595397E-2</v>
      </c>
      <c r="M5">
        <v>71.958699999999993</v>
      </c>
      <c r="N5">
        <f>IF(OR(C5=3,C5=6,C5=9,C5=12),AVERAGE(M3:M5),0)</f>
        <v>0</v>
      </c>
      <c r="O5">
        <v>16035867.7954702</v>
      </c>
      <c r="Q5">
        <v>2004</v>
      </c>
      <c r="R5">
        <v>3</v>
      </c>
      <c r="S5" s="9">
        <f>DATE(Q5,R5,1)</f>
        <v>38047</v>
      </c>
      <c r="T5" s="13">
        <v>121020.1004639973</v>
      </c>
      <c r="U5" s="14" cm="1">
        <f t="array" ref="U5:U92">[2]!hp(T5:T92,1600)</f>
        <v>120237.79950410909</v>
      </c>
      <c r="V5" s="32">
        <f>T5/U5-1</f>
        <v>6.5062814116243484E-3</v>
      </c>
      <c r="W5" s="41">
        <f>U5/$T$5*$X$5</f>
        <v>99.353577664463316</v>
      </c>
      <c r="X5" s="15">
        <v>100</v>
      </c>
      <c r="Y5" s="17" cm="1">
        <f t="array" ref="Y5:Y96">_xlfn.XLOOKUP(S5:S96,D5:D280,J5:J280)</f>
        <v>18750833.668500181</v>
      </c>
      <c r="Z5" cm="1">
        <f t="array" ref="Z5:Z96">_xlfn.XLOOKUP(S5:S96,D5:D280,H5:H280)</f>
        <v>11.925354422824233</v>
      </c>
      <c r="AA5" s="4">
        <f>Y5*(1-Z5/100)</f>
        <v>16514730.29629728</v>
      </c>
      <c r="AB5" s="4" cm="1">
        <f t="array" ref="AB5:AB96">_xlfn.XLOOKUP(S5:S96,D5:D280,O5:O280)</f>
        <v>16156490.378645599</v>
      </c>
      <c r="AC5" s="4">
        <v>48</v>
      </c>
      <c r="AD5" s="14">
        <f>AA5*AC5*(52-6.6)</f>
        <v>35988900261.691032</v>
      </c>
      <c r="AE5" s="14">
        <f>AB5*AC5*(52-6.6)</f>
        <v>35208223833.144485</v>
      </c>
      <c r="AF5" s="14">
        <v>100</v>
      </c>
      <c r="AG5" s="14">
        <f>AE5/$AD$5*$AF$5</f>
        <v>97.830785539791691</v>
      </c>
      <c r="AH5" s="14">
        <f>_xlfn.XLOOKUP(Q5,$B$5:$B$280,$K$5:$K$280)</f>
        <v>2.2496</v>
      </c>
      <c r="AI5" s="14">
        <v>100</v>
      </c>
      <c r="AJ5" s="14">
        <f>AF5*AI5/100</f>
        <v>100</v>
      </c>
      <c r="AK5" s="15">
        <f>AG5*AI5/100</f>
        <v>97.830785539791691</v>
      </c>
      <c r="AL5" s="22" cm="1">
        <f t="array" ref="AL5:AL96">_xlfn.XLOOKUP(S5:S96,D5:D280,I5:I280)</f>
        <v>76.804049745997006</v>
      </c>
      <c r="AM5" cm="1">
        <f t="array" ref="AM5:AM96">_xlfn.XLOOKUP(S5:S96,D5:D280,N5:N280)</f>
        <v>73.742133333333342</v>
      </c>
      <c r="AO5" s="23">
        <f>14421/80108</f>
        <v>0.18001947371049085</v>
      </c>
      <c r="AP5" s="32">
        <f>(1+_xlfn.XLOOKUP(Q5,$B$5:$B$280,$L$5:$L$280))^(1/4)-1</f>
        <v>7.8595404473880137E-3</v>
      </c>
      <c r="AQ5" s="14">
        <f>AO5/AP5</f>
        <v>22.904580097977266</v>
      </c>
      <c r="AR5" s="34">
        <f t="shared" ref="AR5:AR12" si="2">(AR6-AO5*T5)/(1-AP5)</f>
        <v>3044795.7002131981</v>
      </c>
      <c r="AS5" s="4">
        <f t="shared" ref="AS5:AS36" si="3">AR5*AL5/100</f>
        <v>2338526.4042557226</v>
      </c>
      <c r="AT5" s="4">
        <f>AR5*AM5/100</f>
        <v>2245297.3049788172</v>
      </c>
      <c r="AU5" s="4">
        <v>100</v>
      </c>
      <c r="AV5" s="24">
        <f>AT5/$AS$5*$AU$5</f>
        <v>96.013339891854784</v>
      </c>
      <c r="AW5" s="22"/>
      <c r="BA5" t="e">
        <f>AW5/(AW5+AY5)</f>
        <v>#DIV/0!</v>
      </c>
      <c r="BB5" t="e">
        <f>AY5/(AW5+AY5+AZ5+AX5)</f>
        <v>#DIV/0!</v>
      </c>
      <c r="BC5" t="e">
        <f>1-BB5</f>
        <v>#DIV/0!</v>
      </c>
      <c r="BD5" s="21">
        <f>AVERAGE($BB$53:$BB$92)</f>
        <v>0.3335458443561336</v>
      </c>
      <c r="BE5" s="4">
        <f>X5/(AV5^BD5*AK5^(1-BD5))</f>
        <v>1.0285865579448481</v>
      </c>
      <c r="BF5" s="24"/>
      <c r="BG5" s="4">
        <f>BE5*AU5^BD5*AJ5^(1-BD5)</f>
        <v>102.85865579448483</v>
      </c>
      <c r="BH5" s="19">
        <f>X5/BG5-1</f>
        <v>-2.7792078094006301E-2</v>
      </c>
      <c r="BJ5" s="1" cm="1">
        <f t="array" ref="BJ5:BJ96">S5:S96</f>
        <v>38047</v>
      </c>
      <c r="BK5" s="42" cm="1">
        <f t="array" ref="BK5:BK92">X5:X92</f>
        <v>100</v>
      </c>
      <c r="BL5" s="42" cm="1">
        <f t="array" ref="BL5:BL92">W5:W92</f>
        <v>99.353577664463316</v>
      </c>
      <c r="BM5" s="42" cm="1">
        <f t="array" ref="BM5:BM92">BG5:BG92</f>
        <v>102.85865579448483</v>
      </c>
      <c r="BN5" s="43">
        <f>BK5/BL5-1</f>
        <v>6.5062814116243484E-3</v>
      </c>
      <c r="BO5" s="43">
        <f>BK5/BM5-1</f>
        <v>-2.7792078094006301E-2</v>
      </c>
    </row>
    <row r="6" spans="2:67" x14ac:dyDescent="0.3">
      <c r="B6">
        <f>IF(C5=12,B5+1,B5)</f>
        <v>2004</v>
      </c>
      <c r="C6">
        <f>IF(C5=12,1,C5+1)</f>
        <v>2</v>
      </c>
      <c r="D6" s="1">
        <f>DATE(B6,C6,1)</f>
        <v>38018</v>
      </c>
      <c r="E6">
        <f>_xlfn.XLOOKUP(D6,[1]nairu_estimates_v6!$A$2:$A$265,[1]nairu_estimates_v6!$P$2:$P$265)</f>
        <v>11.934285915977799</v>
      </c>
      <c r="F6">
        <f>_xlfn.XLOOKUP(D6,[1]nairu_estimates_v6!$A$2:$A$265,[1]nairu_estimates_v6!$V$2:$V$265)</f>
        <v>76.703694780556603</v>
      </c>
      <c r="G6">
        <v>18665102.97799249</v>
      </c>
      <c r="H6">
        <f t="shared" si="0"/>
        <v>0</v>
      </c>
      <c r="I6">
        <f t="shared" si="1"/>
        <v>0</v>
      </c>
      <c r="J6">
        <f t="shared" ref="J6:J69" si="4">IF(OR(C6=3,C6=6,C6=9,C6=12),AVERAGE(G4:G6),0)</f>
        <v>0</v>
      </c>
      <c r="L6">
        <v>3.1810741871595397E-2</v>
      </c>
      <c r="M6">
        <v>73.888400000000004</v>
      </c>
      <c r="N6">
        <f t="shared" ref="N6:N69" si="5">IF(OR(C6=3,C6=6,C6=9,C6=12),AVERAGE(M4:M6),0)</f>
        <v>0</v>
      </c>
      <c r="O6">
        <v>15986978.1098409</v>
      </c>
      <c r="Q6">
        <f>IF(R5=12,Q5+1,Q5)</f>
        <v>2004</v>
      </c>
      <c r="R6">
        <f>IF(R5=12,3,R5+3)</f>
        <v>6</v>
      </c>
      <c r="S6" s="9">
        <f>DATE(Q6,R6,1)</f>
        <v>38139</v>
      </c>
      <c r="T6" s="13">
        <v>120946.08944440581</v>
      </c>
      <c r="U6" s="14">
        <v>121990.09522434023</v>
      </c>
      <c r="V6" s="32">
        <f t="shared" ref="V6:V69" si="6">T6/U6-1</f>
        <v>-8.5581192310284493E-3</v>
      </c>
      <c r="W6" s="41">
        <f t="shared" ref="W6:W69" si="7">U6/$T$5*$X$5</f>
        <v>100.80151541489712</v>
      </c>
      <c r="X6" s="15">
        <f>T6/$T$5*$X$5</f>
        <v>99.938844027308079</v>
      </c>
      <c r="Y6" s="17">
        <v>18699362.753479254</v>
      </c>
      <c r="Z6">
        <v>12.913771349573535</v>
      </c>
      <c r="AA6" s="4">
        <f t="shared" ref="AA6:AA69" si="8">Y6*(1-Z6/100)</f>
        <v>16284569.803667625</v>
      </c>
      <c r="AB6" s="4">
        <v>15982702.215997601</v>
      </c>
      <c r="AC6" s="4">
        <v>48</v>
      </c>
      <c r="AD6" s="14">
        <f t="shared" ref="AD6:AD69" si="9">AA6*AC6*(52-6.6)</f>
        <v>35487334516.152489</v>
      </c>
      <c r="AE6" s="14">
        <f t="shared" ref="AE6:AE69" si="10">AB6*AC6*(52-6.6)</f>
        <v>34829504669.101974</v>
      </c>
      <c r="AF6" s="14">
        <f>AD6/$AD$5*$AF$5</f>
        <v>98.606332113814418</v>
      </c>
      <c r="AG6" s="14">
        <f t="shared" ref="AG6:AG69" si="11">AE6/$AD$5*$AF$5</f>
        <v>96.77846340355336</v>
      </c>
      <c r="AH6" s="14">
        <f t="shared" ref="AH6:AH69" si="12">_xlfn.XLOOKUP(Q6,$B$5:$B$280,$K$5:$K$280)</f>
        <v>2.2496</v>
      </c>
      <c r="AI6" s="14">
        <f>AH6/$AH$5*$AI$5</f>
        <v>100</v>
      </c>
      <c r="AJ6" s="14">
        <f>AF6*AI6/100</f>
        <v>98.606332113814418</v>
      </c>
      <c r="AK6" s="15">
        <f>AG6*AI6/100</f>
        <v>96.77846340355336</v>
      </c>
      <c r="AL6" s="22">
        <v>75.957032431090468</v>
      </c>
      <c r="AM6">
        <v>74.569933333333339</v>
      </c>
      <c r="AO6" s="23">
        <f>14006/80093</f>
        <v>0.17487171163522405</v>
      </c>
      <c r="AP6" s="32">
        <f t="shared" ref="AP6:AP69" si="13">(1+_xlfn.XLOOKUP(Q6,$B$5:$B$280,$L$5:$L$280))^(1/4)-1</f>
        <v>7.8595404473880137E-3</v>
      </c>
      <c r="AQ6" s="14">
        <f>AR6/T6</f>
        <v>25.157084400367044</v>
      </c>
      <c r="AR6" s="34">
        <f t="shared" si="2"/>
        <v>3042650.9800472585</v>
      </c>
      <c r="AS6" s="4">
        <f t="shared" si="3"/>
        <v>2311107.3916793885</v>
      </c>
      <c r="AT6" s="4">
        <f t="shared" ref="AT6:AT69" si="14">AR6*AM6/100</f>
        <v>2268902.8073872542</v>
      </c>
      <c r="AU6" s="4">
        <f>AS6/$AS$5*$AU$5</f>
        <v>98.827508959213105</v>
      </c>
      <c r="AV6" s="24">
        <f t="shared" ref="AV6:AV69" si="15">AT6/$AS$5*$AU$5</f>
        <v>97.022757718631468</v>
      </c>
      <c r="AW6" s="22"/>
      <c r="BA6" t="e">
        <f t="shared" ref="BA6:BA69" si="16">AW6/(AW6+AY6)</f>
        <v>#DIV/0!</v>
      </c>
      <c r="BB6" t="e">
        <f t="shared" ref="BB6:BB69" si="17">AY6/(AW6+AY6+AZ6+AX6)</f>
        <v>#DIV/0!</v>
      </c>
      <c r="BC6" t="e">
        <f t="shared" ref="BC6:BC69" si="18">1-BB6</f>
        <v>#DIV/0!</v>
      </c>
      <c r="BD6" s="21">
        <f t="shared" ref="BD6:BD69" si="19">AVERAGE($BB$53:$BB$92)</f>
        <v>0.3335458443561336</v>
      </c>
      <c r="BE6" s="4">
        <f t="shared" ref="BE6:BE68" si="20">X6/(AV6^BD6*AK6^(1-BD6))</f>
        <v>1.0317878338048032</v>
      </c>
      <c r="BF6" s="31">
        <f>BE6/BE5-1</f>
        <v>3.1123057512547625E-3</v>
      </c>
      <c r="BG6" s="4">
        <f t="shared" ref="BG6:BG69" si="21">BE6*AU6^BD6*AJ6^(1-BD6)</f>
        <v>101.81687467804169</v>
      </c>
      <c r="BH6" s="19">
        <f t="shared" ref="BH6:BH69" si="22">X6/BG6-1</f>
        <v>-1.8445180690059293E-2</v>
      </c>
      <c r="BJ6" s="1">
        <v>38139</v>
      </c>
      <c r="BK6" s="42">
        <v>99.938844027308079</v>
      </c>
      <c r="BL6" s="42">
        <v>100.80151541489712</v>
      </c>
      <c r="BM6" s="42">
        <v>101.81687467804169</v>
      </c>
      <c r="BN6" s="43">
        <f t="shared" ref="BN6:BN69" si="23">BK6/BL6-1</f>
        <v>-8.5581192310284493E-3</v>
      </c>
      <c r="BO6" s="43">
        <f t="shared" ref="BO6:BO69" si="24">BK6/BM6-1</f>
        <v>-1.8445180690059293E-2</v>
      </c>
    </row>
    <row r="7" spans="2:67" x14ac:dyDescent="0.3">
      <c r="B7">
        <f t="shared" ref="B7:B70" si="25">IF(C6=12,B6+1,B6)</f>
        <v>2004</v>
      </c>
      <c r="C7">
        <f t="shared" ref="C7:C70" si="26">IF(C6=12,1,C6+1)</f>
        <v>3</v>
      </c>
      <c r="D7" s="1">
        <f t="shared" ref="D7:D70" si="27">DATE(B7,C7,1)</f>
        <v>38047</v>
      </c>
      <c r="E7">
        <f>_xlfn.XLOOKUP(D7,[1]nairu_estimates_v6!$A$2:$A$265,[1]nairu_estimates_v6!$P$2:$P$265)</f>
        <v>12.306830096725401</v>
      </c>
      <c r="F7">
        <f>_xlfn.XLOOKUP(D7,[1]nairu_estimates_v6!$A$2:$A$265,[1]nairu_estimates_v6!$V$2:$V$265)</f>
        <v>76.331412669718304</v>
      </c>
      <c r="G7">
        <v>18795444.807254069</v>
      </c>
      <c r="H7">
        <f t="shared" si="0"/>
        <v>11.925354422824233</v>
      </c>
      <c r="I7">
        <f t="shared" si="1"/>
        <v>76.804049745997006</v>
      </c>
      <c r="J7">
        <f t="shared" si="4"/>
        <v>18750833.668500181</v>
      </c>
      <c r="L7">
        <v>3.1810741871595397E-2</v>
      </c>
      <c r="M7">
        <v>75.379300000000001</v>
      </c>
      <c r="N7">
        <f t="shared" si="5"/>
        <v>73.742133333333342</v>
      </c>
      <c r="O7">
        <v>16156490.378645599</v>
      </c>
      <c r="Q7">
        <f t="shared" ref="Q7:Q70" si="28">IF(R6=12,Q6+1,Q6)</f>
        <v>2004</v>
      </c>
      <c r="R7">
        <f t="shared" ref="R7:R70" si="29">IF(R6=12,3,R6+3)</f>
        <v>9</v>
      </c>
      <c r="S7" s="9">
        <f t="shared" ref="S7:S70" si="30">DATE(Q7,R7,1)</f>
        <v>38231</v>
      </c>
      <c r="T7" s="13">
        <v>122359.850961502</v>
      </c>
      <c r="U7" s="14">
        <v>123742.87988267129</v>
      </c>
      <c r="V7" s="32">
        <f t="shared" si="6"/>
        <v>-1.1176634344381098E-2</v>
      </c>
      <c r="W7" s="41">
        <f t="shared" si="7"/>
        <v>102.24985717929064</v>
      </c>
      <c r="X7" s="15">
        <f t="shared" ref="X7:X70" si="31">T7/$T$5*$X$5</f>
        <v>101.10704791383252</v>
      </c>
      <c r="Y7" s="17">
        <v>18564727.702419963</v>
      </c>
      <c r="Z7">
        <v>13.489675382233864</v>
      </c>
      <c r="AA7" s="4">
        <f t="shared" si="8"/>
        <v>16060406.199767865</v>
      </c>
      <c r="AB7" s="4">
        <v>16161226.1432615</v>
      </c>
      <c r="AC7" s="4">
        <v>48</v>
      </c>
      <c r="AD7" s="14">
        <f t="shared" si="9"/>
        <v>34998837190.534134</v>
      </c>
      <c r="AE7" s="14">
        <f t="shared" si="10"/>
        <v>35218544011.395462</v>
      </c>
      <c r="AF7" s="14">
        <f t="shared" ref="AF7:AF70" si="32">AD7/$AD$5*$AF$5</f>
        <v>97.248976590121629</v>
      </c>
      <c r="AG7" s="14">
        <f t="shared" si="11"/>
        <v>97.859461543159227</v>
      </c>
      <c r="AH7" s="14">
        <f t="shared" si="12"/>
        <v>2.2496</v>
      </c>
      <c r="AI7" s="14">
        <f t="shared" ref="AI7:AI70" si="33">AH7/$AH$5*$AI$5</f>
        <v>100</v>
      </c>
      <c r="AJ7" s="14">
        <f t="shared" ref="AJ7:AJ69" si="34">AF7*AI7/100</f>
        <v>97.248976590121643</v>
      </c>
      <c r="AK7" s="15">
        <f t="shared" ref="AK6:AK69" si="35">AG7*AI7/100</f>
        <v>97.859461543159227</v>
      </c>
      <c r="AL7" s="22">
        <v>75.689900472890386</v>
      </c>
      <c r="AM7">
        <v>76.734766666666673</v>
      </c>
      <c r="AO7" s="23">
        <f>14772/81041</f>
        <v>0.18227810614380374</v>
      </c>
      <c r="AP7" s="32">
        <f t="shared" si="13"/>
        <v>7.8595404473880137E-3</v>
      </c>
      <c r="AQ7" s="14">
        <f t="shared" ref="AQ7:AQ70" si="36">AR7/T7</f>
        <v>24.843828816328489</v>
      </c>
      <c r="AR7" s="34">
        <f t="shared" si="2"/>
        <v>3039887.1912790225</v>
      </c>
      <c r="AS7" s="4">
        <f t="shared" si="3"/>
        <v>2300887.5895672352</v>
      </c>
      <c r="AT7" s="4">
        <f t="shared" si="14"/>
        <v>2332650.3431578451</v>
      </c>
      <c r="AU7" s="4">
        <f>AS7/$AS$5*$AU$5</f>
        <v>98.390490070157384</v>
      </c>
      <c r="AV7" s="24">
        <f t="shared" si="15"/>
        <v>99.748728041420264</v>
      </c>
      <c r="AW7" s="22"/>
      <c r="BA7" t="e">
        <f t="shared" si="16"/>
        <v>#DIV/0!</v>
      </c>
      <c r="BB7" t="e">
        <f t="shared" si="17"/>
        <v>#DIV/0!</v>
      </c>
      <c r="BC7" t="e">
        <f t="shared" si="18"/>
        <v>#DIV/0!</v>
      </c>
      <c r="BD7" s="21">
        <f t="shared" si="19"/>
        <v>0.3335458443561336</v>
      </c>
      <c r="BE7" s="4">
        <f t="shared" si="20"/>
        <v>1.0266174975640161</v>
      </c>
      <c r="BF7" s="31">
        <f t="shared" ref="BF7:BF70" si="37">BE7/BE6-1</f>
        <v>-5.0110459450961597E-3</v>
      </c>
      <c r="BG7" s="4">
        <f t="shared" si="21"/>
        <v>100.22686358255707</v>
      </c>
      <c r="BH7" s="19">
        <f t="shared" si="22"/>
        <v>8.7819203336680918E-3</v>
      </c>
      <c r="BJ7" s="1">
        <v>38231</v>
      </c>
      <c r="BK7" s="42">
        <v>101.10704791383252</v>
      </c>
      <c r="BL7" s="42">
        <v>102.24985717929064</v>
      </c>
      <c r="BM7" s="42">
        <v>100.22686358255707</v>
      </c>
      <c r="BN7" s="43">
        <f t="shared" si="23"/>
        <v>-1.1176634344381098E-2</v>
      </c>
      <c r="BO7" s="43">
        <f t="shared" si="24"/>
        <v>8.7819203336680918E-3</v>
      </c>
    </row>
    <row r="8" spans="2:67" x14ac:dyDescent="0.3">
      <c r="B8">
        <f t="shared" si="25"/>
        <v>2004</v>
      </c>
      <c r="C8">
        <f t="shared" si="26"/>
        <v>4</v>
      </c>
      <c r="D8" s="1">
        <f t="shared" si="27"/>
        <v>38078</v>
      </c>
      <c r="E8">
        <f>_xlfn.XLOOKUP(D8,[1]nairu_estimates_v6!$A$2:$A$265,[1]nairu_estimates_v6!$P$2:$P$265)</f>
        <v>12.662497652617599</v>
      </c>
      <c r="F8">
        <f>_xlfn.XLOOKUP(D8,[1]nairu_estimates_v6!$A$2:$A$265,[1]nairu_estimates_v6!$V$2:$V$265)</f>
        <v>76.147652368013496</v>
      </c>
      <c r="G8">
        <v>18692736.431278132</v>
      </c>
      <c r="H8">
        <f t="shared" si="0"/>
        <v>0</v>
      </c>
      <c r="I8">
        <f t="shared" si="1"/>
        <v>0</v>
      </c>
      <c r="J8">
        <f t="shared" si="4"/>
        <v>0</v>
      </c>
      <c r="L8">
        <v>3.1810741871595397E-2</v>
      </c>
      <c r="M8">
        <v>74.359700000000004</v>
      </c>
      <c r="N8">
        <f t="shared" si="5"/>
        <v>0</v>
      </c>
      <c r="O8">
        <v>16022477.540538201</v>
      </c>
      <c r="Q8">
        <f t="shared" si="28"/>
        <v>2004</v>
      </c>
      <c r="R8">
        <f t="shared" si="29"/>
        <v>12</v>
      </c>
      <c r="S8" s="9">
        <f t="shared" si="30"/>
        <v>38322</v>
      </c>
      <c r="T8" s="13">
        <v>126360.9773063609</v>
      </c>
      <c r="U8" s="14">
        <v>125495.98991358974</v>
      </c>
      <c r="V8" s="32">
        <f t="shared" si="6"/>
        <v>6.8925500597010192E-3</v>
      </c>
      <c r="W8" s="41">
        <f t="shared" si="7"/>
        <v>103.69846780198633</v>
      </c>
      <c r="X8" s="15">
        <f t="shared" si="31"/>
        <v>104.41321468242582</v>
      </c>
      <c r="Y8" s="17">
        <v>18573081.208933994</v>
      </c>
      <c r="Z8">
        <v>13.704264554989132</v>
      </c>
      <c r="AA8" s="4">
        <f t="shared" si="8"/>
        <v>16027777.024048707</v>
      </c>
      <c r="AB8" s="4">
        <v>16111315.6031476</v>
      </c>
      <c r="AC8" s="4">
        <v>48</v>
      </c>
      <c r="AD8" s="14">
        <f t="shared" si="9"/>
        <v>34927731690.806938</v>
      </c>
      <c r="AE8" s="14">
        <f t="shared" si="10"/>
        <v>35109778962.37925</v>
      </c>
      <c r="AF8" s="14">
        <f t="shared" si="32"/>
        <v>97.05140039521109</v>
      </c>
      <c r="AG8" s="14">
        <f t="shared" si="11"/>
        <v>97.557243225218599</v>
      </c>
      <c r="AH8" s="14">
        <f t="shared" si="12"/>
        <v>2.2496</v>
      </c>
      <c r="AI8" s="14">
        <f t="shared" si="33"/>
        <v>100</v>
      </c>
      <c r="AJ8" s="14">
        <f t="shared" si="34"/>
        <v>97.05140039521109</v>
      </c>
      <c r="AK8" s="15">
        <f t="shared" si="35"/>
        <v>97.557243225218585</v>
      </c>
      <c r="AL8" s="22">
        <v>76.107244547762292</v>
      </c>
      <c r="AM8">
        <v>76.81153333333333</v>
      </c>
      <c r="AO8" s="23">
        <f>15890/83624</f>
        <v>0.19001721993686024</v>
      </c>
      <c r="AP8" s="32">
        <f t="shared" si="13"/>
        <v>7.8595404473880137E-3</v>
      </c>
      <c r="AQ8" s="14">
        <f t="shared" si="36"/>
        <v>24.04459558332352</v>
      </c>
      <c r="AR8" s="34">
        <f t="shared" si="2"/>
        <v>3038298.5968449689</v>
      </c>
      <c r="AS8" s="4">
        <f t="shared" si="3"/>
        <v>2312365.3431920307</v>
      </c>
      <c r="AT8" s="4">
        <f t="shared" si="14"/>
        <v>2333763.7394817723</v>
      </c>
      <c r="AU8" s="4">
        <f t="shared" ref="AU6:AU37" si="38">AS8/$AS$5*$AU$5</f>
        <v>98.881301446240528</v>
      </c>
      <c r="AV8" s="24">
        <f t="shared" si="15"/>
        <v>99.796339063553745</v>
      </c>
      <c r="AW8" s="22"/>
      <c r="BA8" t="e">
        <f t="shared" si="16"/>
        <v>#DIV/0!</v>
      </c>
      <c r="BB8" t="e">
        <f t="shared" si="17"/>
        <v>#DIV/0!</v>
      </c>
      <c r="BC8" t="e">
        <f t="shared" si="18"/>
        <v>#DIV/0!</v>
      </c>
      <c r="BD8" s="21">
        <f t="shared" si="19"/>
        <v>0.3335458443561336</v>
      </c>
      <c r="BE8" s="4">
        <f t="shared" si="20"/>
        <v>1.0622061781869778</v>
      </c>
      <c r="BF8" s="31">
        <f t="shared" si="37"/>
        <v>3.4665959529627477E-2</v>
      </c>
      <c r="BG8" s="4">
        <f t="shared" si="21"/>
        <v>103.73288962520574</v>
      </c>
      <c r="BH8" s="19">
        <f t="shared" si="22"/>
        <v>6.5584315608882005E-3</v>
      </c>
      <c r="BJ8" s="1">
        <v>38322</v>
      </c>
      <c r="BK8" s="42">
        <v>104.41321468242582</v>
      </c>
      <c r="BL8" s="42">
        <v>103.69846780198633</v>
      </c>
      <c r="BM8" s="42">
        <v>103.73288962520574</v>
      </c>
      <c r="BN8" s="43">
        <f t="shared" si="23"/>
        <v>6.8925500597010192E-3</v>
      </c>
      <c r="BO8" s="43">
        <f t="shared" si="24"/>
        <v>6.5584315608882005E-3</v>
      </c>
    </row>
    <row r="9" spans="2:67" x14ac:dyDescent="0.3">
      <c r="B9">
        <f t="shared" si="25"/>
        <v>2004</v>
      </c>
      <c r="C9">
        <f t="shared" si="26"/>
        <v>5</v>
      </c>
      <c r="D9" s="1">
        <f t="shared" si="27"/>
        <v>38108</v>
      </c>
      <c r="E9">
        <f>_xlfn.XLOOKUP(D9,[1]nairu_estimates_v6!$A$2:$A$265,[1]nairu_estimates_v6!$P$2:$P$265)</f>
        <v>12.9058473408575</v>
      </c>
      <c r="F9">
        <f>_xlfn.XLOOKUP(D9,[1]nairu_estimates_v6!$A$2:$A$265,[1]nairu_estimates_v6!$V$2:$V$265)</f>
        <v>75.935333200924603</v>
      </c>
      <c r="G9">
        <v>18799627.13764365</v>
      </c>
      <c r="H9">
        <f t="shared" si="0"/>
        <v>0</v>
      </c>
      <c r="I9">
        <f t="shared" si="1"/>
        <v>0</v>
      </c>
      <c r="J9">
        <f t="shared" si="4"/>
        <v>0</v>
      </c>
      <c r="L9">
        <v>3.1810741871595397E-2</v>
      </c>
      <c r="M9">
        <v>75.272900000000007</v>
      </c>
      <c r="N9">
        <f t="shared" si="5"/>
        <v>0</v>
      </c>
      <c r="O9">
        <v>16149901.8053947</v>
      </c>
      <c r="Q9">
        <f t="shared" si="28"/>
        <v>2005</v>
      </c>
      <c r="R9">
        <f t="shared" si="29"/>
        <v>3</v>
      </c>
      <c r="S9" s="9">
        <f t="shared" si="30"/>
        <v>38412</v>
      </c>
      <c r="T9" s="13">
        <v>125997.4955</v>
      </c>
      <c r="U9" s="14">
        <v>127248.39735850731</v>
      </c>
      <c r="V9" s="32">
        <f t="shared" si="6"/>
        <v>-9.8303938161440341E-3</v>
      </c>
      <c r="W9" s="41">
        <f t="shared" si="7"/>
        <v>105.14649787153571</v>
      </c>
      <c r="X9" s="15">
        <f t="shared" si="31"/>
        <v>104.11286638907018</v>
      </c>
      <c r="Y9" s="17">
        <v>18621022.594973374</v>
      </c>
      <c r="Z9">
        <v>13.752218738308434</v>
      </c>
      <c r="AA9" s="4">
        <f t="shared" si="8"/>
        <v>16060218.8364028</v>
      </c>
      <c r="AB9" s="4">
        <v>16125028.5715436</v>
      </c>
      <c r="AC9" s="4">
        <v>48</v>
      </c>
      <c r="AD9" s="14">
        <f t="shared" si="9"/>
        <v>34998428888.288979</v>
      </c>
      <c r="AE9" s="14">
        <f t="shared" si="10"/>
        <v>35139662263.107811</v>
      </c>
      <c r="AF9" s="14">
        <f t="shared" si="32"/>
        <v>97.247842067415505</v>
      </c>
      <c r="AG9" s="14">
        <f t="shared" si="11"/>
        <v>97.640277995692998</v>
      </c>
      <c r="AH9" s="14">
        <f t="shared" si="12"/>
        <v>2.2717000000000001</v>
      </c>
      <c r="AI9" s="14">
        <f t="shared" si="33"/>
        <v>100.98239687055477</v>
      </c>
      <c r="AJ9" s="14">
        <f t="shared" si="34"/>
        <v>98.203201824567842</v>
      </c>
      <c r="AK9" s="15">
        <f t="shared" si="35"/>
        <v>98.599493031123657</v>
      </c>
      <c r="AL9" s="22">
        <v>76.180968940326508</v>
      </c>
      <c r="AM9">
        <v>76.424766666666656</v>
      </c>
      <c r="AN9" s="14">
        <v>22674.324866123599</v>
      </c>
      <c r="AO9" s="3">
        <f>AN9/T9</f>
        <v>0.1799585362879185</v>
      </c>
      <c r="AP9" s="32">
        <f t="shared" si="13"/>
        <v>7.8920526042312034E-3</v>
      </c>
      <c r="AQ9" s="14">
        <f t="shared" si="36"/>
        <v>24.115000982286055</v>
      </c>
      <c r="AR9" s="34">
        <f t="shared" si="2"/>
        <v>3038429.727748083</v>
      </c>
      <c r="AS9" s="4">
        <f t="shared" si="3"/>
        <v>2314705.2071694145</v>
      </c>
      <c r="AT9" s="4">
        <f t="shared" si="14"/>
        <v>2322112.8297621072</v>
      </c>
      <c r="AU9" s="4">
        <f t="shared" si="38"/>
        <v>98.981358643504834</v>
      </c>
      <c r="AV9" s="24">
        <f t="shared" si="15"/>
        <v>99.298123191436048</v>
      </c>
      <c r="AW9" s="22"/>
      <c r="BA9" t="e">
        <f t="shared" si="16"/>
        <v>#DIV/0!</v>
      </c>
      <c r="BB9" t="e">
        <f t="shared" si="17"/>
        <v>#DIV/0!</v>
      </c>
      <c r="BC9" t="e">
        <f t="shared" si="18"/>
        <v>#DIV/0!</v>
      </c>
      <c r="BD9" s="21">
        <f t="shared" si="19"/>
        <v>0.3335458443561336</v>
      </c>
      <c r="BE9" s="4">
        <f t="shared" si="20"/>
        <v>1.0534330763643869</v>
      </c>
      <c r="BF9" s="31">
        <f t="shared" si="37"/>
        <v>-8.25932102707716E-3</v>
      </c>
      <c r="BG9" s="4">
        <f t="shared" si="21"/>
        <v>103.72320179109816</v>
      </c>
      <c r="BH9" s="19">
        <f t="shared" si="22"/>
        <v>3.756773713530448E-3</v>
      </c>
      <c r="BJ9" s="1">
        <v>38412</v>
      </c>
      <c r="BK9" s="42">
        <v>104.11286638907018</v>
      </c>
      <c r="BL9" s="42">
        <v>105.14649787153571</v>
      </c>
      <c r="BM9" s="42">
        <v>103.72320179109816</v>
      </c>
      <c r="BN9" s="43">
        <f t="shared" si="23"/>
        <v>-9.830393816143923E-3</v>
      </c>
      <c r="BO9" s="43">
        <f t="shared" si="24"/>
        <v>3.756773713530448E-3</v>
      </c>
    </row>
    <row r="10" spans="2:67" x14ac:dyDescent="0.3">
      <c r="B10">
        <f t="shared" si="25"/>
        <v>2004</v>
      </c>
      <c r="C10">
        <f t="shared" si="26"/>
        <v>6</v>
      </c>
      <c r="D10" s="1">
        <f t="shared" si="27"/>
        <v>38139</v>
      </c>
      <c r="E10">
        <f>_xlfn.XLOOKUP(D10,[1]nairu_estimates_v6!$A$2:$A$265,[1]nairu_estimates_v6!$P$2:$P$265)</f>
        <v>13.172969055245501</v>
      </c>
      <c r="F10">
        <f>_xlfn.XLOOKUP(D10,[1]nairu_estimates_v6!$A$2:$A$265,[1]nairu_estimates_v6!$V$2:$V$265)</f>
        <v>75.788111724333305</v>
      </c>
      <c r="G10">
        <v>18605724.691515982</v>
      </c>
      <c r="H10">
        <f t="shared" si="0"/>
        <v>12.913771349573535</v>
      </c>
      <c r="I10">
        <f t="shared" si="1"/>
        <v>75.957032431090468</v>
      </c>
      <c r="J10">
        <f t="shared" si="4"/>
        <v>18699362.753479254</v>
      </c>
      <c r="L10">
        <v>3.1810741871595397E-2</v>
      </c>
      <c r="M10">
        <v>74.077200000000005</v>
      </c>
      <c r="N10">
        <f t="shared" si="5"/>
        <v>74.569933333333339</v>
      </c>
      <c r="O10">
        <v>15982702.215997601</v>
      </c>
      <c r="Q10">
        <f t="shared" si="28"/>
        <v>2005</v>
      </c>
      <c r="R10">
        <f t="shared" si="29"/>
        <v>6</v>
      </c>
      <c r="S10" s="9">
        <f t="shared" si="30"/>
        <v>38504</v>
      </c>
      <c r="T10" s="13">
        <v>129111.1804</v>
      </c>
      <c r="U10" s="14">
        <v>128999.61487595619</v>
      </c>
      <c r="V10" s="32">
        <f t="shared" si="6"/>
        <v>8.6485160557336904E-4</v>
      </c>
      <c r="W10" s="41">
        <f t="shared" si="7"/>
        <v>106.59354469329062</v>
      </c>
      <c r="X10" s="15">
        <f t="shared" si="31"/>
        <v>106.68573229156237</v>
      </c>
      <c r="Y10" s="17">
        <v>18703891.947693717</v>
      </c>
      <c r="Z10">
        <v>13.686550195888501</v>
      </c>
      <c r="AA10" s="4">
        <f t="shared" si="8"/>
        <v>16143974.387687869</v>
      </c>
      <c r="AB10" s="4">
        <v>16524075.426339099</v>
      </c>
      <c r="AC10" s="4">
        <v>48</v>
      </c>
      <c r="AD10" s="14">
        <f t="shared" si="9"/>
        <v>35180948985.649406</v>
      </c>
      <c r="AE10" s="14">
        <f t="shared" si="10"/>
        <v>36009265169.078163</v>
      </c>
      <c r="AF10" s="14">
        <f t="shared" si="32"/>
        <v>97.754998707471856</v>
      </c>
      <c r="AG10" s="14">
        <f t="shared" si="11"/>
        <v>100.05658663432071</v>
      </c>
      <c r="AH10" s="14">
        <f t="shared" si="12"/>
        <v>2.2717000000000001</v>
      </c>
      <c r="AI10" s="14">
        <f t="shared" si="33"/>
        <v>100.98239687055477</v>
      </c>
      <c r="AJ10" s="14">
        <f t="shared" si="34"/>
        <v>98.715340755584918</v>
      </c>
      <c r="AK10" s="15">
        <f t="shared" si="35"/>
        <v>101.03953941020019</v>
      </c>
      <c r="AL10" s="22">
        <v>76.720798573003833</v>
      </c>
      <c r="AM10">
        <v>78.922466666666665</v>
      </c>
      <c r="AN10" s="14">
        <v>20686.6210292793</v>
      </c>
      <c r="AO10" s="3">
        <f t="shared" ref="AO10:AO73" si="39">AN10/T10</f>
        <v>0.16022331269213072</v>
      </c>
      <c r="AP10" s="32">
        <f t="shared" si="13"/>
        <v>7.8920526042312034E-3</v>
      </c>
      <c r="AQ10" s="14">
        <f t="shared" si="36"/>
        <v>23.523327692917281</v>
      </c>
      <c r="AR10" s="34">
        <f t="shared" si="2"/>
        <v>3037124.6053685588</v>
      </c>
      <c r="AS10" s="4">
        <f t="shared" si="3"/>
        <v>2330106.2508959495</v>
      </c>
      <c r="AT10" s="4">
        <f t="shared" si="14"/>
        <v>2396973.654297132</v>
      </c>
      <c r="AU10" s="4">
        <f t="shared" si="38"/>
        <v>99.639937640026218</v>
      </c>
      <c r="AV10" s="24">
        <f t="shared" si="15"/>
        <v>102.49931965425088</v>
      </c>
      <c r="AW10" s="22"/>
      <c r="BA10" t="e">
        <f t="shared" si="16"/>
        <v>#DIV/0!</v>
      </c>
      <c r="BB10" t="e">
        <f t="shared" si="17"/>
        <v>#DIV/0!</v>
      </c>
      <c r="BC10" t="e">
        <f t="shared" si="18"/>
        <v>#DIV/0!</v>
      </c>
      <c r="BD10" s="21">
        <f t="shared" si="19"/>
        <v>0.3335458443561336</v>
      </c>
      <c r="BE10" s="4">
        <f t="shared" si="20"/>
        <v>1.0508412666452196</v>
      </c>
      <c r="BF10" s="31">
        <f t="shared" si="37"/>
        <v>-2.4603458703917891E-3</v>
      </c>
      <c r="BG10" s="4">
        <f t="shared" si="21"/>
        <v>104.05722214021829</v>
      </c>
      <c r="BH10" s="19">
        <f t="shared" si="22"/>
        <v>2.5260237562388044E-2</v>
      </c>
      <c r="BJ10" s="1">
        <v>38504</v>
      </c>
      <c r="BK10" s="42">
        <v>106.68573229156237</v>
      </c>
      <c r="BL10" s="42">
        <v>106.59354469329062</v>
      </c>
      <c r="BM10" s="42">
        <v>104.05722214021829</v>
      </c>
      <c r="BN10" s="43">
        <f t="shared" si="23"/>
        <v>8.6485160557336904E-4</v>
      </c>
      <c r="BO10" s="43">
        <f t="shared" si="24"/>
        <v>2.5260237562388044E-2</v>
      </c>
    </row>
    <row r="11" spans="2:67" x14ac:dyDescent="0.3">
      <c r="B11">
        <f t="shared" si="25"/>
        <v>2004</v>
      </c>
      <c r="C11">
        <f t="shared" si="26"/>
        <v>7</v>
      </c>
      <c r="D11" s="1">
        <f t="shared" si="27"/>
        <v>38169</v>
      </c>
      <c r="E11">
        <f>_xlfn.XLOOKUP(D11,[1]nairu_estimates_v6!$A$2:$A$265,[1]nairu_estimates_v6!$P$2:$P$265)</f>
        <v>13.394372221581699</v>
      </c>
      <c r="F11">
        <f>_xlfn.XLOOKUP(D11,[1]nairu_estimates_v6!$A$2:$A$265,[1]nairu_estimates_v6!$V$2:$V$265)</f>
        <v>75.510191949934097</v>
      </c>
      <c r="G11">
        <v>18643012.986624248</v>
      </c>
      <c r="H11">
        <f t="shared" si="0"/>
        <v>0</v>
      </c>
      <c r="I11">
        <f t="shared" si="1"/>
        <v>0</v>
      </c>
      <c r="J11">
        <f t="shared" si="4"/>
        <v>0</v>
      </c>
      <c r="L11">
        <v>3.1810741871595397E-2</v>
      </c>
      <c r="M11">
        <v>76.104500000000002</v>
      </c>
      <c r="N11">
        <f t="shared" si="5"/>
        <v>0</v>
      </c>
      <c r="O11">
        <v>16241064.442086</v>
      </c>
      <c r="Q11">
        <f t="shared" si="28"/>
        <v>2005</v>
      </c>
      <c r="R11">
        <f t="shared" si="29"/>
        <v>9</v>
      </c>
      <c r="S11" s="9">
        <f t="shared" si="30"/>
        <v>38596</v>
      </c>
      <c r="T11" s="13">
        <v>128696.2283</v>
      </c>
      <c r="U11" s="14">
        <v>130748.373310807</v>
      </c>
      <c r="V11" s="32">
        <f t="shared" si="6"/>
        <v>-1.5695376996612942E-2</v>
      </c>
      <c r="W11" s="41">
        <f t="shared" si="7"/>
        <v>108.03855955292634</v>
      </c>
      <c r="X11" s="15">
        <f t="shared" si="31"/>
        <v>106.34285363057214</v>
      </c>
      <c r="Y11" s="17">
        <v>18771716.353354648</v>
      </c>
      <c r="Z11">
        <v>13.579297100000801</v>
      </c>
      <c r="AA11" s="4">
        <f t="shared" si="8"/>
        <v>16222649.218963185</v>
      </c>
      <c r="AB11" s="4">
        <v>16586710.2280176</v>
      </c>
      <c r="AC11" s="4">
        <v>48</v>
      </c>
      <c r="AD11" s="14">
        <f t="shared" si="9"/>
        <v>35352397177.964577</v>
      </c>
      <c r="AE11" s="14">
        <f t="shared" si="10"/>
        <v>36145758928.895958</v>
      </c>
      <c r="AF11" s="14">
        <f t="shared" si="32"/>
        <v>98.231390570153124</v>
      </c>
      <c r="AG11" s="14">
        <f t="shared" si="11"/>
        <v>100.43585290482437</v>
      </c>
      <c r="AH11" s="14">
        <f t="shared" si="12"/>
        <v>2.2717000000000001</v>
      </c>
      <c r="AI11" s="14">
        <f t="shared" si="33"/>
        <v>100.98239687055477</v>
      </c>
      <c r="AJ11" s="14">
        <f t="shared" si="34"/>
        <v>99.196412677016738</v>
      </c>
      <c r="AK11" s="15">
        <f t="shared" si="35"/>
        <v>101.42253158067635</v>
      </c>
      <c r="AL11" s="22">
        <v>77.599800718476274</v>
      </c>
      <c r="AM11">
        <v>80.659633333333332</v>
      </c>
      <c r="AN11" s="14">
        <v>20519.215955662999</v>
      </c>
      <c r="AO11" s="3">
        <f t="shared" si="39"/>
        <v>0.15943913995545586</v>
      </c>
      <c r="AP11" s="32">
        <f t="shared" si="13"/>
        <v>7.8920526042312034E-3</v>
      </c>
      <c r="AQ11" s="14">
        <f t="shared" si="36"/>
        <v>23.573667381879787</v>
      </c>
      <c r="AR11" s="34">
        <f t="shared" si="2"/>
        <v>3033842.0792466644</v>
      </c>
      <c r="AS11" s="4">
        <f t="shared" si="3"/>
        <v>2354255.4076086888</v>
      </c>
      <c r="AT11" s="4">
        <f t="shared" si="14"/>
        <v>2447085.8970327359</v>
      </c>
      <c r="AU11" s="4">
        <f t="shared" si="38"/>
        <v>100.67260319679701</v>
      </c>
      <c r="AV11" s="24">
        <f t="shared" si="15"/>
        <v>104.64221796168106</v>
      </c>
      <c r="AW11" s="22"/>
      <c r="BA11" t="e">
        <f t="shared" si="16"/>
        <v>#DIV/0!</v>
      </c>
      <c r="BB11" t="e">
        <f t="shared" si="17"/>
        <v>#DIV/0!</v>
      </c>
      <c r="BC11" t="e">
        <f t="shared" si="18"/>
        <v>#DIV/0!</v>
      </c>
      <c r="BD11" s="21">
        <f t="shared" si="19"/>
        <v>0.3335458443561336</v>
      </c>
      <c r="BE11" s="4">
        <f t="shared" si="20"/>
        <v>1.0376402650247945</v>
      </c>
      <c r="BF11" s="31">
        <f t="shared" si="37"/>
        <v>-1.2562317487367913E-2</v>
      </c>
      <c r="BG11" s="4">
        <f t="shared" si="21"/>
        <v>103.43858953811768</v>
      </c>
      <c r="BH11" s="19">
        <f t="shared" si="22"/>
        <v>2.8077181885627134E-2</v>
      </c>
      <c r="BJ11" s="1">
        <v>38596</v>
      </c>
      <c r="BK11" s="42">
        <v>106.34285363057214</v>
      </c>
      <c r="BL11" s="42">
        <v>108.03855955292634</v>
      </c>
      <c r="BM11" s="42">
        <v>103.43858953811768</v>
      </c>
      <c r="BN11" s="43">
        <f t="shared" si="23"/>
        <v>-1.5695376996613053E-2</v>
      </c>
      <c r="BO11" s="43">
        <f t="shared" si="24"/>
        <v>2.8077181885627134E-2</v>
      </c>
    </row>
    <row r="12" spans="2:67" x14ac:dyDescent="0.3">
      <c r="B12">
        <f t="shared" si="25"/>
        <v>2004</v>
      </c>
      <c r="C12">
        <f t="shared" si="26"/>
        <v>8</v>
      </c>
      <c r="D12" s="1">
        <f t="shared" si="27"/>
        <v>38200</v>
      </c>
      <c r="E12">
        <f>_xlfn.XLOOKUP(D12,[1]nairu_estimates_v6!$A$2:$A$265,[1]nairu_estimates_v6!$P$2:$P$265)</f>
        <v>13.489318061857199</v>
      </c>
      <c r="F12">
        <f>_xlfn.XLOOKUP(D12,[1]nairu_estimates_v6!$A$2:$A$265,[1]nairu_estimates_v6!$V$2:$V$265)</f>
        <v>75.636623854329699</v>
      </c>
      <c r="G12">
        <v>18544079.454896789</v>
      </c>
      <c r="H12">
        <f t="shared" si="0"/>
        <v>0</v>
      </c>
      <c r="I12">
        <f t="shared" si="1"/>
        <v>0</v>
      </c>
      <c r="J12">
        <f t="shared" si="4"/>
        <v>0</v>
      </c>
      <c r="L12">
        <v>3.1810741871595397E-2</v>
      </c>
      <c r="M12">
        <v>77.755499999999998</v>
      </c>
      <c r="N12">
        <f t="shared" si="5"/>
        <v>0</v>
      </c>
      <c r="O12">
        <v>16130875.597546699</v>
      </c>
      <c r="Q12">
        <f t="shared" si="28"/>
        <v>2005</v>
      </c>
      <c r="R12">
        <f t="shared" si="29"/>
        <v>12</v>
      </c>
      <c r="S12" s="9">
        <f t="shared" si="30"/>
        <v>38687</v>
      </c>
      <c r="T12" s="13">
        <v>131048.0958</v>
      </c>
      <c r="U12" s="14">
        <v>132493.47323638288</v>
      </c>
      <c r="V12" s="32">
        <f t="shared" si="6"/>
        <v>-1.0909046318109406E-2</v>
      </c>
      <c r="W12" s="41">
        <f t="shared" si="7"/>
        <v>109.48055135336699</v>
      </c>
      <c r="X12" s="15">
        <f t="shared" si="31"/>
        <v>108.28622294772097</v>
      </c>
      <c r="Y12" s="17">
        <v>18896797.103978258</v>
      </c>
      <c r="Z12">
        <v>13.3974220114349</v>
      </c>
      <c r="AA12" s="4">
        <f t="shared" si="8"/>
        <v>16365113.449313682</v>
      </c>
      <c r="AB12" s="4">
        <v>16963597.212443899</v>
      </c>
      <c r="AC12" s="4">
        <v>48</v>
      </c>
      <c r="AD12" s="14">
        <f t="shared" si="9"/>
        <v>35662855228.74437</v>
      </c>
      <c r="AE12" s="14">
        <f t="shared" si="10"/>
        <v>36967071045.357742</v>
      </c>
      <c r="AF12" s="14">
        <f t="shared" si="32"/>
        <v>99.094040021851598</v>
      </c>
      <c r="AG12" s="14">
        <f t="shared" si="11"/>
        <v>102.71797908953594</v>
      </c>
      <c r="AH12" s="14">
        <f t="shared" si="12"/>
        <v>2.2717000000000001</v>
      </c>
      <c r="AI12" s="14">
        <f t="shared" si="33"/>
        <v>100.98239687055477</v>
      </c>
      <c r="AJ12" s="14">
        <f t="shared" si="34"/>
        <v>100.06753676993256</v>
      </c>
      <c r="AK12" s="15">
        <f t="shared" si="35"/>
        <v>103.72707730160865</v>
      </c>
      <c r="AL12" s="22">
        <v>78.843339489558701</v>
      </c>
      <c r="AM12">
        <v>80.383200000000002</v>
      </c>
      <c r="AN12" s="14">
        <v>22057.838118170199</v>
      </c>
      <c r="AO12" s="3">
        <f t="shared" si="39"/>
        <v>0.16831864655121681</v>
      </c>
      <c r="AP12" s="32">
        <f t="shared" si="13"/>
        <v>7.8920526042312034E-3</v>
      </c>
      <c r="AQ12" s="14">
        <f t="shared" si="36"/>
        <v>23.124472243723993</v>
      </c>
      <c r="AR12" s="34">
        <f t="shared" si="2"/>
        <v>3030418.0539199826</v>
      </c>
      <c r="AS12" s="4">
        <f t="shared" si="3"/>
        <v>2389282.7942050099</v>
      </c>
      <c r="AT12" s="4">
        <f t="shared" si="14"/>
        <v>2435947.0051186075</v>
      </c>
      <c r="AU12" s="4">
        <f t="shared" si="38"/>
        <v>102.17044331237479</v>
      </c>
      <c r="AV12" s="24">
        <f t="shared" si="15"/>
        <v>104.16589698049148</v>
      </c>
      <c r="AW12" s="22"/>
      <c r="BA12" t="e">
        <f t="shared" si="16"/>
        <v>#DIV/0!</v>
      </c>
      <c r="BB12" t="e">
        <f t="shared" si="17"/>
        <v>#DIV/0!</v>
      </c>
      <c r="BC12" t="e">
        <f t="shared" si="18"/>
        <v>#DIV/0!</v>
      </c>
      <c r="BD12" s="21">
        <f t="shared" si="19"/>
        <v>0.3335458443561336</v>
      </c>
      <c r="BE12" s="4">
        <f t="shared" si="20"/>
        <v>1.0424843309659597</v>
      </c>
      <c r="BF12" s="31">
        <f t="shared" si="37"/>
        <v>4.6683480821261281E-3</v>
      </c>
      <c r="BG12" s="4">
        <f t="shared" si="21"/>
        <v>105.04499249014768</v>
      </c>
      <c r="BH12" s="19">
        <f t="shared" si="22"/>
        <v>3.0855639861912421E-2</v>
      </c>
      <c r="BJ12" s="1">
        <v>38687</v>
      </c>
      <c r="BK12" s="42">
        <v>108.28622294772097</v>
      </c>
      <c r="BL12" s="42">
        <v>109.48055135336699</v>
      </c>
      <c r="BM12" s="42">
        <v>105.04499249014768</v>
      </c>
      <c r="BN12" s="43">
        <f t="shared" si="23"/>
        <v>-1.0909046318109294E-2</v>
      </c>
      <c r="BO12" s="43">
        <f t="shared" si="24"/>
        <v>3.0855639861912421E-2</v>
      </c>
    </row>
    <row r="13" spans="2:67" x14ac:dyDescent="0.3">
      <c r="B13">
        <f t="shared" si="25"/>
        <v>2004</v>
      </c>
      <c r="C13">
        <f t="shared" si="26"/>
        <v>9</v>
      </c>
      <c r="D13" s="1">
        <f t="shared" si="27"/>
        <v>38231</v>
      </c>
      <c r="E13">
        <f>_xlfn.XLOOKUP(D13,[1]nairu_estimates_v6!$A$2:$A$265,[1]nairu_estimates_v6!$P$2:$P$265)</f>
        <v>13.585335863262699</v>
      </c>
      <c r="F13">
        <f>_xlfn.XLOOKUP(D13,[1]nairu_estimates_v6!$A$2:$A$265,[1]nairu_estimates_v6!$V$2:$V$265)</f>
        <v>75.922885614407406</v>
      </c>
      <c r="G13">
        <v>18507090.665738847</v>
      </c>
      <c r="H13">
        <f t="shared" si="0"/>
        <v>13.489675382233864</v>
      </c>
      <c r="I13">
        <f t="shared" si="1"/>
        <v>75.689900472890386</v>
      </c>
      <c r="J13">
        <f t="shared" si="4"/>
        <v>18564727.702419963</v>
      </c>
      <c r="L13">
        <v>3.1810741871595397E-2</v>
      </c>
      <c r="M13">
        <v>76.344300000000004</v>
      </c>
      <c r="N13">
        <f t="shared" si="5"/>
        <v>76.734766666666673</v>
      </c>
      <c r="O13">
        <v>16161226.1432615</v>
      </c>
      <c r="Q13">
        <f t="shared" si="28"/>
        <v>2006</v>
      </c>
      <c r="R13">
        <f t="shared" si="29"/>
        <v>3</v>
      </c>
      <c r="S13" s="9">
        <f t="shared" si="30"/>
        <v>38777</v>
      </c>
      <c r="T13" s="13">
        <v>134111.66959999999</v>
      </c>
      <c r="U13" s="14">
        <v>134232.43263537524</v>
      </c>
      <c r="V13" s="32">
        <f t="shared" si="6"/>
        <v>-8.9965616359855005E-4</v>
      </c>
      <c r="W13" s="41">
        <f t="shared" si="7"/>
        <v>110.91746918133532</v>
      </c>
      <c r="X13" s="15">
        <f t="shared" si="31"/>
        <v>110.81768159653558</v>
      </c>
      <c r="Y13" s="17">
        <v>18971198.037659165</v>
      </c>
      <c r="Z13">
        <v>13.162905527485099</v>
      </c>
      <c r="AA13" s="4">
        <f t="shared" si="8"/>
        <v>16474037.162529981</v>
      </c>
      <c r="AB13" s="4">
        <v>16866374.805661798</v>
      </c>
      <c r="AC13" s="4">
        <v>48</v>
      </c>
      <c r="AD13" s="14">
        <f t="shared" si="9"/>
        <v>35900221784.585335</v>
      </c>
      <c r="AE13" s="14">
        <f t="shared" si="10"/>
        <v>36755203976.498184</v>
      </c>
      <c r="AF13" s="14">
        <f t="shared" si="32"/>
        <v>99.753594923821296</v>
      </c>
      <c r="AG13" s="14">
        <f t="shared" si="11"/>
        <v>102.12927794190716</v>
      </c>
      <c r="AH13" s="14">
        <f t="shared" si="12"/>
        <v>2.2940999999999998</v>
      </c>
      <c r="AI13" s="14">
        <f t="shared" si="33"/>
        <v>101.9781294452347</v>
      </c>
      <c r="AJ13" s="14">
        <f t="shared" si="34"/>
        <v>101.72685015768955</v>
      </c>
      <c r="AK13" s="15">
        <f t="shared" si="35"/>
        <v>104.14952726108162</v>
      </c>
      <c r="AL13" s="22">
        <v>79.07123208187447</v>
      </c>
      <c r="AM13">
        <v>80.442533333333344</v>
      </c>
      <c r="AN13" s="14">
        <v>24288.027796333401</v>
      </c>
      <c r="AO13" s="3">
        <f t="shared" si="39"/>
        <v>0.18110301563446796</v>
      </c>
      <c r="AP13" s="32">
        <f t="shared" si="13"/>
        <v>8.0083368836623148E-3</v>
      </c>
      <c r="AQ13" s="14">
        <f t="shared" si="36"/>
        <v>22.582372454065734</v>
      </c>
      <c r="AR13" s="34">
        <f>(AR14-AO13*T13)/(1-AP13)</f>
        <v>3028559.6733438047</v>
      </c>
      <c r="AS13" s="4">
        <f t="shared" si="3"/>
        <v>2394719.4480477395</v>
      </c>
      <c r="AT13" s="4">
        <f t="shared" si="14"/>
        <v>2436250.1247494812</v>
      </c>
      <c r="AU13" s="4">
        <f t="shared" si="38"/>
        <v>102.4029253503298</v>
      </c>
      <c r="AV13" s="24">
        <f t="shared" si="15"/>
        <v>104.17885897357917</v>
      </c>
      <c r="AW13" s="22"/>
      <c r="BA13" t="e">
        <f t="shared" si="16"/>
        <v>#DIV/0!</v>
      </c>
      <c r="BB13" t="e">
        <f t="shared" si="17"/>
        <v>#DIV/0!</v>
      </c>
      <c r="BC13" t="e">
        <f t="shared" si="18"/>
        <v>#DIV/0!</v>
      </c>
      <c r="BD13" s="21">
        <f t="shared" si="19"/>
        <v>0.3335458443561336</v>
      </c>
      <c r="BE13" s="4">
        <f t="shared" si="20"/>
        <v>1.0639248838586357</v>
      </c>
      <c r="BF13" s="31">
        <f t="shared" si="37"/>
        <v>2.0566786718807961E-2</v>
      </c>
      <c r="BG13" s="4">
        <f t="shared" si="21"/>
        <v>108.46911513072308</v>
      </c>
      <c r="BH13" s="19">
        <f t="shared" si="22"/>
        <v>2.1651937171074831E-2</v>
      </c>
      <c r="BJ13" s="1">
        <v>38777</v>
      </c>
      <c r="BK13" s="42">
        <v>110.81768159653558</v>
      </c>
      <c r="BL13" s="42">
        <v>110.91746918133532</v>
      </c>
      <c r="BM13" s="42">
        <v>108.46911513072308</v>
      </c>
      <c r="BN13" s="43">
        <f t="shared" si="23"/>
        <v>-8.9965616359855005E-4</v>
      </c>
      <c r="BO13" s="43">
        <f t="shared" si="24"/>
        <v>2.1651937171074831E-2</v>
      </c>
    </row>
    <row r="14" spans="2:67" x14ac:dyDescent="0.3">
      <c r="B14">
        <f t="shared" si="25"/>
        <v>2004</v>
      </c>
      <c r="C14">
        <f t="shared" si="26"/>
        <v>10</v>
      </c>
      <c r="D14" s="1">
        <f t="shared" si="27"/>
        <v>38261</v>
      </c>
      <c r="E14">
        <f>_xlfn.XLOOKUP(D14,[1]nairu_estimates_v6!$A$2:$A$265,[1]nairu_estimates_v6!$P$2:$P$265)</f>
        <v>13.6561302547655</v>
      </c>
      <c r="F14">
        <f>_xlfn.XLOOKUP(D14,[1]nairu_estimates_v6!$A$2:$A$265,[1]nairu_estimates_v6!$V$2:$V$265)</f>
        <v>75.991793019763193</v>
      </c>
      <c r="G14">
        <v>18499214.67632525</v>
      </c>
      <c r="H14">
        <f t="shared" si="0"/>
        <v>0</v>
      </c>
      <c r="I14">
        <f t="shared" si="1"/>
        <v>0</v>
      </c>
      <c r="J14">
        <f t="shared" si="4"/>
        <v>0</v>
      </c>
      <c r="L14">
        <v>3.1810741871595397E-2</v>
      </c>
      <c r="M14">
        <v>76.555199999999999</v>
      </c>
      <c r="N14">
        <f t="shared" si="5"/>
        <v>0</v>
      </c>
      <c r="O14">
        <v>16033907.092457999</v>
      </c>
      <c r="Q14">
        <f t="shared" si="28"/>
        <v>2006</v>
      </c>
      <c r="R14">
        <f t="shared" si="29"/>
        <v>6</v>
      </c>
      <c r="S14" s="9">
        <f t="shared" si="30"/>
        <v>38869</v>
      </c>
      <c r="T14" s="13">
        <v>135947.44330000001</v>
      </c>
      <c r="U14" s="14">
        <v>135961.86612957774</v>
      </c>
      <c r="V14" s="32">
        <f t="shared" si="6"/>
        <v>-1.0607996189149205E-4</v>
      </c>
      <c r="W14" s="41">
        <f t="shared" si="7"/>
        <v>112.34651566830051</v>
      </c>
      <c r="X14" s="15">
        <f t="shared" si="31"/>
        <v>112.33459795419978</v>
      </c>
      <c r="Y14" s="17">
        <v>18915104.300695065</v>
      </c>
      <c r="Z14">
        <v>12.890687955397468</v>
      </c>
      <c r="AA14" s="4">
        <f t="shared" si="8"/>
        <v>16476817.228854498</v>
      </c>
      <c r="AB14" s="4">
        <v>17301695.889294501</v>
      </c>
      <c r="AC14" s="4">
        <v>48</v>
      </c>
      <c r="AD14" s="14">
        <f t="shared" si="9"/>
        <v>35906280105.11972</v>
      </c>
      <c r="AE14" s="14">
        <f t="shared" si="10"/>
        <v>37703855681.950577</v>
      </c>
      <c r="AF14" s="14">
        <f t="shared" si="32"/>
        <v>99.770428782289684</v>
      </c>
      <c r="AG14" s="14">
        <f t="shared" si="11"/>
        <v>104.7652343022136</v>
      </c>
      <c r="AH14" s="14">
        <f t="shared" si="12"/>
        <v>2.2940999999999998</v>
      </c>
      <c r="AI14" s="14">
        <f t="shared" si="33"/>
        <v>101.9781294452347</v>
      </c>
      <c r="AJ14" s="14">
        <f t="shared" si="34"/>
        <v>101.74401701166907</v>
      </c>
      <c r="AK14" s="15">
        <f t="shared" si="35"/>
        <v>106.83762625031481</v>
      </c>
      <c r="AL14" s="22">
        <v>79.635938717161764</v>
      </c>
      <c r="AM14">
        <v>80.766566666666662</v>
      </c>
      <c r="AN14" s="14">
        <v>24254.000835659801</v>
      </c>
      <c r="AO14" s="3">
        <f t="shared" si="39"/>
        <v>0.17840718623988863</v>
      </c>
      <c r="AP14" s="32">
        <f t="shared" si="13"/>
        <v>8.0083368836623148E-3</v>
      </c>
      <c r="AQ14" s="14">
        <f>AO14/AP14</f>
        <v>22.277682474104505</v>
      </c>
      <c r="AR14" s="4">
        <f>AQ14*T14</f>
        <v>3028593.9750037263</v>
      </c>
      <c r="AS14" s="4">
        <f t="shared" si="3"/>
        <v>2411849.2419256209</v>
      </c>
      <c r="AT14" s="4">
        <f t="shared" si="14"/>
        <v>2446091.3718840345</v>
      </c>
      <c r="AU14" s="4">
        <f t="shared" si="38"/>
        <v>103.1354291119597</v>
      </c>
      <c r="AV14" s="24">
        <f t="shared" si="15"/>
        <v>104.59969010538268</v>
      </c>
      <c r="AW14" s="22"/>
      <c r="BA14" t="e">
        <f t="shared" si="16"/>
        <v>#DIV/0!</v>
      </c>
      <c r="BB14" t="e">
        <f t="shared" si="17"/>
        <v>#DIV/0!</v>
      </c>
      <c r="BC14" t="e">
        <f t="shared" si="18"/>
        <v>#DIV/0!</v>
      </c>
      <c r="BD14" s="21">
        <f t="shared" si="19"/>
        <v>0.3335458443561336</v>
      </c>
      <c r="BE14" s="4">
        <f t="shared" si="20"/>
        <v>1.0589022465334059</v>
      </c>
      <c r="BF14" s="31">
        <f t="shared" si="37"/>
        <v>-4.7208570843965125E-3</v>
      </c>
      <c r="BG14" s="4">
        <f t="shared" si="21"/>
        <v>108.22618176734635</v>
      </c>
      <c r="BH14" s="19">
        <f t="shared" si="22"/>
        <v>3.7961389007377999E-2</v>
      </c>
      <c r="BJ14" s="1">
        <v>38869</v>
      </c>
      <c r="BK14" s="42">
        <v>112.33459795419978</v>
      </c>
      <c r="BL14" s="42">
        <v>112.34651566830051</v>
      </c>
      <c r="BM14" s="42">
        <v>108.22618176734635</v>
      </c>
      <c r="BN14" s="43">
        <f t="shared" si="23"/>
        <v>-1.0607996189149205E-4</v>
      </c>
      <c r="BO14" s="43">
        <f t="shared" si="24"/>
        <v>3.7961389007377999E-2</v>
      </c>
    </row>
    <row r="15" spans="2:67" x14ac:dyDescent="0.3">
      <c r="B15">
        <f t="shared" si="25"/>
        <v>2004</v>
      </c>
      <c r="C15">
        <f t="shared" si="26"/>
        <v>11</v>
      </c>
      <c r="D15" s="1">
        <f t="shared" si="27"/>
        <v>38292</v>
      </c>
      <c r="E15">
        <f>_xlfn.XLOOKUP(D15,[1]nairu_estimates_v6!$A$2:$A$265,[1]nairu_estimates_v6!$P$2:$P$265)</f>
        <v>13.7108210750201</v>
      </c>
      <c r="F15">
        <f>_xlfn.XLOOKUP(D15,[1]nairu_estimates_v6!$A$2:$A$265,[1]nairu_estimates_v6!$V$2:$V$265)</f>
        <v>76.072011420026001</v>
      </c>
      <c r="G15">
        <v>18707419.385929659</v>
      </c>
      <c r="H15">
        <f t="shared" si="0"/>
        <v>0</v>
      </c>
      <c r="I15">
        <f t="shared" si="1"/>
        <v>0</v>
      </c>
      <c r="J15">
        <f t="shared" si="4"/>
        <v>0</v>
      </c>
      <c r="L15">
        <v>3.1810741871595397E-2</v>
      </c>
      <c r="M15">
        <v>77.504499999999993</v>
      </c>
      <c r="N15">
        <f t="shared" si="5"/>
        <v>0</v>
      </c>
      <c r="O15">
        <v>16268131.2756132</v>
      </c>
      <c r="Q15">
        <f t="shared" si="28"/>
        <v>2006</v>
      </c>
      <c r="R15">
        <f t="shared" si="29"/>
        <v>9</v>
      </c>
      <c r="S15" s="9">
        <f t="shared" si="30"/>
        <v>38961</v>
      </c>
      <c r="T15" s="13">
        <v>138590.7887</v>
      </c>
      <c r="U15" s="14">
        <v>137678.31286388691</v>
      </c>
      <c r="V15" s="32">
        <f t="shared" si="6"/>
        <v>6.6275930982333531E-3</v>
      </c>
      <c r="W15" s="41">
        <f t="shared" si="7"/>
        <v>113.76483107849123</v>
      </c>
      <c r="X15" s="15">
        <f t="shared" si="31"/>
        <v>114.51881808776872</v>
      </c>
      <c r="Y15" s="17">
        <v>18645468.35198335</v>
      </c>
      <c r="Z15">
        <v>12.615354623206899</v>
      </c>
      <c r="AA15" s="4">
        <f t="shared" si="8"/>
        <v>16293276.398222839</v>
      </c>
      <c r="AB15" s="4">
        <v>15880895.4566468</v>
      </c>
      <c r="AC15" s="4">
        <v>48</v>
      </c>
      <c r="AD15" s="14">
        <f t="shared" si="9"/>
        <v>35506307927.00721</v>
      </c>
      <c r="AE15" s="14">
        <f t="shared" si="10"/>
        <v>34607647379.124702</v>
      </c>
      <c r="AF15" s="14">
        <f t="shared" si="32"/>
        <v>98.659052287859083</v>
      </c>
      <c r="AG15" s="14">
        <f t="shared" si="11"/>
        <v>96.162003082832101</v>
      </c>
      <c r="AH15" s="14">
        <f t="shared" si="12"/>
        <v>2.2940999999999998</v>
      </c>
      <c r="AI15" s="14">
        <f t="shared" si="33"/>
        <v>101.9781294452347</v>
      </c>
      <c r="AJ15" s="14">
        <f t="shared" si="34"/>
        <v>100.61065605155473</v>
      </c>
      <c r="AK15" s="15">
        <f t="shared" si="35"/>
        <v>98.06421198094111</v>
      </c>
      <c r="AL15" s="22">
        <v>80.279042881732082</v>
      </c>
      <c r="AM15">
        <v>83.759799999999998</v>
      </c>
      <c r="AN15" s="14">
        <v>25816.603060802601</v>
      </c>
      <c r="AO15" s="3">
        <f t="shared" si="39"/>
        <v>0.18627935740149662</v>
      </c>
      <c r="AP15" s="32">
        <f t="shared" si="13"/>
        <v>8.0083368836623148E-3</v>
      </c>
      <c r="AQ15" s="14">
        <f>AR15/T15</f>
        <v>21.852779707889248</v>
      </c>
      <c r="AR15" s="4">
        <f>(1-AP14)*AR14+AO14*T14</f>
        <v>3028593.9750037263</v>
      </c>
      <c r="AS15" s="4">
        <f t="shared" si="3"/>
        <v>2431326.2559067956</v>
      </c>
      <c r="AT15" s="4">
        <f t="shared" si="14"/>
        <v>2536744.2562751709</v>
      </c>
      <c r="AU15" s="4">
        <f t="shared" si="38"/>
        <v>103.96830463330211</v>
      </c>
      <c r="AV15" s="24">
        <f t="shared" si="15"/>
        <v>108.47618618539971</v>
      </c>
      <c r="AW15" s="22"/>
      <c r="BA15" t="e">
        <f t="shared" si="16"/>
        <v>#DIV/0!</v>
      </c>
      <c r="BB15" t="e">
        <f t="shared" si="17"/>
        <v>#DIV/0!</v>
      </c>
      <c r="BC15" t="e">
        <f t="shared" si="18"/>
        <v>#DIV/0!</v>
      </c>
      <c r="BD15" s="21">
        <f t="shared" si="19"/>
        <v>0.3335458443561336</v>
      </c>
      <c r="BE15" s="4">
        <f t="shared" si="20"/>
        <v>1.1291432594208519</v>
      </c>
      <c r="BF15" s="31">
        <f t="shared" si="37"/>
        <v>6.6333802876892944E-2</v>
      </c>
      <c r="BG15" s="4">
        <f t="shared" si="21"/>
        <v>114.85459746264357</v>
      </c>
      <c r="BH15" s="19">
        <f t="shared" si="22"/>
        <v>-2.9235170580268477E-3</v>
      </c>
      <c r="BJ15" s="1">
        <v>38961</v>
      </c>
      <c r="BK15" s="42">
        <v>114.51881808776872</v>
      </c>
      <c r="BL15" s="42">
        <v>113.76483107849123</v>
      </c>
      <c r="BM15" s="42">
        <v>114.85459746264357</v>
      </c>
      <c r="BN15" s="43">
        <f t="shared" si="23"/>
        <v>6.6275930982333531E-3</v>
      </c>
      <c r="BO15" s="43">
        <f t="shared" si="24"/>
        <v>-2.9235170580268477E-3</v>
      </c>
    </row>
    <row r="16" spans="2:67" x14ac:dyDescent="0.3">
      <c r="B16">
        <f t="shared" si="25"/>
        <v>2004</v>
      </c>
      <c r="C16">
        <f t="shared" si="26"/>
        <v>12</v>
      </c>
      <c r="D16" s="1">
        <f t="shared" si="27"/>
        <v>38322</v>
      </c>
      <c r="E16">
        <f>_xlfn.XLOOKUP(D16,[1]nairu_estimates_v6!$A$2:$A$265,[1]nairu_estimates_v6!$P$2:$P$265)</f>
        <v>13.7458423351818</v>
      </c>
      <c r="F16">
        <f>_xlfn.XLOOKUP(D16,[1]nairu_estimates_v6!$A$2:$A$265,[1]nairu_estimates_v6!$V$2:$V$265)</f>
        <v>76.257929203497696</v>
      </c>
      <c r="G16">
        <v>18512609.564547077</v>
      </c>
      <c r="H16">
        <f t="shared" si="0"/>
        <v>13.704264554989132</v>
      </c>
      <c r="I16">
        <f t="shared" si="1"/>
        <v>76.107244547762292</v>
      </c>
      <c r="J16">
        <f t="shared" si="4"/>
        <v>18573081.208933994</v>
      </c>
      <c r="L16">
        <v>3.1810741871595397E-2</v>
      </c>
      <c r="M16">
        <v>76.374899999999997</v>
      </c>
      <c r="N16">
        <f t="shared" si="5"/>
        <v>76.81153333333333</v>
      </c>
      <c r="O16">
        <v>16111315.6031476</v>
      </c>
      <c r="Q16">
        <f t="shared" si="28"/>
        <v>2006</v>
      </c>
      <c r="R16">
        <f t="shared" si="29"/>
        <v>12</v>
      </c>
      <c r="S16" s="9">
        <f t="shared" si="30"/>
        <v>39052</v>
      </c>
      <c r="T16" s="13">
        <v>140785.09830000001</v>
      </c>
      <c r="U16" s="14">
        <v>139378.30296893077</v>
      </c>
      <c r="V16" s="32">
        <f t="shared" si="6"/>
        <v>1.0093359591146989E-2</v>
      </c>
      <c r="W16" s="41">
        <f t="shared" si="7"/>
        <v>115.16954822756482</v>
      </c>
      <c r="X16" s="15">
        <f t="shared" si="31"/>
        <v>116.33199589177559</v>
      </c>
      <c r="Y16" s="17">
        <v>18183103.976329017</v>
      </c>
      <c r="Z16">
        <v>12.4075039541372</v>
      </c>
      <c r="AA16" s="4">
        <f t="shared" si="8"/>
        <v>15927034.631481117</v>
      </c>
      <c r="AB16" s="4">
        <v>15962582.235826699</v>
      </c>
      <c r="AC16" s="4">
        <v>48</v>
      </c>
      <c r="AD16" s="14">
        <f t="shared" si="9"/>
        <v>34708193868.923645</v>
      </c>
      <c r="AE16" s="14">
        <f t="shared" si="10"/>
        <v>34785659208.313538</v>
      </c>
      <c r="AF16" s="14">
        <f t="shared" si="32"/>
        <v>96.441385028564881</v>
      </c>
      <c r="AG16" s="14">
        <f t="shared" si="11"/>
        <v>96.656632893397116</v>
      </c>
      <c r="AH16" s="14">
        <f t="shared" si="12"/>
        <v>2.2940999999999998</v>
      </c>
      <c r="AI16" s="14">
        <f t="shared" si="33"/>
        <v>101.9781294452347</v>
      </c>
      <c r="AJ16" s="14">
        <f t="shared" si="34"/>
        <v>98.349120463207086</v>
      </c>
      <c r="AK16" s="15">
        <f t="shared" si="35"/>
        <v>98.568626209433802</v>
      </c>
      <c r="AL16" s="22">
        <v>81.211872348928992</v>
      </c>
      <c r="AM16">
        <v>81.06580000000001</v>
      </c>
      <c r="AN16" s="14">
        <v>27711.3683072042</v>
      </c>
      <c r="AO16" s="3">
        <f t="shared" si="39"/>
        <v>0.19683452753041972</v>
      </c>
      <c r="AP16" s="32">
        <f t="shared" si="13"/>
        <v>8.0083368836623148E-3</v>
      </c>
      <c r="AQ16" s="14">
        <f t="shared" si="36"/>
        <v>21.523276353949662</v>
      </c>
      <c r="AR16" s="4">
        <f t="shared" ref="AR16:AR79" si="40">(1-AP15)*AR15+AO15*T15</f>
        <v>3030156.5772288688</v>
      </c>
      <c r="AS16" s="4">
        <f t="shared" si="3"/>
        <v>2460846.891471785</v>
      </c>
      <c r="AT16" s="4">
        <f t="shared" si="14"/>
        <v>2456420.6705832006</v>
      </c>
      <c r="AU16" s="4">
        <f t="shared" si="38"/>
        <v>105.23066521692719</v>
      </c>
      <c r="AV16" s="24">
        <f t="shared" si="15"/>
        <v>105.04139128439731</v>
      </c>
      <c r="AW16" s="22"/>
      <c r="BA16" t="e">
        <f t="shared" si="16"/>
        <v>#DIV/0!</v>
      </c>
      <c r="BB16" t="e">
        <f t="shared" si="17"/>
        <v>#DIV/0!</v>
      </c>
      <c r="BC16" t="e">
        <f t="shared" si="18"/>
        <v>#DIV/0!</v>
      </c>
      <c r="BD16" s="21">
        <f t="shared" si="19"/>
        <v>0.3335458443561336</v>
      </c>
      <c r="BE16" s="4">
        <f t="shared" si="20"/>
        <v>1.1554398764102811</v>
      </c>
      <c r="BF16" s="31">
        <f t="shared" si="37"/>
        <v>2.3288999664149879E-2</v>
      </c>
      <c r="BG16" s="4">
        <f t="shared" si="21"/>
        <v>116.2290493855611</v>
      </c>
      <c r="BH16" s="19">
        <f t="shared" si="22"/>
        <v>8.8572096871408768E-4</v>
      </c>
      <c r="BJ16" s="1">
        <v>39052</v>
      </c>
      <c r="BK16" s="42">
        <v>116.33199589177559</v>
      </c>
      <c r="BL16" s="42">
        <v>115.16954822756482</v>
      </c>
      <c r="BM16" s="42">
        <v>116.2290493855611</v>
      </c>
      <c r="BN16" s="43">
        <f t="shared" si="23"/>
        <v>1.0093359591147211E-2</v>
      </c>
      <c r="BO16" s="43">
        <f t="shared" si="24"/>
        <v>8.8572096871408768E-4</v>
      </c>
    </row>
    <row r="17" spans="2:67" x14ac:dyDescent="0.3">
      <c r="B17">
        <f t="shared" si="25"/>
        <v>2005</v>
      </c>
      <c r="C17">
        <f t="shared" si="26"/>
        <v>1</v>
      </c>
      <c r="D17" s="1">
        <f t="shared" si="27"/>
        <v>38353</v>
      </c>
      <c r="E17">
        <f>_xlfn.XLOOKUP(D17,[1]nairu_estimates_v6!$A$2:$A$265,[1]nairu_estimates_v6!$P$2:$P$265)</f>
        <v>13.775357366934101</v>
      </c>
      <c r="F17">
        <f>_xlfn.XLOOKUP(D17,[1]nairu_estimates_v6!$A$2:$A$265,[1]nairu_estimates_v6!$V$2:$V$265)</f>
        <v>76.2514600033455</v>
      </c>
      <c r="G17">
        <v>18631008.316909872</v>
      </c>
      <c r="H17">
        <f t="shared" si="0"/>
        <v>0</v>
      </c>
      <c r="I17">
        <f t="shared" si="1"/>
        <v>0</v>
      </c>
      <c r="J17">
        <f t="shared" si="4"/>
        <v>0</v>
      </c>
      <c r="K17">
        <v>2.2717000000000001</v>
      </c>
      <c r="L17">
        <v>3.1943887472152703E-2</v>
      </c>
      <c r="M17">
        <v>75.153099999999995</v>
      </c>
      <c r="N17">
        <f t="shared" si="5"/>
        <v>0</v>
      </c>
      <c r="O17">
        <v>16546658.551480101</v>
      </c>
      <c r="Q17">
        <f t="shared" si="28"/>
        <v>2007</v>
      </c>
      <c r="R17">
        <f t="shared" si="29"/>
        <v>3</v>
      </c>
      <c r="S17" s="9">
        <f t="shared" si="30"/>
        <v>39142</v>
      </c>
      <c r="T17" s="13">
        <v>143227.8113</v>
      </c>
      <c r="U17" s="14">
        <v>141058.93687273489</v>
      </c>
      <c r="V17" s="32">
        <f t="shared" si="6"/>
        <v>1.5375661233161697E-2</v>
      </c>
      <c r="W17" s="41">
        <f t="shared" si="7"/>
        <v>116.55827117305941</v>
      </c>
      <c r="X17" s="15">
        <f t="shared" si="31"/>
        <v>118.35043166453936</v>
      </c>
      <c r="Y17" s="17">
        <v>18462265.755727589</v>
      </c>
      <c r="Z17">
        <v>12.263207023254301</v>
      </c>
      <c r="AA17" s="4">
        <f t="shared" si="8"/>
        <v>16198199.88491933</v>
      </c>
      <c r="AB17" s="4">
        <v>16172366.971293001</v>
      </c>
      <c r="AC17" s="4">
        <v>48</v>
      </c>
      <c r="AD17" s="14">
        <f t="shared" si="9"/>
        <v>35299117189.216202</v>
      </c>
      <c r="AE17" s="14">
        <f t="shared" si="10"/>
        <v>35242822103.841705</v>
      </c>
      <c r="AF17" s="14">
        <f t="shared" si="32"/>
        <v>98.083344955085821</v>
      </c>
      <c r="AG17" s="14">
        <f t="shared" si="11"/>
        <v>97.926921488502657</v>
      </c>
      <c r="AH17" s="14">
        <f t="shared" si="12"/>
        <v>2.3168000000000002</v>
      </c>
      <c r="AI17" s="14">
        <f t="shared" si="33"/>
        <v>102.98719772403983</v>
      </c>
      <c r="AJ17" s="14">
        <f t="shared" si="34"/>
        <v>101.01328840324628</v>
      </c>
      <c r="AK17" s="15">
        <f t="shared" si="35"/>
        <v>100.85219225842948</v>
      </c>
      <c r="AL17" s="22">
        <v>81.559994390214968</v>
      </c>
      <c r="AM17">
        <v>81.703466666666671</v>
      </c>
      <c r="AN17" s="14">
        <v>30786.9653037057</v>
      </c>
      <c r="AO17" s="3">
        <f t="shared" si="39"/>
        <v>0.21495102818558326</v>
      </c>
      <c r="AP17" s="32">
        <f t="shared" si="13"/>
        <v>8.1901524702330253E-3</v>
      </c>
      <c r="AQ17" s="14">
        <f t="shared" si="36"/>
        <v>21.180254053462445</v>
      </c>
      <c r="AR17" s="4">
        <f t="shared" si="40"/>
        <v>3033601.430855379</v>
      </c>
      <c r="AS17" s="4">
        <f t="shared" si="3"/>
        <v>2474205.156827128</v>
      </c>
      <c r="AT17" s="4">
        <f t="shared" si="14"/>
        <v>2478557.5338584478</v>
      </c>
      <c r="AU17" s="4">
        <f t="shared" si="38"/>
        <v>105.80189098247909</v>
      </c>
      <c r="AV17" s="24">
        <f t="shared" si="15"/>
        <v>105.98800720607183</v>
      </c>
      <c r="AW17" s="22"/>
      <c r="BA17" t="e">
        <f t="shared" si="16"/>
        <v>#DIV/0!</v>
      </c>
      <c r="BB17" t="e">
        <f t="shared" si="17"/>
        <v>#DIV/0!</v>
      </c>
      <c r="BC17" t="e">
        <f t="shared" si="18"/>
        <v>#DIV/0!</v>
      </c>
      <c r="BD17" s="21">
        <f t="shared" si="19"/>
        <v>0.3335458443561336</v>
      </c>
      <c r="BE17" s="4">
        <f t="shared" si="20"/>
        <v>1.154222292322473</v>
      </c>
      <c r="BF17" s="31">
        <f t="shared" si="37"/>
        <v>-1.0537840286340971E-3</v>
      </c>
      <c r="BG17" s="4">
        <f t="shared" si="21"/>
        <v>118.40695572849651</v>
      </c>
      <c r="BH17" s="19">
        <f t="shared" si="22"/>
        <v>-4.773711443673001E-4</v>
      </c>
      <c r="BJ17" s="1">
        <v>39142</v>
      </c>
      <c r="BK17" s="42">
        <v>118.35043166453936</v>
      </c>
      <c r="BL17" s="42">
        <v>116.55827117305941</v>
      </c>
      <c r="BM17" s="42">
        <v>118.40695572849651</v>
      </c>
      <c r="BN17" s="43">
        <f t="shared" si="23"/>
        <v>1.5375661233161697E-2</v>
      </c>
      <c r="BO17" s="43">
        <f t="shared" si="24"/>
        <v>-4.773711443673001E-4</v>
      </c>
    </row>
    <row r="18" spans="2:67" x14ac:dyDescent="0.3">
      <c r="B18">
        <f t="shared" si="25"/>
        <v>2005</v>
      </c>
      <c r="C18">
        <f t="shared" si="26"/>
        <v>2</v>
      </c>
      <c r="D18" s="1">
        <f t="shared" si="27"/>
        <v>38384</v>
      </c>
      <c r="E18">
        <f>_xlfn.XLOOKUP(D18,[1]nairu_estimates_v6!$A$2:$A$265,[1]nairu_estimates_v6!$P$2:$P$265)</f>
        <v>13.753181871806101</v>
      </c>
      <c r="F18">
        <f>_xlfn.XLOOKUP(D18,[1]nairu_estimates_v6!$A$2:$A$265,[1]nairu_estimates_v6!$V$2:$V$265)</f>
        <v>76.132291775560503</v>
      </c>
      <c r="G18">
        <v>18633520.56925102</v>
      </c>
      <c r="H18">
        <f t="shared" si="0"/>
        <v>0</v>
      </c>
      <c r="I18">
        <f t="shared" si="1"/>
        <v>0</v>
      </c>
      <c r="J18">
        <f t="shared" si="4"/>
        <v>0</v>
      </c>
      <c r="L18">
        <v>3.1943887472152703E-2</v>
      </c>
      <c r="M18">
        <v>76.2072</v>
      </c>
      <c r="N18">
        <f t="shared" si="5"/>
        <v>0</v>
      </c>
      <c r="O18">
        <v>16249307.9718576</v>
      </c>
      <c r="Q18">
        <f t="shared" si="28"/>
        <v>2007</v>
      </c>
      <c r="R18">
        <f t="shared" si="29"/>
        <v>6</v>
      </c>
      <c r="S18" s="9">
        <f t="shared" si="30"/>
        <v>39234</v>
      </c>
      <c r="T18" s="13">
        <v>145127.56390000001</v>
      </c>
      <c r="U18" s="14">
        <v>142718.19425040676</v>
      </c>
      <c r="V18" s="32">
        <f t="shared" si="6"/>
        <v>1.6882007667262666E-2</v>
      </c>
      <c r="W18" s="41">
        <f t="shared" si="7"/>
        <v>117.9293305023032</v>
      </c>
      <c r="X18" s="15">
        <f t="shared" si="31"/>
        <v>119.92021436403826</v>
      </c>
      <c r="Y18" s="17">
        <v>18776179.456218001</v>
      </c>
      <c r="Z18">
        <v>12.139427908304768</v>
      </c>
      <c r="AA18" s="4">
        <f t="shared" si="8"/>
        <v>16496858.687196486</v>
      </c>
      <c r="AB18" s="4">
        <v>16663650.714743998</v>
      </c>
      <c r="AC18" s="4">
        <v>48</v>
      </c>
      <c r="AD18" s="14">
        <f t="shared" si="9"/>
        <v>35949954451.13858</v>
      </c>
      <c r="AE18" s="14">
        <f t="shared" si="10"/>
        <v>36313427637.570114</v>
      </c>
      <c r="AF18" s="14">
        <f t="shared" si="32"/>
        <v>99.89178382704317</v>
      </c>
      <c r="AG18" s="14">
        <f t="shared" si="11"/>
        <v>100.90174296385636</v>
      </c>
      <c r="AH18" s="14">
        <f t="shared" si="12"/>
        <v>2.3168000000000002</v>
      </c>
      <c r="AI18" s="14">
        <f t="shared" si="33"/>
        <v>102.98719772403983</v>
      </c>
      <c r="AJ18" s="14">
        <f t="shared" si="34"/>
        <v>102.87574892002741</v>
      </c>
      <c r="AK18" s="15">
        <f t="shared" si="35"/>
        <v>103.91587753318919</v>
      </c>
      <c r="AL18" s="22">
        <v>81.444791550532003</v>
      </c>
      <c r="AM18">
        <v>82.004300000000001</v>
      </c>
      <c r="AN18" s="14">
        <v>30355.3598653917</v>
      </c>
      <c r="AO18" s="3">
        <f t="shared" si="39"/>
        <v>0.20916329778888887</v>
      </c>
      <c r="AP18" s="32">
        <f t="shared" si="13"/>
        <v>8.1901524702330253E-3</v>
      </c>
      <c r="AQ18" s="14">
        <f t="shared" si="36"/>
        <v>20.943938258350808</v>
      </c>
      <c r="AR18" s="4">
        <f t="shared" si="40"/>
        <v>3039542.737906462</v>
      </c>
      <c r="AS18" s="4">
        <f t="shared" si="3"/>
        <v>2475549.246977251</v>
      </c>
      <c r="AT18" s="4">
        <f t="shared" si="14"/>
        <v>2492555.7454210287</v>
      </c>
      <c r="AU18" s="4">
        <f t="shared" si="38"/>
        <v>105.85936692748777</v>
      </c>
      <c r="AV18" s="24">
        <f t="shared" si="15"/>
        <v>106.58659833324946</v>
      </c>
      <c r="AW18" s="22"/>
      <c r="BA18" t="e">
        <f t="shared" si="16"/>
        <v>#DIV/0!</v>
      </c>
      <c r="BB18" t="e">
        <f t="shared" si="17"/>
        <v>#DIV/0!</v>
      </c>
      <c r="BC18" t="e">
        <f t="shared" si="18"/>
        <v>#DIV/0!</v>
      </c>
      <c r="BD18" s="21">
        <f t="shared" si="19"/>
        <v>0.3335458443561336</v>
      </c>
      <c r="BE18" s="4">
        <f t="shared" si="20"/>
        <v>1.1442859894279405</v>
      </c>
      <c r="BF18" s="31">
        <f t="shared" si="37"/>
        <v>-8.6086562013449885E-3</v>
      </c>
      <c r="BG18" s="4">
        <f t="shared" si="21"/>
        <v>118.84720969874053</v>
      </c>
      <c r="BH18" s="19">
        <f t="shared" si="22"/>
        <v>9.0284380089160621E-3</v>
      </c>
      <c r="BJ18" s="1">
        <v>39234</v>
      </c>
      <c r="BK18" s="42">
        <v>119.92021436403826</v>
      </c>
      <c r="BL18" s="42">
        <v>117.9293305023032</v>
      </c>
      <c r="BM18" s="42">
        <v>118.84720969874053</v>
      </c>
      <c r="BN18" s="43">
        <f t="shared" si="23"/>
        <v>1.6882007667262888E-2</v>
      </c>
      <c r="BO18" s="43">
        <f t="shared" si="24"/>
        <v>9.0284380089160621E-3</v>
      </c>
    </row>
    <row r="19" spans="2:67" x14ac:dyDescent="0.3">
      <c r="B19">
        <f t="shared" si="25"/>
        <v>2005</v>
      </c>
      <c r="C19">
        <f t="shared" si="26"/>
        <v>3</v>
      </c>
      <c r="D19" s="1">
        <f t="shared" si="27"/>
        <v>38412</v>
      </c>
      <c r="E19">
        <f>_xlfn.XLOOKUP(D19,[1]nairu_estimates_v6!$A$2:$A$265,[1]nairu_estimates_v6!$P$2:$P$265)</f>
        <v>13.728116976185101</v>
      </c>
      <c r="F19">
        <f>_xlfn.XLOOKUP(D19,[1]nairu_estimates_v6!$A$2:$A$265,[1]nairu_estimates_v6!$V$2:$V$265)</f>
        <v>76.159155042073493</v>
      </c>
      <c r="G19">
        <v>18598538.898759231</v>
      </c>
      <c r="H19">
        <f t="shared" si="0"/>
        <v>13.752218738308434</v>
      </c>
      <c r="I19">
        <f t="shared" si="1"/>
        <v>76.180968940326508</v>
      </c>
      <c r="J19">
        <f t="shared" si="4"/>
        <v>18621022.594973374</v>
      </c>
      <c r="L19">
        <v>3.1943887472152703E-2</v>
      </c>
      <c r="M19">
        <v>77.914000000000001</v>
      </c>
      <c r="N19">
        <f t="shared" si="5"/>
        <v>76.424766666666656</v>
      </c>
      <c r="O19">
        <v>16125028.5715436</v>
      </c>
      <c r="Q19">
        <f t="shared" si="28"/>
        <v>2007</v>
      </c>
      <c r="R19">
        <f t="shared" si="29"/>
        <v>9</v>
      </c>
      <c r="S19" s="9">
        <f t="shared" si="30"/>
        <v>39326</v>
      </c>
      <c r="T19" s="13">
        <v>148141.4186</v>
      </c>
      <c r="U19" s="14">
        <v>144355.41032357089</v>
      </c>
      <c r="V19" s="32">
        <f t="shared" si="6"/>
        <v>2.62269925868579E-2</v>
      </c>
      <c r="W19" s="41">
        <f t="shared" si="7"/>
        <v>119.28217690293168</v>
      </c>
      <c r="X19" s="15">
        <f t="shared" si="31"/>
        <v>122.41058967230913</v>
      </c>
      <c r="Y19" s="17">
        <v>18757446.460656021</v>
      </c>
      <c r="Z19">
        <v>12.022991633233433</v>
      </c>
      <c r="AA19" s="4">
        <f t="shared" si="8"/>
        <v>16502240.242083106</v>
      </c>
      <c r="AB19" s="4">
        <v>16775494.512435401</v>
      </c>
      <c r="AC19" s="4">
        <v>48</v>
      </c>
      <c r="AD19" s="14">
        <f t="shared" si="9"/>
        <v>35961681935.547508</v>
      </c>
      <c r="AE19" s="14">
        <f t="shared" si="10"/>
        <v>36557157641.499229</v>
      </c>
      <c r="AF19" s="14">
        <f t="shared" si="32"/>
        <v>99.924370219857778</v>
      </c>
      <c r="AG19" s="14">
        <f t="shared" si="11"/>
        <v>101.57897956224322</v>
      </c>
      <c r="AH19" s="14">
        <f t="shared" si="12"/>
        <v>2.3168000000000002</v>
      </c>
      <c r="AI19" s="14">
        <f t="shared" si="33"/>
        <v>102.98719772403983</v>
      </c>
      <c r="AJ19" s="14">
        <f t="shared" si="34"/>
        <v>102.9093087328265</v>
      </c>
      <c r="AK19" s="15">
        <f t="shared" si="35"/>
        <v>104.61334452782943</v>
      </c>
      <c r="AL19" s="22">
        <v>81.600319906106463</v>
      </c>
      <c r="AM19">
        <v>82.735266666666675</v>
      </c>
      <c r="AN19" s="14">
        <v>30625.902266997298</v>
      </c>
      <c r="AO19" s="3">
        <f t="shared" si="39"/>
        <v>0.20673423109097525</v>
      </c>
      <c r="AP19" s="32">
        <f t="shared" si="13"/>
        <v>8.1901524702330253E-3</v>
      </c>
      <c r="AQ19" s="14">
        <f t="shared" si="36"/>
        <v>20.554709196693288</v>
      </c>
      <c r="AR19" s="4">
        <f t="shared" si="40"/>
        <v>3045003.7793086101</v>
      </c>
      <c r="AS19" s="4">
        <f t="shared" si="3"/>
        <v>2484732.825068858</v>
      </c>
      <c r="AT19" s="4">
        <f t="shared" si="14"/>
        <v>2519291.9968210571</v>
      </c>
      <c r="AU19" s="4">
        <f t="shared" si="38"/>
        <v>106.25207483426591</v>
      </c>
      <c r="AV19" s="24">
        <f t="shared" si="15"/>
        <v>107.7298931599135</v>
      </c>
      <c r="AW19" s="22"/>
      <c r="BA19" t="e">
        <f t="shared" si="16"/>
        <v>#DIV/0!</v>
      </c>
      <c r="BB19" t="e">
        <f t="shared" si="17"/>
        <v>#DIV/0!</v>
      </c>
      <c r="BC19" t="e">
        <f t="shared" si="18"/>
        <v>#DIV/0!</v>
      </c>
      <c r="BD19" s="21">
        <f t="shared" si="19"/>
        <v>0.3335458443561336</v>
      </c>
      <c r="BE19" s="4">
        <f t="shared" si="20"/>
        <v>1.1587226055600859</v>
      </c>
      <c r="BF19" s="31">
        <f t="shared" si="37"/>
        <v>1.2616265746085542E-2</v>
      </c>
      <c r="BG19" s="4">
        <f t="shared" si="21"/>
        <v>120.52154130790117</v>
      </c>
      <c r="BH19" s="19">
        <f t="shared" si="22"/>
        <v>1.567394794248389E-2</v>
      </c>
      <c r="BJ19" s="1">
        <v>39326</v>
      </c>
      <c r="BK19" s="42">
        <v>122.41058967230913</v>
      </c>
      <c r="BL19" s="42">
        <v>119.28217690293168</v>
      </c>
      <c r="BM19" s="42">
        <v>120.52154130790117</v>
      </c>
      <c r="BN19" s="43">
        <f t="shared" si="23"/>
        <v>2.6226992586857678E-2</v>
      </c>
      <c r="BO19" s="43">
        <f t="shared" si="24"/>
        <v>1.567394794248389E-2</v>
      </c>
    </row>
    <row r="20" spans="2:67" x14ac:dyDescent="0.3">
      <c r="B20">
        <f t="shared" si="25"/>
        <v>2005</v>
      </c>
      <c r="C20">
        <f t="shared" si="26"/>
        <v>4</v>
      </c>
      <c r="D20" s="1">
        <f t="shared" si="27"/>
        <v>38443</v>
      </c>
      <c r="E20">
        <f>_xlfn.XLOOKUP(D20,[1]nairu_estimates_v6!$A$2:$A$265,[1]nairu_estimates_v6!$P$2:$P$265)</f>
        <v>13.711271765540801</v>
      </c>
      <c r="F20">
        <f>_xlfn.XLOOKUP(D20,[1]nairu_estimates_v6!$A$2:$A$265,[1]nairu_estimates_v6!$V$2:$V$265)</f>
        <v>76.392153035066698</v>
      </c>
      <c r="G20">
        <v>18620933.64339846</v>
      </c>
      <c r="H20">
        <f t="shared" si="0"/>
        <v>0</v>
      </c>
      <c r="I20">
        <f t="shared" si="1"/>
        <v>0</v>
      </c>
      <c r="J20">
        <f t="shared" si="4"/>
        <v>0</v>
      </c>
      <c r="L20">
        <v>3.1943887472152703E-2</v>
      </c>
      <c r="M20">
        <v>79.0227</v>
      </c>
      <c r="N20">
        <f t="shared" si="5"/>
        <v>0</v>
      </c>
      <c r="O20">
        <v>16426972.987297101</v>
      </c>
      <c r="Q20">
        <f t="shared" si="28"/>
        <v>2007</v>
      </c>
      <c r="R20">
        <f t="shared" si="29"/>
        <v>12</v>
      </c>
      <c r="S20" s="9">
        <f t="shared" si="30"/>
        <v>39417</v>
      </c>
      <c r="T20" s="13">
        <v>149960.20610000001</v>
      </c>
      <c r="U20" s="14">
        <v>145971.42616988279</v>
      </c>
      <c r="V20" s="32">
        <f t="shared" si="6"/>
        <v>2.7325758436278047E-2</v>
      </c>
      <c r="W20" s="41">
        <f t="shared" si="7"/>
        <v>120.61750536499376</v>
      </c>
      <c r="X20" s="15">
        <f t="shared" si="31"/>
        <v>123.91347017978407</v>
      </c>
      <c r="Y20" s="17">
        <v>19094498.994065087</v>
      </c>
      <c r="Z20">
        <v>11.923581433281134</v>
      </c>
      <c r="AA20" s="4">
        <f t="shared" si="8"/>
        <v>16817750.857230689</v>
      </c>
      <c r="AB20" s="4">
        <v>16800046.987265401</v>
      </c>
      <c r="AC20" s="4">
        <v>48</v>
      </c>
      <c r="AD20" s="14">
        <f t="shared" si="9"/>
        <v>36649242668.077118</v>
      </c>
      <c r="AE20" s="14">
        <f t="shared" si="10"/>
        <v>36610662394.648758</v>
      </c>
      <c r="AF20" s="14">
        <f t="shared" si="32"/>
        <v>101.83485019432229</v>
      </c>
      <c r="AG20" s="14">
        <f t="shared" si="11"/>
        <v>101.72764971543064</v>
      </c>
      <c r="AH20" s="14">
        <f t="shared" si="12"/>
        <v>2.3168000000000002</v>
      </c>
      <c r="AI20" s="14">
        <f t="shared" si="33"/>
        <v>102.98719772403983</v>
      </c>
      <c r="AJ20" s="14">
        <f t="shared" si="34"/>
        <v>104.87685852160645</v>
      </c>
      <c r="AK20" s="15">
        <f t="shared" si="35"/>
        <v>104.7664557524492</v>
      </c>
      <c r="AL20" s="22">
        <v>81.961850710382905</v>
      </c>
      <c r="AM20">
        <v>79.512533333333337</v>
      </c>
      <c r="AN20" s="14">
        <v>30604.772563905299</v>
      </c>
      <c r="AO20" s="3">
        <f t="shared" si="39"/>
        <v>0.2040859596011538</v>
      </c>
      <c r="AP20" s="32">
        <f t="shared" si="13"/>
        <v>8.1901524702330253E-3</v>
      </c>
      <c r="AQ20" s="14">
        <f t="shared" si="36"/>
        <v>20.343334513132774</v>
      </c>
      <c r="AR20" s="4">
        <f t="shared" si="40"/>
        <v>3050690.636350634</v>
      </c>
      <c r="AS20" s="4">
        <f t="shared" si="3"/>
        <v>2500402.5050013368</v>
      </c>
      <c r="AT20" s="4">
        <f t="shared" si="14"/>
        <v>2425681.4091251767</v>
      </c>
      <c r="AU20" s="4">
        <f t="shared" si="38"/>
        <v>106.92214124463281</v>
      </c>
      <c r="AV20" s="24">
        <f t="shared" si="15"/>
        <v>103.72691985477891</v>
      </c>
      <c r="AW20" s="22"/>
      <c r="BA20" t="e">
        <f t="shared" si="16"/>
        <v>#DIV/0!</v>
      </c>
      <c r="BB20" t="e">
        <f t="shared" si="17"/>
        <v>#DIV/0!</v>
      </c>
      <c r="BC20" t="e">
        <f t="shared" si="18"/>
        <v>#DIV/0!</v>
      </c>
      <c r="BD20" s="21">
        <f t="shared" si="19"/>
        <v>0.3335458443561336</v>
      </c>
      <c r="BE20" s="4">
        <f t="shared" si="20"/>
        <v>1.1866995506384772</v>
      </c>
      <c r="BF20" s="31">
        <f t="shared" si="37"/>
        <v>2.4144644235078339E-2</v>
      </c>
      <c r="BG20" s="4">
        <f t="shared" si="21"/>
        <v>125.26167735351174</v>
      </c>
      <c r="BH20" s="19">
        <f t="shared" si="22"/>
        <v>-1.0763125659915773E-2</v>
      </c>
      <c r="BJ20" s="1">
        <v>39417</v>
      </c>
      <c r="BK20" s="42">
        <v>123.91347017978407</v>
      </c>
      <c r="BL20" s="42">
        <v>120.61750536499376</v>
      </c>
      <c r="BM20" s="42">
        <v>125.26167735351174</v>
      </c>
      <c r="BN20" s="43">
        <f t="shared" si="23"/>
        <v>2.7325758436278269E-2</v>
      </c>
      <c r="BO20" s="43">
        <f t="shared" si="24"/>
        <v>-1.0763125659915773E-2</v>
      </c>
    </row>
    <row r="21" spans="2:67" x14ac:dyDescent="0.3">
      <c r="B21">
        <f t="shared" si="25"/>
        <v>2005</v>
      </c>
      <c r="C21">
        <f t="shared" si="26"/>
        <v>5</v>
      </c>
      <c r="D21" s="1">
        <f t="shared" si="27"/>
        <v>38473</v>
      </c>
      <c r="E21">
        <f>_xlfn.XLOOKUP(D21,[1]nairu_estimates_v6!$A$2:$A$265,[1]nairu_estimates_v6!$P$2:$P$265)</f>
        <v>13.6877638007551</v>
      </c>
      <c r="F21">
        <f>_xlfn.XLOOKUP(D21,[1]nairu_estimates_v6!$A$2:$A$265,[1]nairu_estimates_v6!$V$2:$V$265)</f>
        <v>76.729923928900703</v>
      </c>
      <c r="G21">
        <v>18795707.222753271</v>
      </c>
      <c r="H21">
        <f t="shared" si="0"/>
        <v>0</v>
      </c>
      <c r="I21">
        <f t="shared" si="1"/>
        <v>0</v>
      </c>
      <c r="J21">
        <f t="shared" si="4"/>
        <v>0</v>
      </c>
      <c r="L21">
        <v>3.1943887472152703E-2</v>
      </c>
      <c r="M21">
        <v>79.105900000000005</v>
      </c>
      <c r="N21">
        <f t="shared" si="5"/>
        <v>0</v>
      </c>
      <c r="O21">
        <v>16432497.9458206</v>
      </c>
      <c r="Q21">
        <f t="shared" si="28"/>
        <v>2008</v>
      </c>
      <c r="R21">
        <f t="shared" si="29"/>
        <v>3</v>
      </c>
      <c r="S21" s="9">
        <f t="shared" si="30"/>
        <v>39508</v>
      </c>
      <c r="T21" s="13">
        <v>150594.88690000001</v>
      </c>
      <c r="U21" s="14">
        <v>147569.44912217077</v>
      </c>
      <c r="V21" s="32">
        <f t="shared" si="6"/>
        <v>2.0501789468120313E-2</v>
      </c>
      <c r="W21" s="41">
        <f t="shared" si="7"/>
        <v>121.93796613651939</v>
      </c>
      <c r="X21" s="15">
        <f t="shared" si="31"/>
        <v>124.4379126464211</v>
      </c>
      <c r="Y21" s="17">
        <v>19172971.89420763</v>
      </c>
      <c r="Z21">
        <v>11.842273786599032</v>
      </c>
      <c r="AA21" s="4">
        <f t="shared" si="8"/>
        <v>16902456.06946788</v>
      </c>
      <c r="AB21" s="4">
        <v>17168918.243910898</v>
      </c>
      <c r="AC21" s="4">
        <v>48</v>
      </c>
      <c r="AD21" s="14">
        <f t="shared" si="9"/>
        <v>36833832266.584404</v>
      </c>
      <c r="AE21" s="14">
        <f t="shared" si="10"/>
        <v>37414506637.13063</v>
      </c>
      <c r="AF21" s="14">
        <f t="shared" si="32"/>
        <v>102.34775722166974</v>
      </c>
      <c r="AG21" s="14">
        <f t="shared" si="11"/>
        <v>103.96123906280378</v>
      </c>
      <c r="AH21" s="14">
        <f t="shared" si="12"/>
        <v>2.3395999999999999</v>
      </c>
      <c r="AI21" s="14">
        <f t="shared" si="33"/>
        <v>104.00071123755335</v>
      </c>
      <c r="AJ21" s="14">
        <f t="shared" si="34"/>
        <v>106.44239544622089</v>
      </c>
      <c r="AK21" s="15">
        <f t="shared" si="35"/>
        <v>108.12042803668908</v>
      </c>
      <c r="AL21" s="22">
        <v>81.532213195229829</v>
      </c>
      <c r="AM21">
        <v>78.70753333333333</v>
      </c>
      <c r="AN21" s="14">
        <v>29481.653427338199</v>
      </c>
      <c r="AO21" s="3">
        <f t="shared" si="39"/>
        <v>0.19576795755964141</v>
      </c>
      <c r="AP21" s="32">
        <f t="shared" si="13"/>
        <v>8.3802252591669291E-3</v>
      </c>
      <c r="AQ21" s="14">
        <f t="shared" si="36"/>
        <v>20.294910739518045</v>
      </c>
      <c r="AR21" s="4">
        <f t="shared" si="40"/>
        <v>3056309.7874633158</v>
      </c>
      <c r="AS21" s="4">
        <f t="shared" si="3"/>
        <v>2491877.0118212663</v>
      </c>
      <c r="AT21" s="4">
        <f t="shared" si="14"/>
        <v>2405546.0447376184</v>
      </c>
      <c r="AU21" s="4">
        <f t="shared" si="38"/>
        <v>106.55757434624094</v>
      </c>
      <c r="AV21" s="24">
        <f t="shared" si="15"/>
        <v>102.86589197196712</v>
      </c>
      <c r="AW21" s="22"/>
      <c r="BA21" t="e">
        <f t="shared" si="16"/>
        <v>#DIV/0!</v>
      </c>
      <c r="BB21" t="e">
        <f t="shared" si="17"/>
        <v>#DIV/0!</v>
      </c>
      <c r="BC21" t="e">
        <f t="shared" si="18"/>
        <v>#DIV/0!</v>
      </c>
      <c r="BD21" s="21">
        <f t="shared" si="19"/>
        <v>0.3335458443561336</v>
      </c>
      <c r="BE21" s="4">
        <f t="shared" si="20"/>
        <v>1.1702042718052128</v>
      </c>
      <c r="BF21" s="31">
        <f t="shared" si="37"/>
        <v>-1.3900130681257505E-2</v>
      </c>
      <c r="BG21" s="4">
        <f t="shared" si="21"/>
        <v>124.60428590831911</v>
      </c>
      <c r="BH21" s="19">
        <f t="shared" si="22"/>
        <v>-1.3352129959672832E-3</v>
      </c>
      <c r="BJ21" s="1">
        <v>39508</v>
      </c>
      <c r="BK21" s="42">
        <v>124.4379126464211</v>
      </c>
      <c r="BL21" s="42">
        <v>121.93796613651939</v>
      </c>
      <c r="BM21" s="42">
        <v>124.60428590831911</v>
      </c>
      <c r="BN21" s="43">
        <f t="shared" si="23"/>
        <v>2.0501789468120313E-2</v>
      </c>
      <c r="BO21" s="43">
        <f t="shared" si="24"/>
        <v>-1.3352129959672832E-3</v>
      </c>
    </row>
    <row r="22" spans="2:67" x14ac:dyDescent="0.3">
      <c r="B22">
        <f t="shared" si="25"/>
        <v>2005</v>
      </c>
      <c r="C22">
        <f t="shared" si="26"/>
        <v>6</v>
      </c>
      <c r="D22" s="1">
        <f t="shared" si="27"/>
        <v>38504</v>
      </c>
      <c r="E22">
        <f>_xlfn.XLOOKUP(D22,[1]nairu_estimates_v6!$A$2:$A$265,[1]nairu_estimates_v6!$P$2:$P$265)</f>
        <v>13.660615021369599</v>
      </c>
      <c r="F22">
        <f>_xlfn.XLOOKUP(D22,[1]nairu_estimates_v6!$A$2:$A$265,[1]nairu_estimates_v6!$V$2:$V$265)</f>
        <v>77.040318755044098</v>
      </c>
      <c r="G22">
        <v>18695034.976929419</v>
      </c>
      <c r="H22">
        <f t="shared" si="0"/>
        <v>13.686550195888501</v>
      </c>
      <c r="I22">
        <f t="shared" si="1"/>
        <v>76.720798573003833</v>
      </c>
      <c r="J22">
        <f t="shared" si="4"/>
        <v>18703891.947693717</v>
      </c>
      <c r="L22">
        <v>3.1943887472152703E-2</v>
      </c>
      <c r="M22">
        <v>78.638800000000003</v>
      </c>
      <c r="N22">
        <f t="shared" si="5"/>
        <v>78.922466666666665</v>
      </c>
      <c r="O22">
        <v>16524075.426339099</v>
      </c>
      <c r="Q22">
        <f t="shared" si="28"/>
        <v>2008</v>
      </c>
      <c r="R22">
        <f t="shared" si="29"/>
        <v>6</v>
      </c>
      <c r="S22" s="9">
        <f t="shared" si="30"/>
        <v>39600</v>
      </c>
      <c r="T22" s="13">
        <v>151691.39420000001</v>
      </c>
      <c r="U22" s="14">
        <v>149155.17950071945</v>
      </c>
      <c r="V22" s="32">
        <f t="shared" si="6"/>
        <v>1.7003866092818676E-2</v>
      </c>
      <c r="W22" s="41">
        <f t="shared" si="7"/>
        <v>123.24826944354766</v>
      </c>
      <c r="X22" s="15">
        <f t="shared" si="31"/>
        <v>125.34396651333736</v>
      </c>
      <c r="Y22" s="17">
        <v>19157819.092248116</v>
      </c>
      <c r="Z22">
        <v>11.765999112174967</v>
      </c>
      <c r="AA22" s="4">
        <f t="shared" si="8"/>
        <v>16903710.267942116</v>
      </c>
      <c r="AB22" s="4">
        <v>16630709.365546001</v>
      </c>
      <c r="AC22" s="4">
        <v>48</v>
      </c>
      <c r="AD22" s="14">
        <f t="shared" si="9"/>
        <v>36836565415.89946</v>
      </c>
      <c r="AE22" s="14">
        <f t="shared" si="10"/>
        <v>36241641849.397842</v>
      </c>
      <c r="AF22" s="14">
        <f t="shared" si="32"/>
        <v>102.35535164465901</v>
      </c>
      <c r="AG22" s="14">
        <f t="shared" si="11"/>
        <v>100.70227649600021</v>
      </c>
      <c r="AH22" s="14">
        <f t="shared" si="12"/>
        <v>2.3395999999999999</v>
      </c>
      <c r="AI22" s="14">
        <f t="shared" si="33"/>
        <v>104.00071123755335</v>
      </c>
      <c r="AJ22" s="14">
        <f t="shared" si="34"/>
        <v>106.45029370014412</v>
      </c>
      <c r="AK22" s="15">
        <f t="shared" si="35"/>
        <v>104.73108378824773</v>
      </c>
      <c r="AL22" s="22">
        <v>80.496111476574526</v>
      </c>
      <c r="AM22">
        <v>76.964200000000005</v>
      </c>
      <c r="AN22" s="14">
        <v>29962.551135678099</v>
      </c>
      <c r="AO22" s="3">
        <f t="shared" si="39"/>
        <v>0.19752307831104435</v>
      </c>
      <c r="AP22" s="32">
        <f t="shared" si="13"/>
        <v>8.3802252591669291E-3</v>
      </c>
      <c r="AQ22" s="14">
        <f t="shared" si="36"/>
        <v>20.173714484917792</v>
      </c>
      <c r="AR22" s="4">
        <f t="shared" si="40"/>
        <v>3060178.8764099148</v>
      </c>
      <c r="AS22" s="4">
        <f t="shared" si="3"/>
        <v>2463324.9997375109</v>
      </c>
      <c r="AT22" s="4">
        <f t="shared" si="14"/>
        <v>2355242.1907978798</v>
      </c>
      <c r="AU22" s="4">
        <f t="shared" si="38"/>
        <v>105.33663401254208</v>
      </c>
      <c r="AV22" s="24">
        <f t="shared" si="15"/>
        <v>100.71479999164164</v>
      </c>
      <c r="AW22" s="22"/>
      <c r="BA22" t="e">
        <f t="shared" si="16"/>
        <v>#DIV/0!</v>
      </c>
      <c r="BB22" t="e">
        <f t="shared" si="17"/>
        <v>#DIV/0!</v>
      </c>
      <c r="BC22" t="e">
        <f t="shared" si="18"/>
        <v>#DIV/0!</v>
      </c>
      <c r="BD22" s="21">
        <f t="shared" si="19"/>
        <v>0.3335458443561336</v>
      </c>
      <c r="BE22" s="4">
        <f t="shared" si="20"/>
        <v>1.2125292186743919</v>
      </c>
      <c r="BF22" s="31">
        <f t="shared" si="37"/>
        <v>3.6168853497591913E-2</v>
      </c>
      <c r="BG22" s="4">
        <f t="shared" si="21"/>
        <v>128.62211015732572</v>
      </c>
      <c r="BH22" s="19">
        <f t="shared" si="22"/>
        <v>-2.5486626210522112E-2</v>
      </c>
      <c r="BJ22" s="1">
        <v>39600</v>
      </c>
      <c r="BK22" s="42">
        <v>125.34396651333736</v>
      </c>
      <c r="BL22" s="42">
        <v>123.24826944354766</v>
      </c>
      <c r="BM22" s="42">
        <v>128.62211015732572</v>
      </c>
      <c r="BN22" s="43">
        <f t="shared" si="23"/>
        <v>1.7003866092818676E-2</v>
      </c>
      <c r="BO22" s="43">
        <f t="shared" si="24"/>
        <v>-2.5486626210522112E-2</v>
      </c>
    </row>
    <row r="23" spans="2:67" x14ac:dyDescent="0.3">
      <c r="B23">
        <f t="shared" si="25"/>
        <v>2005</v>
      </c>
      <c r="C23">
        <f t="shared" si="26"/>
        <v>7</v>
      </c>
      <c r="D23" s="1">
        <f t="shared" si="27"/>
        <v>38534</v>
      </c>
      <c r="E23">
        <f>_xlfn.XLOOKUP(D23,[1]nairu_estimates_v6!$A$2:$A$265,[1]nairu_estimates_v6!$P$2:$P$265)</f>
        <v>13.625283668312999</v>
      </c>
      <c r="F23">
        <f>_xlfn.XLOOKUP(D23,[1]nairu_estimates_v6!$A$2:$A$265,[1]nairu_estimates_v6!$V$2:$V$265)</f>
        <v>77.249493155471299</v>
      </c>
      <c r="G23">
        <v>18911313.914462492</v>
      </c>
      <c r="H23">
        <f t="shared" si="0"/>
        <v>0</v>
      </c>
      <c r="I23">
        <f t="shared" si="1"/>
        <v>0</v>
      </c>
      <c r="J23">
        <f t="shared" si="4"/>
        <v>0</v>
      </c>
      <c r="L23">
        <v>3.1943887472152703E-2</v>
      </c>
      <c r="M23">
        <v>79.7149</v>
      </c>
      <c r="N23">
        <f t="shared" si="5"/>
        <v>0</v>
      </c>
      <c r="O23">
        <v>16654119.606912099</v>
      </c>
      <c r="Q23">
        <f t="shared" si="28"/>
        <v>2008</v>
      </c>
      <c r="R23">
        <f t="shared" si="29"/>
        <v>9</v>
      </c>
      <c r="S23" s="9">
        <f t="shared" si="30"/>
        <v>39692</v>
      </c>
      <c r="T23" s="13">
        <v>153001.155</v>
      </c>
      <c r="U23" s="14">
        <v>150736.20852442452</v>
      </c>
      <c r="V23" s="32">
        <f t="shared" si="6"/>
        <v>1.5025895222835484E-2</v>
      </c>
      <c r="W23" s="41">
        <f t="shared" si="7"/>
        <v>124.5546879786863</v>
      </c>
      <c r="X23" s="15">
        <f t="shared" si="31"/>
        <v>126.426233669767</v>
      </c>
      <c r="Y23" s="17">
        <v>19260856.51488376</v>
      </c>
      <c r="Z23">
        <v>11.698168269745866</v>
      </c>
      <c r="AA23" s="4">
        <f t="shared" si="8"/>
        <v>17007689.109578349</v>
      </c>
      <c r="AB23" s="4">
        <v>17098839.844064001</v>
      </c>
      <c r="AC23" s="4">
        <v>48</v>
      </c>
      <c r="AD23" s="14">
        <f t="shared" si="9"/>
        <v>37063156107.59314</v>
      </c>
      <c r="AE23" s="14">
        <f t="shared" si="10"/>
        <v>37261791788.184273</v>
      </c>
      <c r="AF23" s="14">
        <f t="shared" si="32"/>
        <v>102.98496435870706</v>
      </c>
      <c r="AG23" s="14">
        <f t="shared" si="11"/>
        <v>103.53690031436773</v>
      </c>
      <c r="AH23" s="14">
        <f t="shared" si="12"/>
        <v>2.3395999999999999</v>
      </c>
      <c r="AI23" s="14">
        <f t="shared" si="33"/>
        <v>104.00071123755335</v>
      </c>
      <c r="AJ23" s="14">
        <f t="shared" si="34"/>
        <v>107.10509540079616</v>
      </c>
      <c r="AK23" s="15">
        <f t="shared" si="35"/>
        <v>107.67911272025904</v>
      </c>
      <c r="AL23" s="22">
        <v>79.510725886909299</v>
      </c>
      <c r="AM23">
        <v>77.862400000000008</v>
      </c>
      <c r="AN23" s="14">
        <v>29742.128023338799</v>
      </c>
      <c r="AO23" s="3">
        <f t="shared" si="39"/>
        <v>0.19439152615115093</v>
      </c>
      <c r="AP23" s="32">
        <f t="shared" si="13"/>
        <v>8.3802252591669291E-3</v>
      </c>
      <c r="AQ23" s="14">
        <f t="shared" si="36"/>
        <v>20.029237290580802</v>
      </c>
      <c r="AR23" s="4">
        <f t="shared" si="40"/>
        <v>3064496.4392279335</v>
      </c>
      <c r="AS23" s="4">
        <f t="shared" si="3"/>
        <v>2436603.3636086183</v>
      </c>
      <c r="AT23" s="4">
        <f t="shared" si="14"/>
        <v>2386090.4754974111</v>
      </c>
      <c r="AU23" s="4">
        <f t="shared" si="38"/>
        <v>104.19396416368924</v>
      </c>
      <c r="AV23" s="24">
        <f t="shared" si="15"/>
        <v>102.0339334700318</v>
      </c>
      <c r="AW23" s="22"/>
      <c r="BA23" t="e">
        <f t="shared" si="16"/>
        <v>#DIV/0!</v>
      </c>
      <c r="BB23" t="e">
        <f t="shared" si="17"/>
        <v>#DIV/0!</v>
      </c>
      <c r="BC23" t="e">
        <f t="shared" si="18"/>
        <v>#DIV/0!</v>
      </c>
      <c r="BD23" s="21">
        <f t="shared" si="19"/>
        <v>0.3335458443561336</v>
      </c>
      <c r="BE23" s="4">
        <f t="shared" si="20"/>
        <v>1.1953809069554546</v>
      </c>
      <c r="BF23" s="31">
        <f t="shared" si="37"/>
        <v>-1.4142596693616061E-2</v>
      </c>
      <c r="BG23" s="4">
        <f t="shared" si="21"/>
        <v>126.86000193889751</v>
      </c>
      <c r="BH23" s="19">
        <f t="shared" si="22"/>
        <v>-3.419267401079118E-3</v>
      </c>
      <c r="BJ23" s="1">
        <v>39692</v>
      </c>
      <c r="BK23" s="42">
        <v>126.426233669767</v>
      </c>
      <c r="BL23" s="42">
        <v>124.5546879786863</v>
      </c>
      <c r="BM23" s="42">
        <v>126.86000193889751</v>
      </c>
      <c r="BN23" s="43">
        <f t="shared" si="23"/>
        <v>1.5025895222835484E-2</v>
      </c>
      <c r="BO23" s="43">
        <f t="shared" si="24"/>
        <v>-3.419267401079118E-3</v>
      </c>
    </row>
    <row r="24" spans="2:67" x14ac:dyDescent="0.3">
      <c r="B24">
        <f t="shared" si="25"/>
        <v>2005</v>
      </c>
      <c r="C24">
        <f t="shared" si="26"/>
        <v>8</v>
      </c>
      <c r="D24" s="1">
        <f t="shared" si="27"/>
        <v>38565</v>
      </c>
      <c r="E24">
        <f>_xlfn.XLOOKUP(D24,[1]nairu_estimates_v6!$A$2:$A$265,[1]nairu_estimates_v6!$P$2:$P$265)</f>
        <v>13.5815337596328</v>
      </c>
      <c r="F24">
        <f>_xlfn.XLOOKUP(D24,[1]nairu_estimates_v6!$A$2:$A$265,[1]nairu_estimates_v6!$V$2:$V$265)</f>
        <v>77.568839240507003</v>
      </c>
      <c r="G24">
        <v>18645975.402595982</v>
      </c>
      <c r="H24">
        <f t="shared" si="0"/>
        <v>0</v>
      </c>
      <c r="I24">
        <f t="shared" si="1"/>
        <v>0</v>
      </c>
      <c r="J24">
        <f t="shared" si="4"/>
        <v>0</v>
      </c>
      <c r="L24">
        <v>3.1943887472152703E-2</v>
      </c>
      <c r="M24">
        <v>80.776799999999994</v>
      </c>
      <c r="N24">
        <f t="shared" si="5"/>
        <v>0</v>
      </c>
      <c r="O24">
        <v>16471439.317047702</v>
      </c>
      <c r="Q24">
        <f t="shared" si="28"/>
        <v>2008</v>
      </c>
      <c r="R24">
        <f t="shared" si="29"/>
        <v>12</v>
      </c>
      <c r="S24" s="9">
        <f t="shared" si="30"/>
        <v>39783</v>
      </c>
      <c r="T24" s="13">
        <v>150425.56390000001</v>
      </c>
      <c r="U24" s="14">
        <v>152321.71254636877</v>
      </c>
      <c r="V24" s="32">
        <f t="shared" si="6"/>
        <v>-1.2448314916309489E-2</v>
      </c>
      <c r="W24" s="41">
        <f t="shared" si="7"/>
        <v>125.86480424521173</v>
      </c>
      <c r="X24" s="15">
        <f t="shared" si="31"/>
        <v>124.29799952508769</v>
      </c>
      <c r="Y24" s="17">
        <v>19045477.831993829</v>
      </c>
      <c r="Z24">
        <v>11.614786598223466</v>
      </c>
      <c r="AA24" s="4">
        <f t="shared" si="8"/>
        <v>16833386.225195788</v>
      </c>
      <c r="AB24" s="4">
        <v>17180774.553111203</v>
      </c>
      <c r="AC24" s="4">
        <v>48</v>
      </c>
      <c r="AD24" s="14">
        <f t="shared" si="9"/>
        <v>36683315261.946663</v>
      </c>
      <c r="AE24" s="14">
        <f t="shared" si="10"/>
        <v>37440343906.139931</v>
      </c>
      <c r="AF24" s="14">
        <f t="shared" si="32"/>
        <v>101.92952547926231</v>
      </c>
      <c r="AG24" s="14">
        <f t="shared" si="11"/>
        <v>104.03303138994195</v>
      </c>
      <c r="AH24" s="14">
        <f t="shared" si="12"/>
        <v>2.3395999999999999</v>
      </c>
      <c r="AI24" s="14">
        <f t="shared" si="33"/>
        <v>104.00071123755335</v>
      </c>
      <c r="AJ24" s="14">
        <f t="shared" si="34"/>
        <v>106.00743145949596</v>
      </c>
      <c r="AK24" s="15">
        <f t="shared" si="35"/>
        <v>108.19509256752676</v>
      </c>
      <c r="AL24" s="22">
        <v>79.033755333889061</v>
      </c>
      <c r="AM24">
        <v>73.574266666666674</v>
      </c>
      <c r="AN24" s="14">
        <v>29863.6674136449</v>
      </c>
      <c r="AO24" s="3">
        <f t="shared" si="39"/>
        <v>0.19852787411518488</v>
      </c>
      <c r="AP24" s="32">
        <f t="shared" si="13"/>
        <v>8.3802252591669291E-3</v>
      </c>
      <c r="AQ24" s="14">
        <f t="shared" si="36"/>
        <v>20.399174962206189</v>
      </c>
      <c r="AR24" s="4">
        <f t="shared" si="40"/>
        <v>3068557.3967846273</v>
      </c>
      <c r="AS24" s="4">
        <f t="shared" si="3"/>
        <v>2425196.1452547177</v>
      </c>
      <c r="AT24" s="4">
        <f t="shared" si="14"/>
        <v>2257668.6019300465</v>
      </c>
      <c r="AU24" s="4">
        <f t="shared" si="38"/>
        <v>103.7061690148664</v>
      </c>
      <c r="AV24" s="24">
        <f t="shared" si="15"/>
        <v>96.542360942406773</v>
      </c>
      <c r="AW24" s="22"/>
      <c r="BA24" t="e">
        <f t="shared" si="16"/>
        <v>#DIV/0!</v>
      </c>
      <c r="BB24" t="e">
        <f t="shared" si="17"/>
        <v>#DIV/0!</v>
      </c>
      <c r="BC24" t="e">
        <f t="shared" si="18"/>
        <v>#DIV/0!</v>
      </c>
      <c r="BD24" s="21">
        <f t="shared" si="19"/>
        <v>0.3335458443561336</v>
      </c>
      <c r="BE24" s="4">
        <f t="shared" si="20"/>
        <v>1.1933384733427264</v>
      </c>
      <c r="BF24" s="31">
        <f t="shared" si="37"/>
        <v>-1.7086048479142413E-3</v>
      </c>
      <c r="BG24" s="4">
        <f t="shared" si="21"/>
        <v>125.58006068386915</v>
      </c>
      <c r="BH24" s="19">
        <f t="shared" si="22"/>
        <v>-1.0209114024947619E-2</v>
      </c>
      <c r="BJ24" s="1">
        <v>39783</v>
      </c>
      <c r="BK24" s="42">
        <v>124.29799952508769</v>
      </c>
      <c r="BL24" s="42">
        <v>125.86480424521173</v>
      </c>
      <c r="BM24" s="42">
        <v>125.58006068386915</v>
      </c>
      <c r="BN24" s="43">
        <f t="shared" si="23"/>
        <v>-1.2448314916309489E-2</v>
      </c>
      <c r="BO24" s="43">
        <f t="shared" si="24"/>
        <v>-1.0209114024947619E-2</v>
      </c>
    </row>
    <row r="25" spans="2:67" x14ac:dyDescent="0.3">
      <c r="B25">
        <f t="shared" si="25"/>
        <v>2005</v>
      </c>
      <c r="C25">
        <f t="shared" si="26"/>
        <v>9</v>
      </c>
      <c r="D25" s="1">
        <f t="shared" si="27"/>
        <v>38596</v>
      </c>
      <c r="E25">
        <f>_xlfn.XLOOKUP(D25,[1]nairu_estimates_v6!$A$2:$A$265,[1]nairu_estimates_v6!$P$2:$P$265)</f>
        <v>13.5310738720566</v>
      </c>
      <c r="F25">
        <f>_xlfn.XLOOKUP(D25,[1]nairu_estimates_v6!$A$2:$A$265,[1]nairu_estimates_v6!$V$2:$V$265)</f>
        <v>77.981069759450506</v>
      </c>
      <c r="G25">
        <v>18757859.743005473</v>
      </c>
      <c r="H25">
        <f t="shared" si="0"/>
        <v>13.579297100000801</v>
      </c>
      <c r="I25">
        <f t="shared" si="1"/>
        <v>77.599800718476274</v>
      </c>
      <c r="J25">
        <f t="shared" si="4"/>
        <v>18771716.353354648</v>
      </c>
      <c r="L25">
        <v>3.1943887472152703E-2</v>
      </c>
      <c r="M25">
        <v>81.487200000000001</v>
      </c>
      <c r="N25">
        <f t="shared" si="5"/>
        <v>80.659633333333332</v>
      </c>
      <c r="O25">
        <v>16586710.2280176</v>
      </c>
      <c r="Q25">
        <f t="shared" si="28"/>
        <v>2009</v>
      </c>
      <c r="R25">
        <f t="shared" si="29"/>
        <v>3</v>
      </c>
      <c r="S25" s="9">
        <f t="shared" si="30"/>
        <v>39873</v>
      </c>
      <c r="T25" s="13">
        <v>150827.77559999999</v>
      </c>
      <c r="U25" s="14">
        <v>153922.28351118218</v>
      </c>
      <c r="V25" s="32">
        <f t="shared" si="6"/>
        <v>-2.0104352927933111E-2</v>
      </c>
      <c r="W25" s="41">
        <f t="shared" si="7"/>
        <v>127.18737046245725</v>
      </c>
      <c r="X25" s="15">
        <f t="shared" si="31"/>
        <v>124.63035067870423</v>
      </c>
      <c r="Y25" s="17">
        <v>19787276.113289826</v>
      </c>
      <c r="Z25">
        <v>11.523637665540699</v>
      </c>
      <c r="AA25" s="4">
        <f t="shared" si="8"/>
        <v>17507062.110114221</v>
      </c>
      <c r="AB25" s="4">
        <v>17657183.510203</v>
      </c>
      <c r="AC25" s="4">
        <v>48</v>
      </c>
      <c r="AD25" s="14">
        <f t="shared" si="9"/>
        <v>38151389750.360909</v>
      </c>
      <c r="AE25" s="14">
        <f t="shared" si="10"/>
        <v>38478534305.434372</v>
      </c>
      <c r="AF25" s="14">
        <f t="shared" si="32"/>
        <v>106.00876790606402</v>
      </c>
      <c r="AG25" s="14">
        <f t="shared" si="11"/>
        <v>106.91778305433097</v>
      </c>
      <c r="AH25" s="14">
        <f t="shared" si="12"/>
        <v>2.3626999999999998</v>
      </c>
      <c r="AI25" s="14">
        <f t="shared" si="33"/>
        <v>105.02756045519202</v>
      </c>
      <c r="AJ25" s="14">
        <f t="shared" si="34"/>
        <v>111.33842280034558</v>
      </c>
      <c r="AK25" s="15">
        <f t="shared" si="35"/>
        <v>112.2931392347385</v>
      </c>
      <c r="AL25" s="22">
        <v>77.561264444329936</v>
      </c>
      <c r="AM25">
        <v>73.629533333333328</v>
      </c>
      <c r="AN25" s="14">
        <v>30823.126708067801</v>
      </c>
      <c r="AO25" s="3">
        <f t="shared" si="39"/>
        <v>0.20435975128222869</v>
      </c>
      <c r="AP25" s="32">
        <f t="shared" si="13"/>
        <v>8.5221482585247088E-3</v>
      </c>
      <c r="AQ25" s="14">
        <f t="shared" si="36"/>
        <v>20.37228123115365</v>
      </c>
      <c r="AR25" s="4">
        <f t="shared" si="40"/>
        <v>3072705.8619925343</v>
      </c>
      <c r="AS25" s="4">
        <f t="shared" si="3"/>
        <v>2383229.5192164569</v>
      </c>
      <c r="AT25" s="4">
        <f t="shared" si="14"/>
        <v>2262418.9868910802</v>
      </c>
      <c r="AU25" s="4">
        <f t="shared" si="38"/>
        <v>101.91159333841098</v>
      </c>
      <c r="AV25" s="24">
        <f t="shared" si="15"/>
        <v>96.745496769840187</v>
      </c>
      <c r="AW25" s="22"/>
      <c r="BA25" t="e">
        <f t="shared" si="16"/>
        <v>#DIV/0!</v>
      </c>
      <c r="BB25" t="e">
        <f t="shared" si="17"/>
        <v>#DIV/0!</v>
      </c>
      <c r="BC25" t="e">
        <f t="shared" si="18"/>
        <v>#DIV/0!</v>
      </c>
      <c r="BD25" s="21">
        <f t="shared" si="19"/>
        <v>0.3335458443561336</v>
      </c>
      <c r="BE25" s="4">
        <f t="shared" si="20"/>
        <v>1.1664295218319543</v>
      </c>
      <c r="BF25" s="31">
        <f t="shared" si="37"/>
        <v>-2.2549303581402169E-2</v>
      </c>
      <c r="BG25" s="4">
        <f t="shared" si="21"/>
        <v>126.09220664752945</v>
      </c>
      <c r="BH25" s="19">
        <f t="shared" si="22"/>
        <v>-1.1593547354687872E-2</v>
      </c>
      <c r="BJ25" s="1">
        <v>39873</v>
      </c>
      <c r="BK25" s="42">
        <v>124.63035067870423</v>
      </c>
      <c r="BL25" s="42">
        <v>127.18737046245725</v>
      </c>
      <c r="BM25" s="42">
        <v>126.09220664752945</v>
      </c>
      <c r="BN25" s="43">
        <f t="shared" si="23"/>
        <v>-2.0104352927933111E-2</v>
      </c>
      <c r="BO25" s="43">
        <f t="shared" si="24"/>
        <v>-1.1593547354687872E-2</v>
      </c>
    </row>
    <row r="26" spans="2:67" x14ac:dyDescent="0.3">
      <c r="B26">
        <f t="shared" si="25"/>
        <v>2005</v>
      </c>
      <c r="C26">
        <f t="shared" si="26"/>
        <v>10</v>
      </c>
      <c r="D26" s="1">
        <f t="shared" si="27"/>
        <v>38626</v>
      </c>
      <c r="E26">
        <f>_xlfn.XLOOKUP(D26,[1]nairu_estimates_v6!$A$2:$A$265,[1]nairu_estimates_v6!$P$2:$P$265)</f>
        <v>13.4698773242018</v>
      </c>
      <c r="F26">
        <f>_xlfn.XLOOKUP(D26,[1]nairu_estimates_v6!$A$2:$A$265,[1]nairu_estimates_v6!$V$2:$V$265)</f>
        <v>78.432114095324394</v>
      </c>
      <c r="G26">
        <v>18856302.929488372</v>
      </c>
      <c r="H26">
        <f t="shared" si="0"/>
        <v>0</v>
      </c>
      <c r="I26">
        <f t="shared" si="1"/>
        <v>0</v>
      </c>
      <c r="J26">
        <f t="shared" si="4"/>
        <v>0</v>
      </c>
      <c r="L26">
        <v>3.1943887472152703E-2</v>
      </c>
      <c r="M26">
        <v>82.360799999999998</v>
      </c>
      <c r="N26">
        <f t="shared" si="5"/>
        <v>0</v>
      </c>
      <c r="O26">
        <v>16801252.037698198</v>
      </c>
      <c r="Q26">
        <f t="shared" si="28"/>
        <v>2009</v>
      </c>
      <c r="R26">
        <f t="shared" si="29"/>
        <v>6</v>
      </c>
      <c r="S26" s="9">
        <f t="shared" si="30"/>
        <v>39965</v>
      </c>
      <c r="T26" s="13">
        <v>152493.25330000001</v>
      </c>
      <c r="U26" s="14">
        <v>155547.32827059072</v>
      </c>
      <c r="V26" s="32">
        <f t="shared" si="6"/>
        <v>-1.9634377552778193E-2</v>
      </c>
      <c r="W26" s="41">
        <f t="shared" si="7"/>
        <v>128.53015959680602</v>
      </c>
      <c r="X26" s="15">
        <f t="shared" si="31"/>
        <v>126.00654991636351</v>
      </c>
      <c r="Y26" s="17">
        <v>20388746.355784096</v>
      </c>
      <c r="Z26">
        <v>11.4716177115686</v>
      </c>
      <c r="AA26" s="4">
        <f t="shared" si="8"/>
        <v>18049827.317667171</v>
      </c>
      <c r="AB26" s="4">
        <v>18019531.1576345</v>
      </c>
      <c r="AC26" s="4">
        <v>48</v>
      </c>
      <c r="AD26" s="14">
        <f t="shared" si="9"/>
        <v>39334183690.660301</v>
      </c>
      <c r="AE26" s="14">
        <f t="shared" si="10"/>
        <v>39268162298.717102</v>
      </c>
      <c r="AF26" s="14">
        <f t="shared" si="32"/>
        <v>109.29531995877689</v>
      </c>
      <c r="AG26" s="14">
        <f t="shared" si="11"/>
        <v>109.11187064117303</v>
      </c>
      <c r="AH26" s="14">
        <f t="shared" si="12"/>
        <v>2.3626999999999998</v>
      </c>
      <c r="AI26" s="14">
        <f t="shared" si="33"/>
        <v>105.02756045519202</v>
      </c>
      <c r="AJ26" s="14">
        <f t="shared" si="34"/>
        <v>114.79020824439995</v>
      </c>
      <c r="AK26" s="15">
        <f t="shared" si="35"/>
        <v>114.59753590144892</v>
      </c>
      <c r="AL26" s="22">
        <v>76.239947542615155</v>
      </c>
      <c r="AM26">
        <v>73.399333333333331</v>
      </c>
      <c r="AN26" s="14">
        <v>31076.111542048598</v>
      </c>
      <c r="AO26" s="3">
        <f t="shared" si="39"/>
        <v>0.2037867962650948</v>
      </c>
      <c r="AP26" s="32">
        <f t="shared" si="13"/>
        <v>8.5221482585247088E-3</v>
      </c>
      <c r="AQ26" s="14">
        <f t="shared" si="36"/>
        <v>20.18019071136089</v>
      </c>
      <c r="AR26" s="4">
        <f t="shared" si="40"/>
        <v>3077342.9337898637</v>
      </c>
      <c r="AS26" s="4">
        <f t="shared" si="3"/>
        <v>2346164.638427766</v>
      </c>
      <c r="AT26" s="4">
        <f t="shared" si="14"/>
        <v>2258749.1977822012</v>
      </c>
      <c r="AU26" s="4">
        <f t="shared" si="38"/>
        <v>100.32662595376914</v>
      </c>
      <c r="AV26" s="24">
        <f t="shared" si="15"/>
        <v>96.588569351693423</v>
      </c>
      <c r="AW26" s="22"/>
      <c r="BA26" t="e">
        <f t="shared" si="16"/>
        <v>#DIV/0!</v>
      </c>
      <c r="BB26" t="e">
        <f t="shared" si="17"/>
        <v>#DIV/0!</v>
      </c>
      <c r="BC26" t="e">
        <f t="shared" si="18"/>
        <v>#DIV/0!</v>
      </c>
      <c r="BD26" s="21">
        <f t="shared" si="19"/>
        <v>0.3335458443561336</v>
      </c>
      <c r="BE26" s="4">
        <f t="shared" si="20"/>
        <v>1.1640817181974472</v>
      </c>
      <c r="BF26" s="31">
        <f t="shared" si="37"/>
        <v>-2.0128122536025028E-3</v>
      </c>
      <c r="BG26" s="4">
        <f t="shared" si="21"/>
        <v>127.75551903393288</v>
      </c>
      <c r="BH26" s="19">
        <f t="shared" si="22"/>
        <v>-1.3689969175459504E-2</v>
      </c>
      <c r="BJ26" s="1">
        <v>39965</v>
      </c>
      <c r="BK26" s="42">
        <v>126.00654991636351</v>
      </c>
      <c r="BL26" s="42">
        <v>128.53015959680602</v>
      </c>
      <c r="BM26" s="42">
        <v>127.75551903393288</v>
      </c>
      <c r="BN26" s="43">
        <f t="shared" si="23"/>
        <v>-1.9634377552777971E-2</v>
      </c>
      <c r="BO26" s="43">
        <f t="shared" si="24"/>
        <v>-1.3689969175459504E-2</v>
      </c>
    </row>
    <row r="27" spans="2:67" x14ac:dyDescent="0.3">
      <c r="B27">
        <f t="shared" si="25"/>
        <v>2005</v>
      </c>
      <c r="C27">
        <f t="shared" si="26"/>
        <v>11</v>
      </c>
      <c r="D27" s="1">
        <f t="shared" si="27"/>
        <v>38657</v>
      </c>
      <c r="E27">
        <f>_xlfn.XLOOKUP(D27,[1]nairu_estimates_v6!$A$2:$A$265,[1]nairu_estimates_v6!$P$2:$P$265)</f>
        <v>13.3983593818214</v>
      </c>
      <c r="F27">
        <f>_xlfn.XLOOKUP(D27,[1]nairu_estimates_v6!$A$2:$A$265,[1]nairu_estimates_v6!$V$2:$V$265)</f>
        <v>78.9388789729949</v>
      </c>
      <c r="G27">
        <v>18750053.58466544</v>
      </c>
      <c r="H27">
        <f t="shared" si="0"/>
        <v>0</v>
      </c>
      <c r="I27">
        <f t="shared" si="1"/>
        <v>0</v>
      </c>
      <c r="J27">
        <f t="shared" si="4"/>
        <v>0</v>
      </c>
      <c r="L27">
        <v>3.1943887472152703E-2</v>
      </c>
      <c r="M27">
        <v>80.630200000000002</v>
      </c>
      <c r="N27">
        <f t="shared" si="5"/>
        <v>0</v>
      </c>
      <c r="O27">
        <v>16613826.1435424</v>
      </c>
      <c r="Q27">
        <f t="shared" si="28"/>
        <v>2009</v>
      </c>
      <c r="R27">
        <f t="shared" si="29"/>
        <v>9</v>
      </c>
      <c r="S27" s="9">
        <f t="shared" si="30"/>
        <v>40057</v>
      </c>
      <c r="T27" s="13">
        <v>154049.95869999999</v>
      </c>
      <c r="U27" s="14">
        <v>157204.31960887593</v>
      </c>
      <c r="V27" s="32">
        <f t="shared" si="6"/>
        <v>-2.00653577250548E-2</v>
      </c>
      <c r="W27" s="41">
        <f t="shared" si="7"/>
        <v>129.89934647727648</v>
      </c>
      <c r="X27" s="15">
        <f t="shared" si="31"/>
        <v>127.2928696219591</v>
      </c>
      <c r="Y27" s="17">
        <v>20406192.205137715</v>
      </c>
      <c r="Z27">
        <v>11.462537516147167</v>
      </c>
      <c r="AA27" s="4">
        <f t="shared" si="8"/>
        <v>18067124.768006705</v>
      </c>
      <c r="AB27" s="4">
        <v>17714527.431606598</v>
      </c>
      <c r="AC27" s="4">
        <v>48</v>
      </c>
      <c r="AD27" s="14">
        <f t="shared" si="9"/>
        <v>39371878294.440208</v>
      </c>
      <c r="AE27" s="14">
        <f t="shared" si="10"/>
        <v>38603498178.9571</v>
      </c>
      <c r="AF27" s="14">
        <f t="shared" si="32"/>
        <v>109.40005948542483</v>
      </c>
      <c r="AG27" s="14">
        <f t="shared" si="11"/>
        <v>107.26501198495697</v>
      </c>
      <c r="AH27" s="14">
        <f t="shared" si="12"/>
        <v>2.3626999999999998</v>
      </c>
      <c r="AI27" s="14">
        <f t="shared" si="33"/>
        <v>105.02756045519202</v>
      </c>
      <c r="AJ27" s="14">
        <f t="shared" si="34"/>
        <v>114.90021361407059</v>
      </c>
      <c r="AK27" s="15">
        <f t="shared" si="35"/>
        <v>112.65782530976965</v>
      </c>
      <c r="AL27" s="22">
        <v>75.209737680818918</v>
      </c>
      <c r="AM27">
        <v>75.1571</v>
      </c>
      <c r="AN27" s="14">
        <v>31663.715087929799</v>
      </c>
      <c r="AO27" s="3">
        <f t="shared" si="39"/>
        <v>0.20554186028437929</v>
      </c>
      <c r="AP27" s="32">
        <f t="shared" si="13"/>
        <v>8.5221482585247088E-3</v>
      </c>
      <c r="AQ27" s="14">
        <f t="shared" si="36"/>
        <v>20.007752670743375</v>
      </c>
      <c r="AR27" s="4">
        <f t="shared" si="40"/>
        <v>3082193.4726078315</v>
      </c>
      <c r="AS27" s="4">
        <f t="shared" si="3"/>
        <v>2318109.6255636732</v>
      </c>
      <c r="AT27" s="4">
        <f t="shared" si="14"/>
        <v>2316487.2304013404</v>
      </c>
      <c r="AU27" s="4">
        <f t="shared" si="38"/>
        <v>99.126938286653754</v>
      </c>
      <c r="AV27" s="24">
        <f t="shared" si="15"/>
        <v>99.057561470579301</v>
      </c>
      <c r="AW27" s="22"/>
      <c r="BA27" t="e">
        <f t="shared" si="16"/>
        <v>#DIV/0!</v>
      </c>
      <c r="BB27" t="e">
        <f t="shared" si="17"/>
        <v>#DIV/0!</v>
      </c>
      <c r="BC27" t="e">
        <f t="shared" si="18"/>
        <v>#DIV/0!</v>
      </c>
      <c r="BD27" s="21">
        <f t="shared" si="19"/>
        <v>0.3335458443561336</v>
      </c>
      <c r="BE27" s="4">
        <f t="shared" si="20"/>
        <v>1.1794489939858837</v>
      </c>
      <c r="BF27" s="31">
        <f t="shared" si="37"/>
        <v>1.3201200180544381E-2</v>
      </c>
      <c r="BG27" s="4">
        <f t="shared" si="21"/>
        <v>129.00602419118417</v>
      </c>
      <c r="BH27" s="19">
        <f t="shared" si="22"/>
        <v>-1.327964783013702E-2</v>
      </c>
      <c r="BJ27" s="1">
        <v>40057</v>
      </c>
      <c r="BK27" s="42">
        <v>127.2928696219591</v>
      </c>
      <c r="BL27" s="42">
        <v>129.89934647727648</v>
      </c>
      <c r="BM27" s="42">
        <v>129.00602419118417</v>
      </c>
      <c r="BN27" s="43">
        <f t="shared" si="23"/>
        <v>-2.0065357725054689E-2</v>
      </c>
      <c r="BO27" s="43">
        <f t="shared" si="24"/>
        <v>-1.327964783013702E-2</v>
      </c>
    </row>
    <row r="28" spans="2:67" x14ac:dyDescent="0.3">
      <c r="B28">
        <f t="shared" si="25"/>
        <v>2005</v>
      </c>
      <c r="C28">
        <f t="shared" si="26"/>
        <v>12</v>
      </c>
      <c r="D28" s="1">
        <f t="shared" si="27"/>
        <v>38687</v>
      </c>
      <c r="E28">
        <f>_xlfn.XLOOKUP(D28,[1]nairu_estimates_v6!$A$2:$A$265,[1]nairu_estimates_v6!$P$2:$P$265)</f>
        <v>13.324029328281499</v>
      </c>
      <c r="F28">
        <f>_xlfn.XLOOKUP(D28,[1]nairu_estimates_v6!$A$2:$A$265,[1]nairu_estimates_v6!$V$2:$V$265)</f>
        <v>79.159025400356796</v>
      </c>
      <c r="G28">
        <v>19084034.797780968</v>
      </c>
      <c r="H28">
        <f t="shared" si="0"/>
        <v>13.3974220114349</v>
      </c>
      <c r="I28">
        <f t="shared" si="1"/>
        <v>78.843339489558701</v>
      </c>
      <c r="J28">
        <f t="shared" si="4"/>
        <v>18896797.103978258</v>
      </c>
      <c r="L28">
        <v>3.1943887472152703E-2</v>
      </c>
      <c r="M28">
        <v>78.158600000000007</v>
      </c>
      <c r="N28">
        <f t="shared" si="5"/>
        <v>80.383200000000002</v>
      </c>
      <c r="O28">
        <v>16963597.212443899</v>
      </c>
      <c r="Q28">
        <f t="shared" si="28"/>
        <v>2009</v>
      </c>
      <c r="R28">
        <f t="shared" si="29"/>
        <v>12</v>
      </c>
      <c r="S28" s="9">
        <f t="shared" si="30"/>
        <v>40148</v>
      </c>
      <c r="T28" s="13">
        <v>155245.01240000001</v>
      </c>
      <c r="U28" s="14">
        <v>158898.8215134627</v>
      </c>
      <c r="V28" s="32">
        <f t="shared" si="6"/>
        <v>-2.2994563953724012E-2</v>
      </c>
      <c r="W28" s="41">
        <f t="shared" si="7"/>
        <v>131.29952867683667</v>
      </c>
      <c r="X28" s="15">
        <f t="shared" si="31"/>
        <v>128.28035326758337</v>
      </c>
      <c r="Y28" s="17">
        <v>20914725.992454965</v>
      </c>
      <c r="Z28">
        <v>11.508529181368701</v>
      </c>
      <c r="AA28" s="4">
        <f t="shared" si="8"/>
        <v>18507748.648409981</v>
      </c>
      <c r="AB28" s="4">
        <v>18412802.273927003</v>
      </c>
      <c r="AC28" s="4">
        <v>48</v>
      </c>
      <c r="AD28" s="14">
        <f t="shared" si="9"/>
        <v>40332085854.615036</v>
      </c>
      <c r="AE28" s="14">
        <f t="shared" si="10"/>
        <v>40125178715.341721</v>
      </c>
      <c r="AF28" s="14">
        <f t="shared" si="32"/>
        <v>112.06812534237724</v>
      </c>
      <c r="AG28" s="14">
        <f t="shared" si="11"/>
        <v>111.4932060262303</v>
      </c>
      <c r="AH28" s="14">
        <f t="shared" si="12"/>
        <v>2.3626999999999998</v>
      </c>
      <c r="AI28" s="14">
        <f t="shared" si="33"/>
        <v>105.02756045519202</v>
      </c>
      <c r="AJ28" s="14">
        <f t="shared" si="34"/>
        <v>117.70241809496564</v>
      </c>
      <c r="AK28" s="15">
        <f t="shared" si="35"/>
        <v>117.09859436263081</v>
      </c>
      <c r="AL28" s="22">
        <v>74.963591510708099</v>
      </c>
      <c r="AM28">
        <v>74.508733333333339</v>
      </c>
      <c r="AN28" s="14">
        <v>30791.0466619539</v>
      </c>
      <c r="AO28" s="3">
        <f t="shared" si="39"/>
        <v>0.19833839545594251</v>
      </c>
      <c r="AP28" s="32">
        <f t="shared" si="13"/>
        <v>8.5221482585247088E-3</v>
      </c>
      <c r="AQ28" s="14">
        <f t="shared" si="36"/>
        <v>19.888499026334838</v>
      </c>
      <c r="AR28" s="4">
        <f t="shared" si="40"/>
        <v>3087590.27796074</v>
      </c>
      <c r="AS28" s="4">
        <f t="shared" si="3"/>
        <v>2314568.5634948257</v>
      </c>
      <c r="AT28" s="4">
        <f t="shared" si="14"/>
        <v>2300524.4066316937</v>
      </c>
      <c r="AU28" s="4">
        <f t="shared" si="38"/>
        <v>98.975515490554329</v>
      </c>
      <c r="AV28" s="24">
        <f t="shared" si="15"/>
        <v>98.374959651733178</v>
      </c>
      <c r="AW28" s="22"/>
      <c r="BA28" t="e">
        <f t="shared" si="16"/>
        <v>#DIV/0!</v>
      </c>
      <c r="BB28" t="e">
        <f t="shared" si="17"/>
        <v>#DIV/0!</v>
      </c>
      <c r="BC28" t="e">
        <f t="shared" si="18"/>
        <v>#DIV/0!</v>
      </c>
      <c r="BD28" s="21">
        <f t="shared" si="19"/>
        <v>0.3335458443561336</v>
      </c>
      <c r="BE28" s="4">
        <f t="shared" si="20"/>
        <v>1.1610392908929417</v>
      </c>
      <c r="BF28" s="31">
        <f t="shared" si="37"/>
        <v>-1.5608731862772118E-2</v>
      </c>
      <c r="BG28" s="4">
        <f t="shared" si="21"/>
        <v>128.98239538773851</v>
      </c>
      <c r="BH28" s="19">
        <f t="shared" si="22"/>
        <v>-5.4429297738246563E-3</v>
      </c>
      <c r="BJ28" s="1">
        <v>40148</v>
      </c>
      <c r="BK28" s="42">
        <v>128.28035326758337</v>
      </c>
      <c r="BL28" s="42">
        <v>131.29952867683667</v>
      </c>
      <c r="BM28" s="42">
        <v>128.98239538773851</v>
      </c>
      <c r="BN28" s="43">
        <f t="shared" si="23"/>
        <v>-2.299456395372379E-2</v>
      </c>
      <c r="BO28" s="43">
        <f t="shared" si="24"/>
        <v>-5.4429297738246563E-3</v>
      </c>
    </row>
    <row r="29" spans="2:67" x14ac:dyDescent="0.3">
      <c r="B29">
        <f t="shared" si="25"/>
        <v>2006</v>
      </c>
      <c r="C29">
        <f t="shared" si="26"/>
        <v>1</v>
      </c>
      <c r="D29" s="1">
        <f t="shared" si="27"/>
        <v>38718</v>
      </c>
      <c r="E29">
        <f>_xlfn.XLOOKUP(D29,[1]nairu_estimates_v6!$A$2:$A$265,[1]nairu_estimates_v6!$P$2:$P$265)</f>
        <v>13.2512063927001</v>
      </c>
      <c r="F29">
        <f>_xlfn.XLOOKUP(D29,[1]nairu_estimates_v6!$A$2:$A$265,[1]nairu_estimates_v6!$V$2:$V$265)</f>
        <v>79.024015206832701</v>
      </c>
      <c r="G29">
        <v>18985023.108711351</v>
      </c>
      <c r="H29">
        <f t="shared" si="0"/>
        <v>0</v>
      </c>
      <c r="I29">
        <f t="shared" si="1"/>
        <v>0</v>
      </c>
      <c r="J29">
        <f t="shared" si="4"/>
        <v>0</v>
      </c>
      <c r="K29">
        <v>2.2940999999999998</v>
      </c>
      <c r="L29">
        <v>3.2420206815004397E-2</v>
      </c>
      <c r="M29">
        <v>79.109300000000005</v>
      </c>
      <c r="N29">
        <f t="shared" si="5"/>
        <v>0</v>
      </c>
      <c r="O29">
        <v>16849947.053767301</v>
      </c>
      <c r="Q29">
        <f t="shared" si="28"/>
        <v>2010</v>
      </c>
      <c r="R29">
        <f t="shared" si="29"/>
        <v>3</v>
      </c>
      <c r="S29" s="9">
        <f t="shared" si="30"/>
        <v>40238</v>
      </c>
      <c r="T29" s="13">
        <v>156686.90609999999</v>
      </c>
      <c r="U29" s="14">
        <v>160634.42649620786</v>
      </c>
      <c r="V29" s="32">
        <f t="shared" si="6"/>
        <v>-2.4574560275228752E-2</v>
      </c>
      <c r="W29" s="41">
        <f t="shared" si="7"/>
        <v>132.73367472042017</v>
      </c>
      <c r="X29" s="15">
        <f t="shared" si="31"/>
        <v>129.47180303045059</v>
      </c>
      <c r="Y29" s="17">
        <v>20829867.30611727</v>
      </c>
      <c r="Z29">
        <v>11.610805417065967</v>
      </c>
      <c r="AA29" s="4">
        <f t="shared" si="8"/>
        <v>18411351.944570955</v>
      </c>
      <c r="AB29" s="4">
        <v>18228363.088932499</v>
      </c>
      <c r="AC29" s="4">
        <v>48</v>
      </c>
      <c r="AD29" s="14">
        <f t="shared" si="9"/>
        <v>40122018157.609024</v>
      </c>
      <c r="AE29" s="14">
        <f t="shared" si="10"/>
        <v>39723248843.401703</v>
      </c>
      <c r="AF29" s="14">
        <f t="shared" si="32"/>
        <v>111.48442399146484</v>
      </c>
      <c r="AG29" s="14">
        <f t="shared" si="11"/>
        <v>110.37638981618385</v>
      </c>
      <c r="AH29" s="14">
        <f t="shared" si="12"/>
        <v>2.3860000000000001</v>
      </c>
      <c r="AI29" s="14">
        <f t="shared" si="33"/>
        <v>106.06330014224751</v>
      </c>
      <c r="AJ29" s="14">
        <f t="shared" si="34"/>
        <v>118.24405922992315</v>
      </c>
      <c r="AK29" s="15">
        <f t="shared" si="35"/>
        <v>117.0688416169162</v>
      </c>
      <c r="AL29" s="22">
        <v>74.95535432838453</v>
      </c>
      <c r="AM29">
        <v>76.304733333333331</v>
      </c>
      <c r="AN29" s="14">
        <v>31648.1741524852</v>
      </c>
      <c r="AO29" s="3">
        <f t="shared" si="39"/>
        <v>0.20198352842762016</v>
      </c>
      <c r="AP29" s="32">
        <f t="shared" si="13"/>
        <v>8.623471414151096E-3</v>
      </c>
      <c r="AQ29" s="14">
        <f t="shared" si="36"/>
        <v>19.734057551298687</v>
      </c>
      <c r="AR29" s="4">
        <f t="shared" si="40"/>
        <v>3092068.4225123329</v>
      </c>
      <c r="AS29" s="4">
        <f t="shared" si="3"/>
        <v>2317670.8421702092</v>
      </c>
      <c r="AT29" s="4">
        <f t="shared" si="14"/>
        <v>2359394.5642822422</v>
      </c>
      <c r="AU29" s="4">
        <f t="shared" si="38"/>
        <v>99.108175043584708</v>
      </c>
      <c r="AV29" s="24">
        <f t="shared" si="15"/>
        <v>100.8923636692125</v>
      </c>
      <c r="AW29" s="22"/>
      <c r="BA29" t="e">
        <f t="shared" si="16"/>
        <v>#DIV/0!</v>
      </c>
      <c r="BB29" t="e">
        <f t="shared" si="17"/>
        <v>#DIV/0!</v>
      </c>
      <c r="BC29" t="e">
        <f t="shared" si="18"/>
        <v>#DIV/0!</v>
      </c>
      <c r="BD29" s="21">
        <f t="shared" si="19"/>
        <v>0.3335458443561336</v>
      </c>
      <c r="BE29" s="4">
        <f t="shared" si="20"/>
        <v>1.1621850229201867</v>
      </c>
      <c r="BF29" s="31">
        <f t="shared" si="37"/>
        <v>9.8681589523463842E-4</v>
      </c>
      <c r="BG29" s="4">
        <f t="shared" si="21"/>
        <v>129.56320854296484</v>
      </c>
      <c r="BH29" s="19">
        <f t="shared" si="22"/>
        <v>-7.0548972615125383E-4</v>
      </c>
      <c r="BJ29" s="1">
        <v>40238</v>
      </c>
      <c r="BK29" s="42">
        <v>129.47180303045059</v>
      </c>
      <c r="BL29" s="42">
        <v>132.73367472042017</v>
      </c>
      <c r="BM29" s="42">
        <v>129.56320854296484</v>
      </c>
      <c r="BN29" s="43">
        <f t="shared" si="23"/>
        <v>-2.4574560275228863E-2</v>
      </c>
      <c r="BO29" s="43">
        <f t="shared" si="24"/>
        <v>-7.0548972615125383E-4</v>
      </c>
    </row>
    <row r="30" spans="2:67" x14ac:dyDescent="0.3">
      <c r="B30">
        <f t="shared" si="25"/>
        <v>2006</v>
      </c>
      <c r="C30">
        <f t="shared" si="26"/>
        <v>2</v>
      </c>
      <c r="D30" s="1">
        <f t="shared" si="27"/>
        <v>38749</v>
      </c>
      <c r="E30">
        <f>_xlfn.XLOOKUP(D30,[1]nairu_estimates_v6!$A$2:$A$265,[1]nairu_estimates_v6!$P$2:$P$265)</f>
        <v>13.1640586943708</v>
      </c>
      <c r="F30">
        <f>_xlfn.XLOOKUP(D30,[1]nairu_estimates_v6!$A$2:$A$265,[1]nairu_estimates_v6!$V$2:$V$265)</f>
        <v>79.036543257691804</v>
      </c>
      <c r="G30">
        <v>18872901.86532703</v>
      </c>
      <c r="H30">
        <f t="shared" si="0"/>
        <v>0</v>
      </c>
      <c r="I30">
        <f t="shared" si="1"/>
        <v>0</v>
      </c>
      <c r="J30">
        <f t="shared" si="4"/>
        <v>0</v>
      </c>
      <c r="L30">
        <v>3.2420206815004397E-2</v>
      </c>
      <c r="M30">
        <v>79.916600000000003</v>
      </c>
      <c r="N30">
        <f t="shared" si="5"/>
        <v>0</v>
      </c>
      <c r="O30">
        <v>16636607.998884302</v>
      </c>
      <c r="Q30">
        <f t="shared" si="28"/>
        <v>2010</v>
      </c>
      <c r="R30">
        <f t="shared" si="29"/>
        <v>6</v>
      </c>
      <c r="S30" s="9">
        <f t="shared" si="30"/>
        <v>40330</v>
      </c>
      <c r="T30" s="13">
        <v>159244.87650000001</v>
      </c>
      <c r="U30" s="14">
        <v>162412.44343827243</v>
      </c>
      <c r="V30" s="32">
        <f t="shared" si="6"/>
        <v>-1.9503228146901863E-2</v>
      </c>
      <c r="W30" s="41">
        <f t="shared" si="7"/>
        <v>134.20286614832969</v>
      </c>
      <c r="X30" s="15">
        <f t="shared" si="31"/>
        <v>131.58547703187071</v>
      </c>
      <c r="Y30" s="17">
        <v>21029905.160154436</v>
      </c>
      <c r="Z30">
        <v>11.715520081772434</v>
      </c>
      <c r="AA30" s="4">
        <f t="shared" si="8"/>
        <v>18566142.397938844</v>
      </c>
      <c r="AB30" s="4">
        <v>18534526.1093463</v>
      </c>
      <c r="AC30" s="4">
        <v>48</v>
      </c>
      <c r="AD30" s="14">
        <f t="shared" si="9"/>
        <v>40459337513.588326</v>
      </c>
      <c r="AE30" s="14">
        <f t="shared" si="10"/>
        <v>40390439297.487457</v>
      </c>
      <c r="AF30" s="14">
        <f t="shared" si="32"/>
        <v>112.42171119259213</v>
      </c>
      <c r="AG30" s="14">
        <f t="shared" si="11"/>
        <v>112.2302682321241</v>
      </c>
      <c r="AH30" s="14">
        <f t="shared" si="12"/>
        <v>2.3860000000000001</v>
      </c>
      <c r="AI30" s="14">
        <f t="shared" si="33"/>
        <v>106.06330014224751</v>
      </c>
      <c r="AJ30" s="14">
        <f t="shared" si="34"/>
        <v>119.23817696724966</v>
      </c>
      <c r="AK30" s="15">
        <f t="shared" si="35"/>
        <v>119.03512624548725</v>
      </c>
      <c r="AL30" s="22">
        <v>75.169074038864764</v>
      </c>
      <c r="AM30">
        <v>76.433333333333323</v>
      </c>
      <c r="AN30" s="14">
        <v>33241.0147071869</v>
      </c>
      <c r="AO30" s="3">
        <f t="shared" si="39"/>
        <v>0.20874150200485037</v>
      </c>
      <c r="AP30" s="32">
        <f t="shared" si="13"/>
        <v>8.623471414151096E-3</v>
      </c>
      <c r="AQ30" s="14">
        <f t="shared" si="36"/>
        <v>19.448363432984191</v>
      </c>
      <c r="AR30" s="4">
        <f t="shared" si="40"/>
        <v>3097052.2330126837</v>
      </c>
      <c r="AS30" s="4">
        <f t="shared" si="3"/>
        <v>2328025.4860556186</v>
      </c>
      <c r="AT30" s="4">
        <f t="shared" si="14"/>
        <v>2367180.2567660273</v>
      </c>
      <c r="AU30" s="4">
        <f t="shared" si="38"/>
        <v>99.550960032737095</v>
      </c>
      <c r="AV30" s="24">
        <f t="shared" si="15"/>
        <v>101.22529523114041</v>
      </c>
      <c r="AW30" s="22"/>
      <c r="BA30" t="e">
        <f t="shared" si="16"/>
        <v>#DIV/0!</v>
      </c>
      <c r="BB30" t="e">
        <f t="shared" si="17"/>
        <v>#DIV/0!</v>
      </c>
      <c r="BC30" t="e">
        <f t="shared" si="18"/>
        <v>#DIV/0!</v>
      </c>
      <c r="BD30" s="21">
        <f t="shared" si="19"/>
        <v>0.3335458443561336</v>
      </c>
      <c r="BE30" s="4">
        <f t="shared" si="20"/>
        <v>1.166835969477086</v>
      </c>
      <c r="BF30" s="31">
        <f t="shared" si="37"/>
        <v>4.0018985490046788E-3</v>
      </c>
      <c r="BG30" s="4">
        <f t="shared" si="21"/>
        <v>131.00419108297964</v>
      </c>
      <c r="BH30" s="19">
        <f t="shared" si="22"/>
        <v>4.4371553618682835E-3</v>
      </c>
      <c r="BJ30" s="1">
        <v>40330</v>
      </c>
      <c r="BK30" s="42">
        <v>131.58547703187071</v>
      </c>
      <c r="BL30" s="42">
        <v>134.20286614832969</v>
      </c>
      <c r="BM30" s="42">
        <v>131.00419108297964</v>
      </c>
      <c r="BN30" s="43">
        <f t="shared" si="23"/>
        <v>-1.9503228146901641E-2</v>
      </c>
      <c r="BO30" s="43">
        <f t="shared" si="24"/>
        <v>4.4371553618682835E-3</v>
      </c>
    </row>
    <row r="31" spans="2:67" x14ac:dyDescent="0.3">
      <c r="B31">
        <f t="shared" si="25"/>
        <v>2006</v>
      </c>
      <c r="C31">
        <f t="shared" si="26"/>
        <v>3</v>
      </c>
      <c r="D31" s="1">
        <f t="shared" si="27"/>
        <v>38777</v>
      </c>
      <c r="E31">
        <f>_xlfn.XLOOKUP(D31,[1]nairu_estimates_v6!$A$2:$A$265,[1]nairu_estimates_v6!$P$2:$P$265)</f>
        <v>13.073451495384401</v>
      </c>
      <c r="F31">
        <f>_xlfn.XLOOKUP(D31,[1]nairu_estimates_v6!$A$2:$A$265,[1]nairu_estimates_v6!$V$2:$V$265)</f>
        <v>79.153137781098906</v>
      </c>
      <c r="G31">
        <v>19055669.13893912</v>
      </c>
      <c r="H31">
        <f t="shared" si="0"/>
        <v>13.162905527485099</v>
      </c>
      <c r="I31">
        <f t="shared" si="1"/>
        <v>79.07123208187447</v>
      </c>
      <c r="J31">
        <f t="shared" si="4"/>
        <v>18971198.037659165</v>
      </c>
      <c r="L31">
        <v>3.2420206815004397E-2</v>
      </c>
      <c r="M31">
        <v>82.301699999999997</v>
      </c>
      <c r="N31">
        <f t="shared" si="5"/>
        <v>80.442533333333344</v>
      </c>
      <c r="O31">
        <v>16866374.805661798</v>
      </c>
      <c r="Q31">
        <f t="shared" si="28"/>
        <v>2010</v>
      </c>
      <c r="R31">
        <f t="shared" si="29"/>
        <v>9</v>
      </c>
      <c r="S31" s="9">
        <f t="shared" si="30"/>
        <v>40422</v>
      </c>
      <c r="T31" s="13">
        <v>160424.59839999999</v>
      </c>
      <c r="U31" s="14">
        <v>164231.71402056972</v>
      </c>
      <c r="V31" s="32">
        <f t="shared" si="6"/>
        <v>-2.3181366907568779E-2</v>
      </c>
      <c r="W31" s="41">
        <f t="shared" si="7"/>
        <v>135.70614583106183</v>
      </c>
      <c r="X31" s="15">
        <f t="shared" si="31"/>
        <v>132.56029187293996</v>
      </c>
      <c r="Y31" s="17">
        <v>21250030.44523317</v>
      </c>
      <c r="Z31">
        <v>11.826143671409199</v>
      </c>
      <c r="AA31" s="4">
        <f t="shared" si="8"/>
        <v>18736971.314561699</v>
      </c>
      <c r="AB31" s="4">
        <v>18961197.985178702</v>
      </c>
      <c r="AC31" s="4">
        <v>48</v>
      </c>
      <c r="AD31" s="14">
        <f t="shared" si="9"/>
        <v>40831607888.692856</v>
      </c>
      <c r="AE31" s="14">
        <f t="shared" si="10"/>
        <v>41320242649.301422</v>
      </c>
      <c r="AF31" s="14">
        <f t="shared" si="32"/>
        <v>113.45611450138342</v>
      </c>
      <c r="AG31" s="14">
        <f t="shared" si="11"/>
        <v>114.81385190668196</v>
      </c>
      <c r="AH31" s="14">
        <f t="shared" si="12"/>
        <v>2.3860000000000001</v>
      </c>
      <c r="AI31" s="14">
        <f t="shared" si="33"/>
        <v>106.06330014224751</v>
      </c>
      <c r="AJ31" s="14">
        <f t="shared" si="34"/>
        <v>120.33529925333431</v>
      </c>
      <c r="AK31" s="15">
        <f t="shared" si="35"/>
        <v>121.77536035265966</v>
      </c>
      <c r="AL31" s="22">
        <v>75.589596269928435</v>
      </c>
      <c r="AM31">
        <v>77.266666666666666</v>
      </c>
      <c r="AN31" s="14">
        <v>33078.5424235178</v>
      </c>
      <c r="AO31" s="3">
        <f t="shared" si="39"/>
        <v>0.2061937056625214</v>
      </c>
      <c r="AP31" s="32">
        <f t="shared" si="13"/>
        <v>8.623471414151096E-3</v>
      </c>
      <c r="AQ31" s="14">
        <f t="shared" si="36"/>
        <v>19.346072468150574</v>
      </c>
      <c r="AR31" s="4">
        <f t="shared" si="40"/>
        <v>3103585.9063203526</v>
      </c>
      <c r="AS31" s="4">
        <f t="shared" si="3"/>
        <v>2345988.0564779537</v>
      </c>
      <c r="AT31" s="4">
        <f t="shared" si="14"/>
        <v>2398037.3769501923</v>
      </c>
      <c r="AU31" s="4">
        <f t="shared" si="38"/>
        <v>100.31907496142239</v>
      </c>
      <c r="AV31" s="24">
        <f t="shared" si="15"/>
        <v>102.54480653227476</v>
      </c>
      <c r="AW31" s="22"/>
      <c r="BA31" t="e">
        <f t="shared" si="16"/>
        <v>#DIV/0!</v>
      </c>
      <c r="BB31" t="e">
        <f t="shared" si="17"/>
        <v>#DIV/0!</v>
      </c>
      <c r="BC31" t="e">
        <f t="shared" si="18"/>
        <v>#DIV/0!</v>
      </c>
      <c r="BD31" s="21">
        <f t="shared" si="19"/>
        <v>0.3335458443561336</v>
      </c>
      <c r="BE31" s="4">
        <f t="shared" si="20"/>
        <v>1.1527942698497511</v>
      </c>
      <c r="BF31" s="31">
        <f t="shared" si="37"/>
        <v>-1.2033996203963171E-2</v>
      </c>
      <c r="BG31" s="4">
        <f t="shared" si="21"/>
        <v>130.55441202857875</v>
      </c>
      <c r="BH31" s="19">
        <f t="shared" si="22"/>
        <v>1.5364320616924942E-2</v>
      </c>
      <c r="BJ31" s="1">
        <v>40422</v>
      </c>
      <c r="BK31" s="42">
        <v>132.56029187293996</v>
      </c>
      <c r="BL31" s="42">
        <v>135.70614583106183</v>
      </c>
      <c r="BM31" s="42">
        <v>130.55441202857875</v>
      </c>
      <c r="BN31" s="43">
        <f t="shared" si="23"/>
        <v>-2.3181366907568779E-2</v>
      </c>
      <c r="BO31" s="43">
        <f t="shared" si="24"/>
        <v>1.5364320616924942E-2</v>
      </c>
    </row>
    <row r="32" spans="2:67" x14ac:dyDescent="0.3">
      <c r="B32">
        <f t="shared" si="25"/>
        <v>2006</v>
      </c>
      <c r="C32">
        <f t="shared" si="26"/>
        <v>4</v>
      </c>
      <c r="D32" s="1">
        <f t="shared" si="27"/>
        <v>38808</v>
      </c>
      <c r="E32">
        <f>_xlfn.XLOOKUP(D32,[1]nairu_estimates_v6!$A$2:$A$265,[1]nairu_estimates_v6!$P$2:$P$265)</f>
        <v>12.9820937131568</v>
      </c>
      <c r="F32">
        <f>_xlfn.XLOOKUP(D32,[1]nairu_estimates_v6!$A$2:$A$265,[1]nairu_estimates_v6!$V$2:$V$265)</f>
        <v>79.558699492774707</v>
      </c>
      <c r="G32">
        <v>18597471.774237599</v>
      </c>
      <c r="H32">
        <f t="shared" si="0"/>
        <v>0</v>
      </c>
      <c r="I32">
        <f t="shared" si="1"/>
        <v>0</v>
      </c>
      <c r="J32">
        <f t="shared" si="4"/>
        <v>0</v>
      </c>
      <c r="L32">
        <v>3.2420206815004397E-2</v>
      </c>
      <c r="M32">
        <v>79.318399999999997</v>
      </c>
      <c r="N32">
        <f t="shared" si="5"/>
        <v>0</v>
      </c>
      <c r="O32">
        <v>16384264.594253499</v>
      </c>
      <c r="Q32">
        <f t="shared" si="28"/>
        <v>2010</v>
      </c>
      <c r="R32">
        <f t="shared" si="29"/>
        <v>12</v>
      </c>
      <c r="S32" s="9">
        <f t="shared" si="30"/>
        <v>40513</v>
      </c>
      <c r="T32" s="13">
        <v>163794.61900000001</v>
      </c>
      <c r="U32" s="14">
        <v>166089.10019467666</v>
      </c>
      <c r="V32" s="32">
        <f t="shared" si="6"/>
        <v>-1.3814760824083283E-2</v>
      </c>
      <c r="W32" s="41">
        <f t="shared" si="7"/>
        <v>137.24092077091532</v>
      </c>
      <c r="X32" s="15">
        <f t="shared" si="31"/>
        <v>135.34497027518816</v>
      </c>
      <c r="Y32" s="17">
        <v>21306385.088495091</v>
      </c>
      <c r="Z32">
        <v>11.910748602504368</v>
      </c>
      <c r="AA32" s="4">
        <f t="shared" si="8"/>
        <v>18768635.124322962</v>
      </c>
      <c r="AB32" s="4">
        <v>18768114.636836398</v>
      </c>
      <c r="AC32" s="4">
        <v>48</v>
      </c>
      <c r="AD32" s="14">
        <f t="shared" si="9"/>
        <v>40900609662.924591</v>
      </c>
      <c r="AE32" s="14">
        <f t="shared" si="10"/>
        <v>40899475416.59388</v>
      </c>
      <c r="AF32" s="14">
        <f t="shared" si="32"/>
        <v>113.64784521204696</v>
      </c>
      <c r="AG32" s="14">
        <f t="shared" si="11"/>
        <v>113.64469355605731</v>
      </c>
      <c r="AH32" s="14">
        <f t="shared" si="12"/>
        <v>2.3860000000000001</v>
      </c>
      <c r="AI32" s="14">
        <f t="shared" si="33"/>
        <v>106.06330014224751</v>
      </c>
      <c r="AJ32" s="14">
        <f t="shared" si="34"/>
        <v>120.53865517245023</v>
      </c>
      <c r="AK32" s="15">
        <f t="shared" si="35"/>
        <v>120.53531242209849</v>
      </c>
      <c r="AL32" s="22">
        <v>76.201051253487336</v>
      </c>
      <c r="AM32">
        <v>76.100000000000009</v>
      </c>
      <c r="AN32" s="14">
        <v>35221.268716810097</v>
      </c>
      <c r="AO32" s="3">
        <f t="shared" si="39"/>
        <v>0.21503312460350174</v>
      </c>
      <c r="AP32" s="32">
        <f t="shared" si="13"/>
        <v>8.623471414151096E-3</v>
      </c>
      <c r="AQ32" s="14">
        <f t="shared" si="36"/>
        <v>18.986586881705527</v>
      </c>
      <c r="AR32" s="4">
        <f t="shared" si="40"/>
        <v>3109900.7643993548</v>
      </c>
      <c r="AS32" s="4">
        <f t="shared" si="3"/>
        <v>2369777.0754125468</v>
      </c>
      <c r="AT32" s="4">
        <f t="shared" si="14"/>
        <v>2366634.4817079096</v>
      </c>
      <c r="AU32" s="4">
        <f t="shared" si="38"/>
        <v>101.33634031670343</v>
      </c>
      <c r="AV32" s="24">
        <f t="shared" si="15"/>
        <v>101.2019568135316</v>
      </c>
      <c r="AW32" s="22"/>
      <c r="BA32" t="e">
        <f t="shared" si="16"/>
        <v>#DIV/0!</v>
      </c>
      <c r="BB32" t="e">
        <f t="shared" si="17"/>
        <v>#DIV/0!</v>
      </c>
      <c r="BC32" t="e">
        <f t="shared" si="18"/>
        <v>#DIV/0!</v>
      </c>
      <c r="BD32" s="21">
        <f t="shared" si="19"/>
        <v>0.3335458443561336</v>
      </c>
      <c r="BE32" s="4">
        <f t="shared" si="20"/>
        <v>1.1902890018160708</v>
      </c>
      <c r="BF32" s="31">
        <f t="shared" si="37"/>
        <v>3.2525085305296075E-2</v>
      </c>
      <c r="BG32" s="4">
        <f t="shared" si="21"/>
        <v>135.40739161470711</v>
      </c>
      <c r="BH32" s="19">
        <f t="shared" si="22"/>
        <v>-4.6098915852810229E-4</v>
      </c>
      <c r="BJ32" s="1">
        <v>40513</v>
      </c>
      <c r="BK32" s="42">
        <v>135.34497027518816</v>
      </c>
      <c r="BL32" s="42">
        <v>137.24092077091532</v>
      </c>
      <c r="BM32" s="42">
        <v>135.40739161470711</v>
      </c>
      <c r="BN32" s="43">
        <f t="shared" si="23"/>
        <v>-1.3814760824083283E-2</v>
      </c>
      <c r="BO32" s="43">
        <f t="shared" si="24"/>
        <v>-4.6098915852810229E-4</v>
      </c>
    </row>
    <row r="33" spans="2:67" x14ac:dyDescent="0.3">
      <c r="B33">
        <f t="shared" si="25"/>
        <v>2006</v>
      </c>
      <c r="C33">
        <f t="shared" si="26"/>
        <v>5</v>
      </c>
      <c r="D33" s="1">
        <f t="shared" si="27"/>
        <v>38838</v>
      </c>
      <c r="E33">
        <f>_xlfn.XLOOKUP(D33,[1]nairu_estimates_v6!$A$2:$A$265,[1]nairu_estimates_v6!$P$2:$P$265)</f>
        <v>12.890697127805799</v>
      </c>
      <c r="F33">
        <f>_xlfn.XLOOKUP(D33,[1]nairu_estimates_v6!$A$2:$A$265,[1]nairu_estimates_v6!$V$2:$V$265)</f>
        <v>79.527718821911094</v>
      </c>
      <c r="G33">
        <v>18795194.745554771</v>
      </c>
      <c r="H33">
        <f t="shared" si="0"/>
        <v>0</v>
      </c>
      <c r="I33">
        <f t="shared" si="1"/>
        <v>0</v>
      </c>
      <c r="J33">
        <f t="shared" si="4"/>
        <v>0</v>
      </c>
      <c r="L33">
        <v>3.2420206815004397E-2</v>
      </c>
      <c r="M33">
        <v>81.815799999999996</v>
      </c>
      <c r="N33">
        <f t="shared" si="5"/>
        <v>0</v>
      </c>
      <c r="O33">
        <v>16567425.334004601</v>
      </c>
      <c r="Q33">
        <f t="shared" si="28"/>
        <v>2011</v>
      </c>
      <c r="R33">
        <f t="shared" si="29"/>
        <v>3</v>
      </c>
      <c r="S33" s="9">
        <f t="shared" si="30"/>
        <v>40603</v>
      </c>
      <c r="T33" s="13">
        <v>167223.0681</v>
      </c>
      <c r="U33" s="14">
        <v>167979.08446490736</v>
      </c>
      <c r="V33" s="32">
        <f t="shared" si="6"/>
        <v>-4.5006577295954031E-3</v>
      </c>
      <c r="W33" s="41">
        <f t="shared" si="7"/>
        <v>138.80263181146512</v>
      </c>
      <c r="X33" s="15">
        <f t="shared" si="31"/>
        <v>138.17792867371466</v>
      </c>
      <c r="Y33" s="17">
        <v>21339728.829443969</v>
      </c>
      <c r="Z33">
        <v>11.970459737234799</v>
      </c>
      <c r="AA33" s="4">
        <f t="shared" si="8"/>
        <v>18785265.181880292</v>
      </c>
      <c r="AB33" s="4">
        <v>19030268.4942903</v>
      </c>
      <c r="AC33" s="4">
        <v>48</v>
      </c>
      <c r="AD33" s="14">
        <f t="shared" si="9"/>
        <v>40936849884.353531</v>
      </c>
      <c r="AE33" s="14">
        <f t="shared" si="10"/>
        <v>41470761102.757423</v>
      </c>
      <c r="AF33" s="14">
        <f t="shared" si="32"/>
        <v>113.74854354171366</v>
      </c>
      <c r="AG33" s="14">
        <f t="shared" si="11"/>
        <v>115.23208767482581</v>
      </c>
      <c r="AH33" s="14">
        <f t="shared" si="12"/>
        <v>2.4106999999999998</v>
      </c>
      <c r="AI33" s="14">
        <f t="shared" si="33"/>
        <v>107.16127311522048</v>
      </c>
      <c r="AJ33" s="14">
        <f t="shared" si="34"/>
        <v>121.89438740932127</v>
      </c>
      <c r="AK33" s="15">
        <f t="shared" si="35"/>
        <v>123.48417218959041</v>
      </c>
      <c r="AL33" s="22">
        <v>76.18930943255701</v>
      </c>
      <c r="AM33">
        <v>77.100000000000009</v>
      </c>
      <c r="AN33" s="14">
        <v>35967.139386130701</v>
      </c>
      <c r="AO33" s="3">
        <f t="shared" si="39"/>
        <v>0.21508479538613787</v>
      </c>
      <c r="AP33" s="32">
        <f t="shared" si="13"/>
        <v>8.8045754803016685E-3</v>
      </c>
      <c r="AQ33" s="14">
        <f t="shared" si="36"/>
        <v>18.647570148089638</v>
      </c>
      <c r="AR33" s="4">
        <f t="shared" si="40"/>
        <v>3118303.8927735207</v>
      </c>
      <c r="AS33" s="4">
        <f t="shared" si="3"/>
        <v>2375814.2019126881</v>
      </c>
      <c r="AT33" s="4">
        <f t="shared" si="14"/>
        <v>2404212.3013283848</v>
      </c>
      <c r="AU33" s="4">
        <f t="shared" si="38"/>
        <v>101.59449974946222</v>
      </c>
      <c r="AV33" s="24">
        <f t="shared" si="15"/>
        <v>102.80885847399989</v>
      </c>
      <c r="AW33" s="22"/>
      <c r="BA33" t="e">
        <f t="shared" si="16"/>
        <v>#DIV/0!</v>
      </c>
      <c r="BB33" t="e">
        <f t="shared" si="17"/>
        <v>#DIV/0!</v>
      </c>
      <c r="BC33" t="e">
        <f t="shared" si="18"/>
        <v>#DIV/0!</v>
      </c>
      <c r="BD33" s="21">
        <f t="shared" si="19"/>
        <v>0.3335458443561336</v>
      </c>
      <c r="BE33" s="4">
        <f t="shared" si="20"/>
        <v>1.1895185376110793</v>
      </c>
      <c r="BF33" s="31">
        <f t="shared" si="37"/>
        <v>-6.4729171135413655E-4</v>
      </c>
      <c r="BG33" s="4">
        <f t="shared" si="21"/>
        <v>136.4479264318642</v>
      </c>
      <c r="BH33" s="19">
        <f t="shared" si="22"/>
        <v>1.2678845967764474E-2</v>
      </c>
      <c r="BJ33" s="1">
        <v>40603</v>
      </c>
      <c r="BK33" s="42">
        <v>138.17792867371466</v>
      </c>
      <c r="BL33" s="42">
        <v>138.80263181146512</v>
      </c>
      <c r="BM33" s="42">
        <v>136.4479264318642</v>
      </c>
      <c r="BN33" s="43">
        <f t="shared" si="23"/>
        <v>-4.5006577295954031E-3</v>
      </c>
      <c r="BO33" s="43">
        <f t="shared" si="24"/>
        <v>1.2678845967764474E-2</v>
      </c>
    </row>
    <row r="34" spans="2:67" x14ac:dyDescent="0.3">
      <c r="B34">
        <f t="shared" si="25"/>
        <v>2006</v>
      </c>
      <c r="C34">
        <f t="shared" si="26"/>
        <v>6</v>
      </c>
      <c r="D34" s="1">
        <f t="shared" si="27"/>
        <v>38869</v>
      </c>
      <c r="E34">
        <f>_xlfn.XLOOKUP(D34,[1]nairu_estimates_v6!$A$2:$A$265,[1]nairu_estimates_v6!$P$2:$P$265)</f>
        <v>12.7992730252298</v>
      </c>
      <c r="F34">
        <f>_xlfn.XLOOKUP(D34,[1]nairu_estimates_v6!$A$2:$A$265,[1]nairu_estimates_v6!$V$2:$V$265)</f>
        <v>79.821397836799505</v>
      </c>
      <c r="G34">
        <v>19352646.382292829</v>
      </c>
      <c r="H34">
        <f t="shared" si="0"/>
        <v>12.890687955397468</v>
      </c>
      <c r="I34">
        <f t="shared" si="1"/>
        <v>79.635938717161764</v>
      </c>
      <c r="J34">
        <f t="shared" si="4"/>
        <v>18915104.300695065</v>
      </c>
      <c r="L34">
        <v>3.2420206815004397E-2</v>
      </c>
      <c r="M34">
        <v>81.165499999999994</v>
      </c>
      <c r="N34">
        <f t="shared" si="5"/>
        <v>80.766566666666662</v>
      </c>
      <c r="O34">
        <v>17301695.889294501</v>
      </c>
      <c r="Q34">
        <f t="shared" si="28"/>
        <v>2011</v>
      </c>
      <c r="R34">
        <f t="shared" si="29"/>
        <v>6</v>
      </c>
      <c r="S34" s="9">
        <f t="shared" si="30"/>
        <v>40695</v>
      </c>
      <c r="T34" s="13">
        <v>169810.30319999999</v>
      </c>
      <c r="U34" s="14">
        <v>169894.7152848292</v>
      </c>
      <c r="V34" s="32">
        <f t="shared" si="6"/>
        <v>-4.9684938514826804E-4</v>
      </c>
      <c r="W34" s="41">
        <f t="shared" si="7"/>
        <v>140.38553482722631</v>
      </c>
      <c r="X34" s="15">
        <f t="shared" si="31"/>
        <v>140.3157843605637</v>
      </c>
      <c r="Y34" s="17">
        <v>21396589.883469116</v>
      </c>
      <c r="Z34">
        <v>11.992799494400833</v>
      </c>
      <c r="AA34" s="4">
        <f t="shared" si="8"/>
        <v>18830539.760105412</v>
      </c>
      <c r="AB34" s="4">
        <v>19012294.395537399</v>
      </c>
      <c r="AC34" s="4">
        <v>48</v>
      </c>
      <c r="AD34" s="14">
        <f t="shared" si="9"/>
        <v>41035512245.22171</v>
      </c>
      <c r="AE34" s="14">
        <f t="shared" si="10"/>
        <v>41431591946.755096</v>
      </c>
      <c r="AF34" s="14">
        <f t="shared" si="32"/>
        <v>114.02269018179092</v>
      </c>
      <c r="AG34" s="14">
        <f t="shared" si="11"/>
        <v>115.12325090649583</v>
      </c>
      <c r="AH34" s="14">
        <f t="shared" si="12"/>
        <v>2.4106999999999998</v>
      </c>
      <c r="AI34" s="14">
        <f t="shared" si="33"/>
        <v>107.16127311522048</v>
      </c>
      <c r="AJ34" s="14">
        <f t="shared" si="34"/>
        <v>122.18816643903067</v>
      </c>
      <c r="AK34" s="15">
        <f t="shared" si="35"/>
        <v>123.36754132303052</v>
      </c>
      <c r="AL34" s="22">
        <v>76.364966306883375</v>
      </c>
      <c r="AM34">
        <v>77.399999999999991</v>
      </c>
      <c r="AN34" s="14">
        <v>36525.936418744401</v>
      </c>
      <c r="AO34" s="3">
        <f t="shared" si="39"/>
        <v>0.2150984700599981</v>
      </c>
      <c r="AP34" s="32">
        <f t="shared" si="13"/>
        <v>8.8045754803016685E-3</v>
      </c>
      <c r="AQ34" s="14">
        <f t="shared" si="36"/>
        <v>18.413580514502069</v>
      </c>
      <c r="AR34" s="4">
        <f t="shared" si="40"/>
        <v>3126815.6901652082</v>
      </c>
      <c r="AS34" s="4">
        <f t="shared" si="3"/>
        <v>2387791.7482730038</v>
      </c>
      <c r="AT34" s="4">
        <f t="shared" si="14"/>
        <v>2420155.3441878711</v>
      </c>
      <c r="AU34" s="4">
        <f t="shared" si="38"/>
        <v>102.10668324837498</v>
      </c>
      <c r="AV34" s="24">
        <f t="shared" si="15"/>
        <v>103.49061442212488</v>
      </c>
      <c r="AW34" s="22"/>
      <c r="BA34" t="e">
        <f t="shared" si="16"/>
        <v>#DIV/0!</v>
      </c>
      <c r="BB34" t="e">
        <f t="shared" si="17"/>
        <v>#DIV/0!</v>
      </c>
      <c r="BC34" t="e">
        <f t="shared" si="18"/>
        <v>#DIV/0!</v>
      </c>
      <c r="BD34" s="21">
        <f t="shared" si="19"/>
        <v>0.3335458443561336</v>
      </c>
      <c r="BE34" s="4">
        <f t="shared" si="20"/>
        <v>1.206021772099402</v>
      </c>
      <c r="BF34" s="31">
        <f t="shared" si="37"/>
        <v>1.3873877511372257E-2</v>
      </c>
      <c r="BG34" s="4">
        <f t="shared" si="21"/>
        <v>138.79571735036055</v>
      </c>
      <c r="BH34" s="19">
        <f t="shared" si="22"/>
        <v>1.0951829344748809E-2</v>
      </c>
      <c r="BJ34" s="1">
        <v>40695</v>
      </c>
      <c r="BK34" s="42">
        <v>140.3157843605637</v>
      </c>
      <c r="BL34" s="42">
        <v>140.38553482722631</v>
      </c>
      <c r="BM34" s="42">
        <v>138.79571735036055</v>
      </c>
      <c r="BN34" s="43">
        <f t="shared" si="23"/>
        <v>-4.9684938514826804E-4</v>
      </c>
      <c r="BO34" s="43">
        <f t="shared" si="24"/>
        <v>1.0951829344748809E-2</v>
      </c>
    </row>
    <row r="35" spans="2:67" x14ac:dyDescent="0.3">
      <c r="B35">
        <f t="shared" si="25"/>
        <v>2006</v>
      </c>
      <c r="C35">
        <f t="shared" si="26"/>
        <v>7</v>
      </c>
      <c r="D35" s="1">
        <f t="shared" si="27"/>
        <v>38899</v>
      </c>
      <c r="E35">
        <f>_xlfn.XLOOKUP(D35,[1]nairu_estimates_v6!$A$2:$A$265,[1]nairu_estimates_v6!$P$2:$P$265)</f>
        <v>12.7012505484402</v>
      </c>
      <c r="F35">
        <f>_xlfn.XLOOKUP(D35,[1]nairu_estimates_v6!$A$2:$A$265,[1]nairu_estimates_v6!$V$2:$V$265)</f>
        <v>79.9945460043065</v>
      </c>
      <c r="G35">
        <v>19063783.665284682</v>
      </c>
      <c r="H35">
        <f t="shared" si="0"/>
        <v>0</v>
      </c>
      <c r="I35">
        <f t="shared" si="1"/>
        <v>0</v>
      </c>
      <c r="J35">
        <f t="shared" si="4"/>
        <v>0</v>
      </c>
      <c r="L35">
        <v>3.2420206815004397E-2</v>
      </c>
      <c r="M35">
        <v>83.235699999999994</v>
      </c>
      <c r="N35">
        <f t="shared" si="5"/>
        <v>0</v>
      </c>
      <c r="O35">
        <v>16768749.202527601</v>
      </c>
      <c r="Q35">
        <f t="shared" si="28"/>
        <v>2011</v>
      </c>
      <c r="R35">
        <f t="shared" si="29"/>
        <v>9</v>
      </c>
      <c r="S35" s="9">
        <f t="shared" si="30"/>
        <v>40787</v>
      </c>
      <c r="T35" s="13">
        <v>173255.15109999999</v>
      </c>
      <c r="U35" s="14">
        <v>171828.56859778153</v>
      </c>
      <c r="V35" s="32">
        <f t="shared" si="6"/>
        <v>8.302359228504308E-3</v>
      </c>
      <c r="W35" s="41">
        <f t="shared" si="7"/>
        <v>141.98349525325293</v>
      </c>
      <c r="X35" s="15">
        <f t="shared" si="31"/>
        <v>143.16229323536407</v>
      </c>
      <c r="Y35" s="17">
        <v>21617224.810325418</v>
      </c>
      <c r="Z35">
        <v>11.978308903968733</v>
      </c>
      <c r="AA35" s="4">
        <f t="shared" si="8"/>
        <v>19027846.846079268</v>
      </c>
      <c r="AB35" s="4">
        <v>19490256.7059827</v>
      </c>
      <c r="AC35" s="4">
        <v>48</v>
      </c>
      <c r="AD35" s="14">
        <f t="shared" si="9"/>
        <v>41465483846.975937</v>
      </c>
      <c r="AE35" s="14">
        <f t="shared" si="10"/>
        <v>42473167413.677498</v>
      </c>
      <c r="AF35" s="14">
        <f t="shared" si="32"/>
        <v>115.21742410982907</v>
      </c>
      <c r="AG35" s="14">
        <f t="shared" si="11"/>
        <v>118.01740843659164</v>
      </c>
      <c r="AH35" s="14">
        <f t="shared" si="12"/>
        <v>2.4106999999999998</v>
      </c>
      <c r="AI35" s="14">
        <f t="shared" si="33"/>
        <v>107.16127311522048</v>
      </c>
      <c r="AJ35" s="14">
        <f t="shared" si="34"/>
        <v>123.46845852665581</v>
      </c>
      <c r="AK35" s="15">
        <f t="shared" si="35"/>
        <v>126.46895737824123</v>
      </c>
      <c r="AL35" s="22">
        <v>76.689531840305733</v>
      </c>
      <c r="AM35">
        <v>78.033333333333331</v>
      </c>
      <c r="AN35" s="14">
        <v>38276.606381804901</v>
      </c>
      <c r="AO35" s="3">
        <f t="shared" si="39"/>
        <v>0.22092622435053766</v>
      </c>
      <c r="AP35" s="32">
        <f t="shared" si="13"/>
        <v>8.8045754803016685E-3</v>
      </c>
      <c r="AQ35" s="14">
        <f t="shared" si="36"/>
        <v>18.099383030851204</v>
      </c>
      <c r="AR35" s="4">
        <f t="shared" si="40"/>
        <v>3135811.3418269013</v>
      </c>
      <c r="AS35" s="4">
        <f t="shared" si="3"/>
        <v>2404839.03744226</v>
      </c>
      <c r="AT35" s="4">
        <f t="shared" si="14"/>
        <v>2446978.1170722586</v>
      </c>
      <c r="AU35" s="4">
        <f t="shared" si="38"/>
        <v>102.83565894598665</v>
      </c>
      <c r="AV35" s="24">
        <f t="shared" si="15"/>
        <v>104.63760907805755</v>
      </c>
      <c r="AW35" s="22"/>
      <c r="BA35" t="e">
        <f t="shared" si="16"/>
        <v>#DIV/0!</v>
      </c>
      <c r="BB35" t="e">
        <f t="shared" si="17"/>
        <v>#DIV/0!</v>
      </c>
      <c r="BC35" t="e">
        <f t="shared" si="18"/>
        <v>#DIV/0!</v>
      </c>
      <c r="BD35" s="21">
        <f t="shared" si="19"/>
        <v>0.3335458443561336</v>
      </c>
      <c r="BE35" s="4">
        <f t="shared" si="20"/>
        <v>1.2058526458362429</v>
      </c>
      <c r="BF35" s="31">
        <f t="shared" si="37"/>
        <v>-1.4023483412306526E-4</v>
      </c>
      <c r="BG35" s="4">
        <f t="shared" si="21"/>
        <v>140.07564378229296</v>
      </c>
      <c r="BH35" s="19">
        <f t="shared" si="22"/>
        <v>2.2035589983569359E-2</v>
      </c>
      <c r="BJ35" s="1">
        <v>40787</v>
      </c>
      <c r="BK35" s="42">
        <v>143.16229323536407</v>
      </c>
      <c r="BL35" s="42">
        <v>141.98349525325293</v>
      </c>
      <c r="BM35" s="42">
        <v>140.07564378229296</v>
      </c>
      <c r="BN35" s="43">
        <f t="shared" si="23"/>
        <v>8.302359228504308E-3</v>
      </c>
      <c r="BO35" s="43">
        <f t="shared" si="24"/>
        <v>2.2035589983569359E-2</v>
      </c>
    </row>
    <row r="36" spans="2:67" x14ac:dyDescent="0.3">
      <c r="B36">
        <f t="shared" si="25"/>
        <v>2006</v>
      </c>
      <c r="C36">
        <f t="shared" si="26"/>
        <v>8</v>
      </c>
      <c r="D36" s="1">
        <f t="shared" si="27"/>
        <v>38930</v>
      </c>
      <c r="E36">
        <f>_xlfn.XLOOKUP(D36,[1]nairu_estimates_v6!$A$2:$A$265,[1]nairu_estimates_v6!$P$2:$P$265)</f>
        <v>12.611723064352701</v>
      </c>
      <c r="F36">
        <f>_xlfn.XLOOKUP(D36,[1]nairu_estimates_v6!$A$2:$A$265,[1]nairu_estimates_v6!$V$2:$V$265)</f>
        <v>80.320192242116903</v>
      </c>
      <c r="G36">
        <v>18594648.258061793</v>
      </c>
      <c r="H36">
        <f t="shared" si="0"/>
        <v>0</v>
      </c>
      <c r="I36">
        <f t="shared" si="1"/>
        <v>0</v>
      </c>
      <c r="J36">
        <f t="shared" si="4"/>
        <v>0</v>
      </c>
      <c r="L36">
        <v>3.2420206815004397E-2</v>
      </c>
      <c r="M36">
        <v>82.742900000000006</v>
      </c>
      <c r="N36">
        <f t="shared" si="5"/>
        <v>0</v>
      </c>
      <c r="O36">
        <v>16168331.2749191</v>
      </c>
      <c r="Q36">
        <f t="shared" si="28"/>
        <v>2011</v>
      </c>
      <c r="R36">
        <f t="shared" si="29"/>
        <v>12</v>
      </c>
      <c r="S36" s="9">
        <f t="shared" si="30"/>
        <v>40878</v>
      </c>
      <c r="T36" s="13">
        <v>174339.47760000001</v>
      </c>
      <c r="U36" s="14">
        <v>173773.16758955069</v>
      </c>
      <c r="V36" s="32">
        <f t="shared" si="6"/>
        <v>3.258903651839562E-3</v>
      </c>
      <c r="W36" s="41">
        <f t="shared" si="7"/>
        <v>143.59033493055733</v>
      </c>
      <c r="X36" s="15">
        <f t="shared" si="31"/>
        <v>144.05828199743141</v>
      </c>
      <c r="Y36" s="17">
        <v>22031764.476761494</v>
      </c>
      <c r="Z36">
        <v>11.903300183699635</v>
      </c>
      <c r="AA36" s="4">
        <f t="shared" si="8"/>
        <v>19409257.415326871</v>
      </c>
      <c r="AB36" s="4">
        <v>19574003.976365399</v>
      </c>
      <c r="AC36" s="4">
        <v>48</v>
      </c>
      <c r="AD36" s="14">
        <f t="shared" si="9"/>
        <v>42296653759.480316</v>
      </c>
      <c r="AE36" s="14">
        <f t="shared" si="10"/>
        <v>42655669465.295471</v>
      </c>
      <c r="AF36" s="14">
        <f t="shared" si="32"/>
        <v>117.52694150675028</v>
      </c>
      <c r="AG36" s="14">
        <f t="shared" si="11"/>
        <v>118.52451493412536</v>
      </c>
      <c r="AH36" s="14">
        <f t="shared" si="12"/>
        <v>2.4106999999999998</v>
      </c>
      <c r="AI36" s="14">
        <f t="shared" si="33"/>
        <v>107.16127311522048</v>
      </c>
      <c r="AJ36" s="14">
        <f t="shared" si="34"/>
        <v>125.94336677201409</v>
      </c>
      <c r="AK36" s="15">
        <f t="shared" si="35"/>
        <v>127.01237915704836</v>
      </c>
      <c r="AL36" s="22">
        <v>77.177188208162633</v>
      </c>
      <c r="AM36">
        <v>75.966666666666654</v>
      </c>
      <c r="AN36" s="14">
        <v>38684.317813319998</v>
      </c>
      <c r="AO36" s="3">
        <f t="shared" si="39"/>
        <v>0.22189075214551404</v>
      </c>
      <c r="AP36" s="32">
        <f t="shared" si="13"/>
        <v>8.8045754803016685E-3</v>
      </c>
      <c r="AQ36" s="14">
        <f t="shared" si="36"/>
        <v>18.047997526852775</v>
      </c>
      <c r="AR36" s="4">
        <f t="shared" si="40"/>
        <v>3146478.4605576051</v>
      </c>
      <c r="AS36" s="4">
        <f t="shared" si="3"/>
        <v>2428363.6034338414</v>
      </c>
      <c r="AT36" s="4">
        <f t="shared" si="14"/>
        <v>2390274.8038702602</v>
      </c>
      <c r="AU36" s="4">
        <f t="shared" si="38"/>
        <v>103.84161577199342</v>
      </c>
      <c r="AV36" s="24">
        <f t="shared" si="15"/>
        <v>102.21286360164095</v>
      </c>
      <c r="AW36" s="22"/>
      <c r="BA36" t="e">
        <f t="shared" si="16"/>
        <v>#DIV/0!</v>
      </c>
      <c r="BB36" t="e">
        <f t="shared" si="17"/>
        <v>#DIV/0!</v>
      </c>
      <c r="BC36" t="e">
        <f t="shared" si="18"/>
        <v>#DIV/0!</v>
      </c>
      <c r="BD36" s="21">
        <f t="shared" si="19"/>
        <v>0.3335458443561336</v>
      </c>
      <c r="BE36" s="4">
        <f t="shared" si="20"/>
        <v>1.2194361353105587</v>
      </c>
      <c r="BF36" s="31">
        <f t="shared" si="37"/>
        <v>1.1264634631120929E-2</v>
      </c>
      <c r="BG36" s="4">
        <f t="shared" si="21"/>
        <v>144.00644497488878</v>
      </c>
      <c r="BH36" s="19">
        <f t="shared" si="22"/>
        <v>3.599632124220431E-4</v>
      </c>
      <c r="BJ36" s="1">
        <v>40878</v>
      </c>
      <c r="BK36" s="42">
        <v>144.05828199743141</v>
      </c>
      <c r="BL36" s="42">
        <v>143.59033493055733</v>
      </c>
      <c r="BM36" s="42">
        <v>144.00644497488878</v>
      </c>
      <c r="BN36" s="43">
        <f t="shared" si="23"/>
        <v>3.258903651839562E-3</v>
      </c>
      <c r="BO36" s="43">
        <f t="shared" si="24"/>
        <v>3.599632124220431E-4</v>
      </c>
    </row>
    <row r="37" spans="2:67" x14ac:dyDescent="0.3">
      <c r="B37">
        <f t="shared" si="25"/>
        <v>2006</v>
      </c>
      <c r="C37">
        <f t="shared" si="26"/>
        <v>9</v>
      </c>
      <c r="D37" s="1">
        <f t="shared" si="27"/>
        <v>38961</v>
      </c>
      <c r="E37">
        <f>_xlfn.XLOOKUP(D37,[1]nairu_estimates_v6!$A$2:$A$265,[1]nairu_estimates_v6!$P$2:$P$265)</f>
        <v>12.5330902568278</v>
      </c>
      <c r="F37">
        <f>_xlfn.XLOOKUP(D37,[1]nairu_estimates_v6!$A$2:$A$265,[1]nairu_estimates_v6!$V$2:$V$265)</f>
        <v>80.522390398772799</v>
      </c>
      <c r="G37">
        <v>18277973.132603571</v>
      </c>
      <c r="H37">
        <f t="shared" si="0"/>
        <v>12.615354623206899</v>
      </c>
      <c r="I37">
        <f t="shared" si="1"/>
        <v>80.279042881732082</v>
      </c>
      <c r="J37">
        <f t="shared" si="4"/>
        <v>18645468.35198335</v>
      </c>
      <c r="L37">
        <v>3.2420206815004397E-2</v>
      </c>
      <c r="M37">
        <v>85.300799999999995</v>
      </c>
      <c r="N37">
        <f t="shared" si="5"/>
        <v>83.759799999999998</v>
      </c>
      <c r="O37">
        <v>15880895.4566468</v>
      </c>
      <c r="Q37">
        <f t="shared" si="28"/>
        <v>2012</v>
      </c>
      <c r="R37">
        <f t="shared" si="29"/>
        <v>3</v>
      </c>
      <c r="S37" s="9">
        <f t="shared" si="30"/>
        <v>40969</v>
      </c>
      <c r="T37" s="13">
        <v>177267.96109999999</v>
      </c>
      <c r="U37" s="14">
        <v>175721.92705998686</v>
      </c>
      <c r="V37" s="32">
        <f t="shared" si="6"/>
        <v>8.7981850977842946E-3</v>
      </c>
      <c r="W37" s="41">
        <f t="shared" si="7"/>
        <v>145.20061244889069</v>
      </c>
      <c r="X37" s="15">
        <f t="shared" si="31"/>
        <v>146.47811431352767</v>
      </c>
      <c r="Y37" s="17">
        <v>22122242.322151508</v>
      </c>
      <c r="Z37">
        <v>11.773121995478933</v>
      </c>
      <c r="AA37" s="4">
        <f t="shared" si="8"/>
        <v>19517763.74542914</v>
      </c>
      <c r="AB37" s="4">
        <v>19896186.002633799</v>
      </c>
      <c r="AC37" s="4">
        <v>48</v>
      </c>
      <c r="AD37" s="14">
        <f t="shared" si="9"/>
        <v>42533110754.039177</v>
      </c>
      <c r="AE37" s="14">
        <f t="shared" si="10"/>
        <v>43357768536.939575</v>
      </c>
      <c r="AF37" s="14">
        <f t="shared" si="32"/>
        <v>118.18396907035871</v>
      </c>
      <c r="AG37" s="14">
        <f t="shared" si="11"/>
        <v>120.47539163927287</v>
      </c>
      <c r="AH37" s="14">
        <f t="shared" si="12"/>
        <v>2.4357000000000002</v>
      </c>
      <c r="AI37" s="14">
        <f t="shared" si="33"/>
        <v>108.27258179231865</v>
      </c>
      <c r="AJ37" s="14">
        <f t="shared" si="34"/>
        <v>127.96083457711271</v>
      </c>
      <c r="AK37" s="15">
        <f t="shared" si="35"/>
        <v>130.44181695224793</v>
      </c>
      <c r="AL37" s="22">
        <v>76.819518634881035</v>
      </c>
      <c r="AM37">
        <v>75.8</v>
      </c>
      <c r="AN37" s="14">
        <v>37576.305037087601</v>
      </c>
      <c r="AO37" s="3">
        <f t="shared" si="39"/>
        <v>0.21197459938003205</v>
      </c>
      <c r="AP37" s="32">
        <f t="shared" si="13"/>
        <v>9.0031944098365457E-3</v>
      </c>
      <c r="AQ37" s="14">
        <f t="shared" si="36"/>
        <v>17.811788163381784</v>
      </c>
      <c r="AR37" s="4">
        <f t="shared" si="40"/>
        <v>3157459.3712678025</v>
      </c>
      <c r="AS37" s="4">
        <f t="shared" ref="AS37:AS68" si="41">AR37*AL37/100</f>
        <v>2425545.0900998674</v>
      </c>
      <c r="AT37" s="4">
        <f t="shared" si="14"/>
        <v>2393354.2034209943</v>
      </c>
      <c r="AU37" s="4">
        <f t="shared" si="38"/>
        <v>103.72109058447172</v>
      </c>
      <c r="AV37" s="24">
        <f t="shared" si="15"/>
        <v>102.34454479818977</v>
      </c>
      <c r="AW37" s="22"/>
      <c r="BA37" t="e">
        <f t="shared" si="16"/>
        <v>#DIV/0!</v>
      </c>
      <c r="BB37" t="e">
        <f t="shared" si="17"/>
        <v>#DIV/0!</v>
      </c>
      <c r="BC37" t="e">
        <f t="shared" si="18"/>
        <v>#DIV/0!</v>
      </c>
      <c r="BD37" s="21">
        <f t="shared" si="19"/>
        <v>0.3335458443561336</v>
      </c>
      <c r="BE37" s="4">
        <f t="shared" si="20"/>
        <v>1.2175748523573522</v>
      </c>
      <c r="BF37" s="31">
        <f t="shared" si="37"/>
        <v>-1.5263472184482429E-3</v>
      </c>
      <c r="BG37" s="4">
        <f t="shared" si="21"/>
        <v>145.26133149404964</v>
      </c>
      <c r="BH37" s="19">
        <f t="shared" si="22"/>
        <v>8.3765087856699783E-3</v>
      </c>
      <c r="BJ37" s="1">
        <v>40969</v>
      </c>
      <c r="BK37" s="42">
        <v>146.47811431352767</v>
      </c>
      <c r="BL37" s="42">
        <v>145.20061244889069</v>
      </c>
      <c r="BM37" s="42">
        <v>145.26133149404964</v>
      </c>
      <c r="BN37" s="43">
        <f t="shared" si="23"/>
        <v>8.7981850977842946E-3</v>
      </c>
      <c r="BO37" s="43">
        <f t="shared" si="24"/>
        <v>8.3765087856699783E-3</v>
      </c>
    </row>
    <row r="38" spans="2:67" x14ac:dyDescent="0.3">
      <c r="B38">
        <f t="shared" si="25"/>
        <v>2006</v>
      </c>
      <c r="C38">
        <f t="shared" si="26"/>
        <v>10</v>
      </c>
      <c r="D38" s="1">
        <f t="shared" si="27"/>
        <v>38991</v>
      </c>
      <c r="E38">
        <f>_xlfn.XLOOKUP(D38,[1]nairu_estimates_v6!$A$2:$A$265,[1]nairu_estimates_v6!$P$2:$P$265)</f>
        <v>12.465771479529399</v>
      </c>
      <c r="F38">
        <f>_xlfn.XLOOKUP(D38,[1]nairu_estimates_v6!$A$2:$A$265,[1]nairu_estimates_v6!$V$2:$V$265)</f>
        <v>80.875226941043294</v>
      </c>
      <c r="G38">
        <v>18066431.795250591</v>
      </c>
      <c r="H38">
        <f t="shared" si="0"/>
        <v>0</v>
      </c>
      <c r="I38">
        <f t="shared" si="1"/>
        <v>0</v>
      </c>
      <c r="J38">
        <f t="shared" si="4"/>
        <v>0</v>
      </c>
      <c r="L38">
        <v>3.2420206815004397E-2</v>
      </c>
      <c r="M38">
        <v>81.503100000000003</v>
      </c>
      <c r="N38">
        <f t="shared" si="5"/>
        <v>0</v>
      </c>
      <c r="O38">
        <v>15784513.700137401</v>
      </c>
      <c r="Q38">
        <f t="shared" si="28"/>
        <v>2012</v>
      </c>
      <c r="R38">
        <f t="shared" si="29"/>
        <v>6</v>
      </c>
      <c r="S38" s="9">
        <f t="shared" si="30"/>
        <v>41061</v>
      </c>
      <c r="T38" s="13">
        <v>177875.45559999999</v>
      </c>
      <c r="U38" s="14">
        <v>177668.61575269679</v>
      </c>
      <c r="V38" s="32">
        <f t="shared" si="6"/>
        <v>1.1641889954898677E-3</v>
      </c>
      <c r="W38" s="41">
        <f t="shared" si="7"/>
        <v>146.80917886492094</v>
      </c>
      <c r="X38" s="15">
        <f t="shared" si="31"/>
        <v>146.98009249539237</v>
      </c>
      <c r="Y38" s="17">
        <v>22231994.501223583</v>
      </c>
      <c r="Z38">
        <v>11.627599867169435</v>
      </c>
      <c r="AA38" s="4">
        <f t="shared" si="8"/>
        <v>19646947.138130192</v>
      </c>
      <c r="AB38" s="4">
        <v>20048440.512552798</v>
      </c>
      <c r="AC38" s="4">
        <v>48</v>
      </c>
      <c r="AD38" s="14">
        <f t="shared" si="9"/>
        <v>42814627203.413315</v>
      </c>
      <c r="AE38" s="14">
        <f t="shared" si="10"/>
        <v>43689561564.955055</v>
      </c>
      <c r="AF38" s="14">
        <f t="shared" si="32"/>
        <v>118.96620038981307</v>
      </c>
      <c r="AG38" s="14">
        <f t="shared" si="11"/>
        <v>121.39732319484382</v>
      </c>
      <c r="AH38" s="14">
        <f t="shared" si="12"/>
        <v>2.4357000000000002</v>
      </c>
      <c r="AI38" s="14">
        <f t="shared" si="33"/>
        <v>108.27258179231865</v>
      </c>
      <c r="AJ38" s="14">
        <f t="shared" si="34"/>
        <v>128.80777662227405</v>
      </c>
      <c r="AK38" s="15">
        <f t="shared" si="35"/>
        <v>131.4400160498227</v>
      </c>
      <c r="AL38" s="22">
        <v>76.603457327385215</v>
      </c>
      <c r="AM38">
        <v>77.63333333333334</v>
      </c>
      <c r="AN38" s="14">
        <v>39098.445580068503</v>
      </c>
      <c r="AO38" s="3">
        <f t="shared" si="39"/>
        <v>0.21980798558285466</v>
      </c>
      <c r="AP38" s="32">
        <f t="shared" si="13"/>
        <v>9.0031944098365457E-3</v>
      </c>
      <c r="AQ38" s="14">
        <f t="shared" si="36"/>
        <v>17.802391257763876</v>
      </c>
      <c r="AR38" s="4">
        <f t="shared" si="40"/>
        <v>3166608.455744206</v>
      </c>
      <c r="AS38" s="4">
        <f t="shared" si="41"/>
        <v>2425731.5571213849</v>
      </c>
      <c r="AT38" s="4">
        <f t="shared" si="14"/>
        <v>2458343.6978094187</v>
      </c>
      <c r="AU38" s="4">
        <f t="shared" ref="AU38:AU69" si="42">AS38/$AS$5*$AU$5</f>
        <v>103.72906428197533</v>
      </c>
      <c r="AV38" s="24">
        <f t="shared" si="15"/>
        <v>105.1236237202902</v>
      </c>
      <c r="AW38" s="22"/>
      <c r="BA38" t="e">
        <f t="shared" si="16"/>
        <v>#DIV/0!</v>
      </c>
      <c r="BB38" t="e">
        <f t="shared" si="17"/>
        <v>#DIV/0!</v>
      </c>
      <c r="BC38" t="e">
        <f t="shared" si="18"/>
        <v>#DIV/0!</v>
      </c>
      <c r="BD38" s="21">
        <f t="shared" si="19"/>
        <v>0.3335458443561336</v>
      </c>
      <c r="BE38" s="4">
        <f t="shared" si="20"/>
        <v>1.2047417447209532</v>
      </c>
      <c r="BF38" s="31">
        <f t="shared" si="37"/>
        <v>-1.0539892156570696E-2</v>
      </c>
      <c r="BG38" s="4">
        <f t="shared" si="21"/>
        <v>144.36730528766637</v>
      </c>
      <c r="BH38" s="19">
        <f t="shared" si="22"/>
        <v>1.8098191986889001E-2</v>
      </c>
      <c r="BJ38" s="1">
        <v>41061</v>
      </c>
      <c r="BK38" s="42">
        <v>146.98009249539237</v>
      </c>
      <c r="BL38" s="42">
        <v>146.80917886492094</v>
      </c>
      <c r="BM38" s="42">
        <v>144.36730528766637</v>
      </c>
      <c r="BN38" s="43">
        <f t="shared" si="23"/>
        <v>1.1641889954898677E-3</v>
      </c>
      <c r="BO38" s="43">
        <f t="shared" si="24"/>
        <v>1.8098191986889001E-2</v>
      </c>
    </row>
    <row r="39" spans="2:67" x14ac:dyDescent="0.3">
      <c r="B39">
        <f t="shared" si="25"/>
        <v>2006</v>
      </c>
      <c r="C39">
        <f t="shared" si="26"/>
        <v>11</v>
      </c>
      <c r="D39" s="1">
        <f t="shared" si="27"/>
        <v>39022</v>
      </c>
      <c r="E39">
        <f>_xlfn.XLOOKUP(D39,[1]nairu_estimates_v6!$A$2:$A$265,[1]nairu_estimates_v6!$P$2:$P$265)</f>
        <v>12.406228958674401</v>
      </c>
      <c r="F39">
        <f>_xlfn.XLOOKUP(D39,[1]nairu_estimates_v6!$A$2:$A$265,[1]nairu_estimates_v6!$V$2:$V$265)</f>
        <v>81.112533084350403</v>
      </c>
      <c r="G39">
        <v>18173465.343969729</v>
      </c>
      <c r="H39">
        <f t="shared" si="0"/>
        <v>0</v>
      </c>
      <c r="I39">
        <f t="shared" si="1"/>
        <v>0</v>
      </c>
      <c r="J39">
        <f t="shared" si="4"/>
        <v>0</v>
      </c>
      <c r="L39">
        <v>3.2420206815004397E-2</v>
      </c>
      <c r="M39">
        <v>81.727099999999993</v>
      </c>
      <c r="N39">
        <f t="shared" si="5"/>
        <v>0</v>
      </c>
      <c r="O39">
        <v>15951656.454076199</v>
      </c>
      <c r="Q39">
        <f t="shared" si="28"/>
        <v>2012</v>
      </c>
      <c r="R39">
        <f t="shared" si="29"/>
        <v>9</v>
      </c>
      <c r="S39" s="9">
        <f t="shared" si="30"/>
        <v>41153</v>
      </c>
      <c r="T39" s="13">
        <v>177019.5441</v>
      </c>
      <c r="U39" s="14">
        <v>179607.96868256223</v>
      </c>
      <c r="V39" s="32">
        <f t="shared" si="6"/>
        <v>-1.4411524174280932E-2</v>
      </c>
      <c r="W39" s="41">
        <f t="shared" si="7"/>
        <v>148.41168367398146</v>
      </c>
      <c r="X39" s="15">
        <f t="shared" si="31"/>
        <v>146.27284510696813</v>
      </c>
      <c r="Y39" s="17">
        <v>22085228.384584166</v>
      </c>
      <c r="Z39">
        <v>11.469560951221199</v>
      </c>
      <c r="AA39" s="4">
        <f t="shared" si="8"/>
        <v>19552149.65379788</v>
      </c>
      <c r="AB39" s="4">
        <v>19592951.813421</v>
      </c>
      <c r="AC39" s="4">
        <v>48</v>
      </c>
      <c r="AD39" s="14">
        <f t="shared" si="9"/>
        <v>42608044525.556335</v>
      </c>
      <c r="AE39" s="14">
        <f t="shared" si="10"/>
        <v>42696960591.807045</v>
      </c>
      <c r="AF39" s="14">
        <f t="shared" si="32"/>
        <v>118.39218263335253</v>
      </c>
      <c r="AG39" s="14">
        <f t="shared" si="11"/>
        <v>118.63924788292717</v>
      </c>
      <c r="AH39" s="14">
        <f t="shared" si="12"/>
        <v>2.4357000000000002</v>
      </c>
      <c r="AI39" s="14">
        <f t="shared" si="33"/>
        <v>108.27258179231865</v>
      </c>
      <c r="AJ39" s="14">
        <f t="shared" si="34"/>
        <v>128.18627277740788</v>
      </c>
      <c r="AK39" s="15">
        <f t="shared" si="35"/>
        <v>128.45377670183399</v>
      </c>
      <c r="AL39" s="22">
        <v>76.72143591391783</v>
      </c>
      <c r="AM39">
        <v>78.433333333333337</v>
      </c>
      <c r="AN39" s="14">
        <v>39052.271240409202</v>
      </c>
      <c r="AO39" s="3">
        <f t="shared" si="39"/>
        <v>0.22060994134268139</v>
      </c>
      <c r="AP39" s="32">
        <f t="shared" si="13"/>
        <v>9.0031944098365457E-3</v>
      </c>
      <c r="AQ39" s="14">
        <f t="shared" si="36"/>
        <v>17.948285461533832</v>
      </c>
      <c r="AR39" s="4">
        <f t="shared" si="40"/>
        <v>3177197.3097773772</v>
      </c>
      <c r="AS39" s="4">
        <f t="shared" si="41"/>
        <v>2437591.3978795721</v>
      </c>
      <c r="AT39" s="4">
        <f t="shared" si="14"/>
        <v>2491981.7566353898</v>
      </c>
      <c r="AU39" s="4">
        <f t="shared" si="42"/>
        <v>104.23621445725684</v>
      </c>
      <c r="AV39" s="24">
        <f t="shared" si="15"/>
        <v>106.56205344102186</v>
      </c>
      <c r="AW39" s="22"/>
      <c r="BA39" t="e">
        <f t="shared" si="16"/>
        <v>#DIV/0!</v>
      </c>
      <c r="BB39" t="e">
        <f t="shared" si="17"/>
        <v>#DIV/0!</v>
      </c>
      <c r="BC39" t="e">
        <f t="shared" si="18"/>
        <v>#DIV/0!</v>
      </c>
      <c r="BD39" s="21">
        <f t="shared" si="19"/>
        <v>0.3335458443561336</v>
      </c>
      <c r="BE39" s="4">
        <f t="shared" si="20"/>
        <v>1.2119429431060402</v>
      </c>
      <c r="BF39" s="31">
        <f t="shared" si="37"/>
        <v>5.9773793152282373E-3</v>
      </c>
      <c r="BG39" s="4">
        <f t="shared" si="21"/>
        <v>144.99854447423215</v>
      </c>
      <c r="BH39" s="19">
        <f t="shared" si="22"/>
        <v>8.7883684443634813E-3</v>
      </c>
      <c r="BJ39" s="1">
        <v>41153</v>
      </c>
      <c r="BK39" s="42">
        <v>146.27284510696813</v>
      </c>
      <c r="BL39" s="42">
        <v>148.41168367398146</v>
      </c>
      <c r="BM39" s="42">
        <v>144.99854447423215</v>
      </c>
      <c r="BN39" s="43">
        <f t="shared" si="23"/>
        <v>-1.4411524174280932E-2</v>
      </c>
      <c r="BO39" s="43">
        <f t="shared" si="24"/>
        <v>8.7883684443634813E-3</v>
      </c>
    </row>
    <row r="40" spans="2:67" x14ac:dyDescent="0.3">
      <c r="B40">
        <f t="shared" si="25"/>
        <v>2006</v>
      </c>
      <c r="C40">
        <f t="shared" si="26"/>
        <v>12</v>
      </c>
      <c r="D40" s="1">
        <f t="shared" si="27"/>
        <v>39052</v>
      </c>
      <c r="E40">
        <f>_xlfn.XLOOKUP(D40,[1]nairu_estimates_v6!$A$2:$A$265,[1]nairu_estimates_v6!$P$2:$P$265)</f>
        <v>12.3505114242078</v>
      </c>
      <c r="F40">
        <f>_xlfn.XLOOKUP(D40,[1]nairu_estimates_v6!$A$2:$A$265,[1]nairu_estimates_v6!$V$2:$V$265)</f>
        <v>81.647857021393307</v>
      </c>
      <c r="G40">
        <v>18309414.78976674</v>
      </c>
      <c r="H40">
        <f t="shared" si="0"/>
        <v>12.4075039541372</v>
      </c>
      <c r="I40">
        <f t="shared" si="1"/>
        <v>81.211872348928992</v>
      </c>
      <c r="J40">
        <f t="shared" si="4"/>
        <v>18183103.976329017</v>
      </c>
      <c r="L40">
        <v>3.2420206815004397E-2</v>
      </c>
      <c r="M40">
        <v>79.967200000000005</v>
      </c>
      <c r="N40">
        <f t="shared" si="5"/>
        <v>81.06580000000001</v>
      </c>
      <c r="O40">
        <v>15962582.235826699</v>
      </c>
      <c r="Q40">
        <f t="shared" si="28"/>
        <v>2012</v>
      </c>
      <c r="R40">
        <f t="shared" si="29"/>
        <v>12</v>
      </c>
      <c r="S40" s="9">
        <f t="shared" si="30"/>
        <v>41244</v>
      </c>
      <c r="T40" s="13">
        <v>179252.0392</v>
      </c>
      <c r="U40" s="14">
        <v>181534.85013936949</v>
      </c>
      <c r="V40" s="32">
        <f t="shared" si="6"/>
        <v>-1.2575056181316713E-2</v>
      </c>
      <c r="W40" s="41">
        <f t="shared" si="7"/>
        <v>150.00388319242467</v>
      </c>
      <c r="X40" s="15">
        <f t="shared" si="31"/>
        <v>148.11757593386426</v>
      </c>
      <c r="Y40" s="17">
        <v>22029093.792040773</v>
      </c>
      <c r="Z40">
        <v>11.310011268087534</v>
      </c>
      <c r="AA40" s="4">
        <f t="shared" si="8"/>
        <v>19537600.801903393</v>
      </c>
      <c r="AB40" s="4">
        <v>19865001.261669099</v>
      </c>
      <c r="AC40" s="4">
        <v>48</v>
      </c>
      <c r="AD40" s="14">
        <f t="shared" si="9"/>
        <v>42576339667.507874</v>
      </c>
      <c r="AE40" s="14">
        <f t="shared" si="10"/>
        <v>43289810749.429298</v>
      </c>
      <c r="AF40" s="14">
        <f t="shared" si="32"/>
        <v>118.30408642085945</v>
      </c>
      <c r="AG40" s="14">
        <f t="shared" si="11"/>
        <v>120.28656178613448</v>
      </c>
      <c r="AH40" s="14">
        <f t="shared" si="12"/>
        <v>2.4357000000000002</v>
      </c>
      <c r="AI40" s="14">
        <f t="shared" si="33"/>
        <v>108.27258179231865</v>
      </c>
      <c r="AJ40" s="14">
        <f t="shared" si="34"/>
        <v>128.09088873368037</v>
      </c>
      <c r="AK40" s="15">
        <f t="shared" si="35"/>
        <v>130.23736599506037</v>
      </c>
      <c r="AL40" s="22">
        <v>77.238083500406532</v>
      </c>
      <c r="AM40">
        <v>75.100000000000009</v>
      </c>
      <c r="AN40" s="14">
        <v>38709.978142434702</v>
      </c>
      <c r="AO40" s="3">
        <f t="shared" si="39"/>
        <v>0.21595279091494265</v>
      </c>
      <c r="AP40" s="32">
        <f t="shared" si="13"/>
        <v>9.0031944098365457E-3</v>
      </c>
      <c r="AQ40" s="14">
        <f t="shared" si="36"/>
        <v>17.783031480065031</v>
      </c>
      <c r="AR40" s="4">
        <f t="shared" si="40"/>
        <v>3187644.6559594506</v>
      </c>
      <c r="AS40" s="4">
        <f t="shared" si="41"/>
        <v>2462075.6410662071</v>
      </c>
      <c r="AT40" s="4">
        <f t="shared" si="14"/>
        <v>2393921.1366255479</v>
      </c>
      <c r="AU40" s="4">
        <f t="shared" si="42"/>
        <v>105.28320897235308</v>
      </c>
      <c r="AV40" s="24">
        <f t="shared" si="15"/>
        <v>102.36878797985844</v>
      </c>
      <c r="AW40" s="22"/>
      <c r="BA40" t="e">
        <f t="shared" si="16"/>
        <v>#DIV/0!</v>
      </c>
      <c r="BB40" t="e">
        <f t="shared" si="17"/>
        <v>#DIV/0!</v>
      </c>
      <c r="BC40" t="e">
        <f t="shared" si="18"/>
        <v>#DIV/0!</v>
      </c>
      <c r="BD40" s="21">
        <f t="shared" si="19"/>
        <v>0.3335458443561336</v>
      </c>
      <c r="BE40" s="4">
        <f t="shared" si="20"/>
        <v>1.2323930140162107</v>
      </c>
      <c r="BF40" s="31">
        <f t="shared" si="37"/>
        <v>1.6873790161902935E-2</v>
      </c>
      <c r="BG40" s="4">
        <f t="shared" si="21"/>
        <v>147.86418515801782</v>
      </c>
      <c r="BH40" s="19">
        <f t="shared" si="22"/>
        <v>1.713672418886647E-3</v>
      </c>
      <c r="BJ40" s="1">
        <v>41244</v>
      </c>
      <c r="BK40" s="42">
        <v>148.11757593386426</v>
      </c>
      <c r="BL40" s="42">
        <v>150.00388319242467</v>
      </c>
      <c r="BM40" s="42">
        <v>147.86418515801782</v>
      </c>
      <c r="BN40" s="43">
        <f t="shared" si="23"/>
        <v>-1.2575056181316713E-2</v>
      </c>
      <c r="BO40" s="43">
        <f t="shared" si="24"/>
        <v>1.713672418886647E-3</v>
      </c>
    </row>
    <row r="41" spans="2:67" x14ac:dyDescent="0.3">
      <c r="B41">
        <f t="shared" si="25"/>
        <v>2007</v>
      </c>
      <c r="C41">
        <f t="shared" si="26"/>
        <v>1</v>
      </c>
      <c r="D41" s="1">
        <f t="shared" si="27"/>
        <v>39083</v>
      </c>
      <c r="E41">
        <f>_xlfn.XLOOKUP(D41,[1]nairu_estimates_v6!$A$2:$A$265,[1]nairu_estimates_v6!$P$2:$P$265)</f>
        <v>12.3038048472947</v>
      </c>
      <c r="F41">
        <f>_xlfn.XLOOKUP(D41,[1]nairu_estimates_v6!$A$2:$A$265,[1]nairu_estimates_v6!$V$2:$V$265)</f>
        <v>81.619518155363195</v>
      </c>
      <c r="G41">
        <v>18326181.041780349</v>
      </c>
      <c r="H41">
        <f t="shared" si="0"/>
        <v>0</v>
      </c>
      <c r="I41">
        <f t="shared" si="1"/>
        <v>0</v>
      </c>
      <c r="J41">
        <f t="shared" si="4"/>
        <v>0</v>
      </c>
      <c r="K41">
        <v>2.3168000000000002</v>
      </c>
      <c r="L41">
        <v>3.3165283501148203E-2</v>
      </c>
      <c r="M41">
        <v>81.208399999999997</v>
      </c>
      <c r="N41">
        <f t="shared" si="5"/>
        <v>0</v>
      </c>
      <c r="O41">
        <v>16129665.7393567</v>
      </c>
      <c r="Q41">
        <f t="shared" si="28"/>
        <v>2013</v>
      </c>
      <c r="R41">
        <f t="shared" si="29"/>
        <v>3</v>
      </c>
      <c r="S41" s="9">
        <f t="shared" si="30"/>
        <v>41334</v>
      </c>
      <c r="T41" s="13">
        <v>181471.86979999999</v>
      </c>
      <c r="U41" s="14">
        <v>183442.50664754075</v>
      </c>
      <c r="V41" s="32">
        <f t="shared" si="6"/>
        <v>-1.0742531180775172E-2</v>
      </c>
      <c r="W41" s="41">
        <f t="shared" si="7"/>
        <v>151.58019696249858</v>
      </c>
      <c r="X41" s="15">
        <f t="shared" si="31"/>
        <v>149.95184197024091</v>
      </c>
      <c r="Y41" s="17">
        <v>22057790.901800562</v>
      </c>
      <c r="Z41">
        <v>11.149149853935299</v>
      </c>
      <c r="AA41" s="4">
        <f t="shared" si="8"/>
        <v>19598534.739691108</v>
      </c>
      <c r="AB41" s="4">
        <v>19676257.489208099</v>
      </c>
      <c r="AC41" s="4">
        <v>48</v>
      </c>
      <c r="AD41" s="14">
        <f t="shared" si="9"/>
        <v>42709126904.734863</v>
      </c>
      <c r="AE41" s="14">
        <f t="shared" si="10"/>
        <v>42878500320.482285</v>
      </c>
      <c r="AF41" s="14">
        <f t="shared" si="32"/>
        <v>118.67305361980533</v>
      </c>
      <c r="AG41" s="14">
        <f t="shared" si="11"/>
        <v>119.14368043672899</v>
      </c>
      <c r="AH41" s="14">
        <f t="shared" si="12"/>
        <v>2.4609000000000001</v>
      </c>
      <c r="AI41" s="14">
        <f t="shared" si="33"/>
        <v>109.39278093883358</v>
      </c>
      <c r="AJ41" s="14">
        <f t="shared" si="34"/>
        <v>129.81975357973815</v>
      </c>
      <c r="AK41" s="15">
        <f t="shared" si="35"/>
        <v>130.33458534261487</v>
      </c>
      <c r="AL41" s="22">
        <v>76.975047862572112</v>
      </c>
      <c r="AM41">
        <v>74.600000000000009</v>
      </c>
      <c r="AN41" s="14">
        <v>41269.468793622298</v>
      </c>
      <c r="AO41" s="3">
        <f t="shared" si="39"/>
        <v>0.22741523983361911</v>
      </c>
      <c r="AP41" s="32">
        <f t="shared" si="13"/>
        <v>9.1320730259702998E-3</v>
      </c>
      <c r="AQ41" s="14">
        <f t="shared" si="36"/>
        <v>17.620668443428393</v>
      </c>
      <c r="AR41" s="4">
        <f t="shared" si="40"/>
        <v>3197655.6495548058</v>
      </c>
      <c r="AS41" s="4">
        <f t="shared" si="41"/>
        <v>2461396.9667250528</v>
      </c>
      <c r="AT41" s="4">
        <f t="shared" si="14"/>
        <v>2385451.1145678852</v>
      </c>
      <c r="AU41" s="4">
        <f t="shared" si="42"/>
        <v>105.25418751935949</v>
      </c>
      <c r="AV41" s="24">
        <f t="shared" si="15"/>
        <v>102.00659313603504</v>
      </c>
      <c r="AW41" s="22"/>
      <c r="BA41" t="e">
        <f t="shared" si="16"/>
        <v>#DIV/0!</v>
      </c>
      <c r="BB41" t="e">
        <f t="shared" si="17"/>
        <v>#DIV/0!</v>
      </c>
      <c r="BC41" t="e">
        <f t="shared" si="18"/>
        <v>#DIV/0!</v>
      </c>
      <c r="BD41" s="21">
        <f t="shared" si="19"/>
        <v>0.3335458443561336</v>
      </c>
      <c r="BE41" s="4">
        <f t="shared" si="20"/>
        <v>1.2485096170988503</v>
      </c>
      <c r="BF41" s="31">
        <f t="shared" si="37"/>
        <v>1.3077486564223362E-2</v>
      </c>
      <c r="BG41" s="4">
        <f t="shared" si="21"/>
        <v>151.12843322821655</v>
      </c>
      <c r="BH41" s="19">
        <f t="shared" si="22"/>
        <v>-7.7853732275441345E-3</v>
      </c>
      <c r="BJ41" s="1">
        <v>41334</v>
      </c>
      <c r="BK41" s="42">
        <v>149.95184197024091</v>
      </c>
      <c r="BL41" s="42">
        <v>151.58019696249858</v>
      </c>
      <c r="BM41" s="42">
        <v>151.12843322821655</v>
      </c>
      <c r="BN41" s="43">
        <f t="shared" si="23"/>
        <v>-1.0742531180775061E-2</v>
      </c>
      <c r="BO41" s="43">
        <f t="shared" si="24"/>
        <v>-7.7853732275441345E-3</v>
      </c>
    </row>
    <row r="42" spans="2:67" x14ac:dyDescent="0.3">
      <c r="B42">
        <f t="shared" si="25"/>
        <v>2007</v>
      </c>
      <c r="C42">
        <f t="shared" si="26"/>
        <v>2</v>
      </c>
      <c r="D42" s="1">
        <f t="shared" si="27"/>
        <v>39114</v>
      </c>
      <c r="E42">
        <f>_xlfn.XLOOKUP(D42,[1]nairu_estimates_v6!$A$2:$A$265,[1]nairu_estimates_v6!$P$2:$P$265)</f>
        <v>12.263268577135999</v>
      </c>
      <c r="F42">
        <f>_xlfn.XLOOKUP(D42,[1]nairu_estimates_v6!$A$2:$A$265,[1]nairu_estimates_v6!$V$2:$V$265)</f>
        <v>81.636524044926603</v>
      </c>
      <c r="G42">
        <v>18671481.470906969</v>
      </c>
      <c r="H42">
        <f t="shared" si="0"/>
        <v>0</v>
      </c>
      <c r="I42">
        <f t="shared" si="1"/>
        <v>0</v>
      </c>
      <c r="J42">
        <f t="shared" si="4"/>
        <v>0</v>
      </c>
      <c r="L42">
        <v>3.3165283501148203E-2</v>
      </c>
      <c r="M42">
        <v>81.446899999999999</v>
      </c>
      <c r="N42">
        <f t="shared" si="5"/>
        <v>0</v>
      </c>
      <c r="O42">
        <v>16486883.482781501</v>
      </c>
      <c r="Q42">
        <f t="shared" si="28"/>
        <v>2013</v>
      </c>
      <c r="R42">
        <f t="shared" si="29"/>
        <v>6</v>
      </c>
      <c r="S42" s="9">
        <f t="shared" si="30"/>
        <v>41426</v>
      </c>
      <c r="T42" s="13">
        <v>187576.31270000001</v>
      </c>
      <c r="U42" s="14">
        <v>185322.75797466107</v>
      </c>
      <c r="V42" s="32">
        <f t="shared" si="6"/>
        <v>1.2160161816969328E-2</v>
      </c>
      <c r="W42" s="41">
        <f t="shared" si="7"/>
        <v>153.13386558441456</v>
      </c>
      <c r="X42" s="15">
        <f t="shared" si="31"/>
        <v>154.99599816957908</v>
      </c>
      <c r="Y42" s="17">
        <v>22172912.860765673</v>
      </c>
      <c r="Z42">
        <v>10.9934467660729</v>
      </c>
      <c r="AA42" s="4">
        <f t="shared" si="8"/>
        <v>19735345.488929667</v>
      </c>
      <c r="AB42" s="4">
        <v>19924445.015356101</v>
      </c>
      <c r="AC42" s="4">
        <v>48</v>
      </c>
      <c r="AD42" s="14">
        <f t="shared" si="9"/>
        <v>43007264889.475525</v>
      </c>
      <c r="AE42" s="14">
        <f t="shared" si="10"/>
        <v>43419350577.464012</v>
      </c>
      <c r="AF42" s="14">
        <f t="shared" si="32"/>
        <v>119.50147011092558</v>
      </c>
      <c r="AG42" s="14">
        <f t="shared" si="11"/>
        <v>120.64650562185264</v>
      </c>
      <c r="AH42" s="14">
        <f t="shared" si="12"/>
        <v>2.4609000000000001</v>
      </c>
      <c r="AI42" s="14">
        <f t="shared" si="33"/>
        <v>109.39278093883358</v>
      </c>
      <c r="AJ42" s="14">
        <f t="shared" si="34"/>
        <v>130.72598141713053</v>
      </c>
      <c r="AK42" s="15">
        <f t="shared" si="35"/>
        <v>131.9785676052708</v>
      </c>
      <c r="AL42" s="22">
        <v>76.065577377618709</v>
      </c>
      <c r="AM42">
        <v>76.289400000000001</v>
      </c>
      <c r="AN42" s="14">
        <v>41108.616790042397</v>
      </c>
      <c r="AO42" s="3">
        <f t="shared" si="39"/>
        <v>0.21915675917880645</v>
      </c>
      <c r="AP42" s="32">
        <f t="shared" si="13"/>
        <v>9.1320730259702998E-3</v>
      </c>
      <c r="AQ42" s="14">
        <f t="shared" si="36"/>
        <v>17.111563007309222</v>
      </c>
      <c r="AR42" s="4">
        <f t="shared" si="40"/>
        <v>3209723.8934447872</v>
      </c>
      <c r="AS42" s="4">
        <f t="shared" si="41"/>
        <v>2441495.0117761604</v>
      </c>
      <c r="AT42" s="4">
        <f t="shared" si="14"/>
        <v>2448679.0999656674</v>
      </c>
      <c r="AU42" s="4">
        <f t="shared" si="42"/>
        <v>104.40314068436653</v>
      </c>
      <c r="AV42" s="24">
        <f t="shared" si="15"/>
        <v>104.71034646046695</v>
      </c>
      <c r="AW42" s="22"/>
      <c r="BA42" t="e">
        <f t="shared" si="16"/>
        <v>#DIV/0!</v>
      </c>
      <c r="BB42" t="e">
        <f t="shared" si="17"/>
        <v>#DIV/0!</v>
      </c>
      <c r="BC42" t="e">
        <f t="shared" si="18"/>
        <v>#DIV/0!</v>
      </c>
      <c r="BD42" s="21">
        <f t="shared" si="19"/>
        <v>0.3335458443561336</v>
      </c>
      <c r="BE42" s="4">
        <f t="shared" si="20"/>
        <v>1.2686535518624225</v>
      </c>
      <c r="BF42" s="31">
        <f t="shared" si="37"/>
        <v>1.6134384940005742E-2</v>
      </c>
      <c r="BG42" s="4">
        <f t="shared" si="21"/>
        <v>153.86319631898101</v>
      </c>
      <c r="BH42" s="19">
        <f t="shared" si="22"/>
        <v>7.3623964515179274E-3</v>
      </c>
      <c r="BJ42" s="1">
        <v>41426</v>
      </c>
      <c r="BK42" s="42">
        <v>154.99599816957908</v>
      </c>
      <c r="BL42" s="42">
        <v>153.13386558441456</v>
      </c>
      <c r="BM42" s="42">
        <v>153.86319631898101</v>
      </c>
      <c r="BN42" s="43">
        <f t="shared" si="23"/>
        <v>1.2160161816969328E-2</v>
      </c>
      <c r="BO42" s="43">
        <f t="shared" si="24"/>
        <v>7.3623964515179274E-3</v>
      </c>
    </row>
    <row r="43" spans="2:67" x14ac:dyDescent="0.3">
      <c r="B43">
        <f t="shared" si="25"/>
        <v>2007</v>
      </c>
      <c r="C43">
        <f t="shared" si="26"/>
        <v>3</v>
      </c>
      <c r="D43" s="1">
        <f t="shared" si="27"/>
        <v>39142</v>
      </c>
      <c r="E43">
        <f>_xlfn.XLOOKUP(D43,[1]nairu_estimates_v6!$A$2:$A$265,[1]nairu_estimates_v6!$P$2:$P$265)</f>
        <v>12.222547645332201</v>
      </c>
      <c r="F43">
        <f>_xlfn.XLOOKUP(D43,[1]nairu_estimates_v6!$A$2:$A$265,[1]nairu_estimates_v6!$V$2:$V$265)</f>
        <v>81.423940970355105</v>
      </c>
      <c r="G43">
        <v>18389134.754495453</v>
      </c>
      <c r="H43">
        <f t="shared" si="0"/>
        <v>12.263207023254301</v>
      </c>
      <c r="I43">
        <f t="shared" si="1"/>
        <v>81.559994390214968</v>
      </c>
      <c r="J43">
        <f t="shared" si="4"/>
        <v>18462265.755727589</v>
      </c>
      <c r="L43">
        <v>3.3165283501148203E-2</v>
      </c>
      <c r="M43">
        <v>82.455100000000002</v>
      </c>
      <c r="N43">
        <f t="shared" si="5"/>
        <v>81.703466666666671</v>
      </c>
      <c r="O43">
        <v>16172366.971293001</v>
      </c>
      <c r="Q43">
        <f t="shared" si="28"/>
        <v>2013</v>
      </c>
      <c r="R43">
        <f t="shared" si="29"/>
        <v>9</v>
      </c>
      <c r="S43" s="9">
        <f t="shared" si="30"/>
        <v>41518</v>
      </c>
      <c r="T43" s="13">
        <v>188086.5846</v>
      </c>
      <c r="U43" s="14">
        <v>187166.19224028577</v>
      </c>
      <c r="V43" s="32">
        <f t="shared" si="6"/>
        <v>4.9175139414741054E-3</v>
      </c>
      <c r="W43" s="41">
        <f t="shared" si="7"/>
        <v>154.65711193651381</v>
      </c>
      <c r="X43" s="15">
        <f t="shared" si="31"/>
        <v>155.41764044060974</v>
      </c>
      <c r="Y43" s="17">
        <v>22355461.429709416</v>
      </c>
      <c r="Z43">
        <v>10.836136619265</v>
      </c>
      <c r="AA43" s="4">
        <f t="shared" si="8"/>
        <v>19932993.087319009</v>
      </c>
      <c r="AB43" s="4">
        <v>20095730.329835702</v>
      </c>
      <c r="AC43" s="4">
        <v>48</v>
      </c>
      <c r="AD43" s="14">
        <f t="shared" si="9"/>
        <v>43437978535.885582</v>
      </c>
      <c r="AE43" s="14">
        <f t="shared" si="10"/>
        <v>43792615534.777962</v>
      </c>
      <c r="AF43" s="14">
        <f t="shared" si="32"/>
        <v>120.69826590984734</v>
      </c>
      <c r="AG43" s="14">
        <f t="shared" si="11"/>
        <v>121.68367251108731</v>
      </c>
      <c r="AH43" s="14">
        <f t="shared" si="12"/>
        <v>2.4609000000000001</v>
      </c>
      <c r="AI43" s="14">
        <f t="shared" si="33"/>
        <v>109.39278093883358</v>
      </c>
      <c r="AJ43" s="14">
        <f t="shared" si="34"/>
        <v>132.03518962373016</v>
      </c>
      <c r="AK43" s="15">
        <f t="shared" si="35"/>
        <v>133.11315330838138</v>
      </c>
      <c r="AL43" s="22">
        <v>75.987916427659741</v>
      </c>
      <c r="AM43">
        <v>78.443966666666668</v>
      </c>
      <c r="AN43" s="14">
        <v>40600.86049313</v>
      </c>
      <c r="AO43" s="3">
        <f t="shared" si="39"/>
        <v>0.21586260699812823</v>
      </c>
      <c r="AP43" s="32">
        <f t="shared" si="13"/>
        <v>9.1320730259702998E-3</v>
      </c>
      <c r="AQ43" s="14">
        <f t="shared" si="36"/>
        <v>17.127862064685978</v>
      </c>
      <c r="AR43" s="4">
        <f t="shared" si="40"/>
        <v>3221521.0772466902</v>
      </c>
      <c r="AS43" s="4">
        <f t="shared" si="41"/>
        <v>2447966.7438776586</v>
      </c>
      <c r="AT43" s="4">
        <f t="shared" si="14"/>
        <v>2527088.9199950346</v>
      </c>
      <c r="AU43" s="4">
        <f t="shared" si="42"/>
        <v>104.67988470956638</v>
      </c>
      <c r="AV43" s="24">
        <f t="shared" si="15"/>
        <v>108.06330496829798</v>
      </c>
      <c r="AW43" s="22"/>
      <c r="BA43" t="e">
        <f t="shared" si="16"/>
        <v>#DIV/0!</v>
      </c>
      <c r="BB43" t="e">
        <f t="shared" si="17"/>
        <v>#DIV/0!</v>
      </c>
      <c r="BC43" t="e">
        <f t="shared" si="18"/>
        <v>#DIV/0!</v>
      </c>
      <c r="BD43" s="21">
        <f t="shared" si="19"/>
        <v>0.3335458443561336</v>
      </c>
      <c r="BE43" s="4">
        <f t="shared" si="20"/>
        <v>1.2516401604851244</v>
      </c>
      <c r="BF43" s="31">
        <f t="shared" si="37"/>
        <v>-1.3410589007788576E-2</v>
      </c>
      <c r="BG43" s="4">
        <f t="shared" si="21"/>
        <v>152.94628656963076</v>
      </c>
      <c r="BH43" s="19">
        <f t="shared" si="22"/>
        <v>1.6158312348785842E-2</v>
      </c>
      <c r="BJ43" s="1">
        <v>41518</v>
      </c>
      <c r="BK43" s="42">
        <v>155.41764044060974</v>
      </c>
      <c r="BL43" s="42">
        <v>154.65711193651381</v>
      </c>
      <c r="BM43" s="42">
        <v>152.94628656963076</v>
      </c>
      <c r="BN43" s="43">
        <f t="shared" si="23"/>
        <v>4.9175139414741054E-3</v>
      </c>
      <c r="BO43" s="43">
        <f t="shared" si="24"/>
        <v>1.6158312348785842E-2</v>
      </c>
    </row>
    <row r="44" spans="2:67" x14ac:dyDescent="0.3">
      <c r="B44">
        <f t="shared" si="25"/>
        <v>2007</v>
      </c>
      <c r="C44">
        <f t="shared" si="26"/>
        <v>4</v>
      </c>
      <c r="D44" s="1">
        <f t="shared" si="27"/>
        <v>39173</v>
      </c>
      <c r="E44">
        <f>_xlfn.XLOOKUP(D44,[1]nairu_estimates_v6!$A$2:$A$265,[1]nairu_estimates_v6!$P$2:$P$265)</f>
        <v>12.1814962304469</v>
      </c>
      <c r="F44">
        <f>_xlfn.XLOOKUP(D44,[1]nairu_estimates_v6!$A$2:$A$265,[1]nairu_estimates_v6!$V$2:$V$265)</f>
        <v>81.394060699374606</v>
      </c>
      <c r="G44">
        <v>18848406.429310404</v>
      </c>
      <c r="H44">
        <f t="shared" si="0"/>
        <v>0</v>
      </c>
      <c r="I44">
        <f t="shared" si="1"/>
        <v>0</v>
      </c>
      <c r="J44">
        <f t="shared" si="4"/>
        <v>0</v>
      </c>
      <c r="L44">
        <v>3.3165283501148203E-2</v>
      </c>
      <c r="M44">
        <v>81.5625</v>
      </c>
      <c r="N44">
        <f t="shared" si="5"/>
        <v>0</v>
      </c>
      <c r="O44">
        <v>16828056.199299403</v>
      </c>
      <c r="Q44">
        <f t="shared" si="28"/>
        <v>2013</v>
      </c>
      <c r="R44">
        <f t="shared" si="29"/>
        <v>12</v>
      </c>
      <c r="S44" s="9">
        <f t="shared" si="30"/>
        <v>41609</v>
      </c>
      <c r="T44" s="13">
        <v>190804.2329</v>
      </c>
      <c r="U44" s="14">
        <v>188964.8060356736</v>
      </c>
      <c r="V44" s="32">
        <f t="shared" si="6"/>
        <v>9.7342298966462959E-3</v>
      </c>
      <c r="W44" s="41">
        <f t="shared" si="7"/>
        <v>156.14332273000335</v>
      </c>
      <c r="X44" s="15">
        <f t="shared" si="31"/>
        <v>157.66325773028345</v>
      </c>
      <c r="Y44" s="17">
        <v>22233514.474390984</v>
      </c>
      <c r="Z44">
        <v>10.6844564625099</v>
      </c>
      <c r="AA44" s="4">
        <f t="shared" si="8"/>
        <v>19857984.300288841</v>
      </c>
      <c r="AB44" s="4">
        <v>20262717.557291899</v>
      </c>
      <c r="AC44" s="4">
        <v>48</v>
      </c>
      <c r="AD44" s="14">
        <f t="shared" si="9"/>
        <v>43274519387.189438</v>
      </c>
      <c r="AE44" s="14">
        <f t="shared" si="10"/>
        <v>44156514100.85051</v>
      </c>
      <c r="AF44" s="14">
        <f t="shared" si="32"/>
        <v>120.24407267941359</v>
      </c>
      <c r="AG44" s="14">
        <f t="shared" si="11"/>
        <v>122.69481362244798</v>
      </c>
      <c r="AH44" s="14">
        <f t="shared" si="12"/>
        <v>2.4609000000000001</v>
      </c>
      <c r="AI44" s="14">
        <f t="shared" si="33"/>
        <v>109.39278093883358</v>
      </c>
      <c r="AJ44" s="14">
        <f t="shared" si="34"/>
        <v>131.53833501812275</v>
      </c>
      <c r="AK44" s="15">
        <f t="shared" si="35"/>
        <v>134.21926868931467</v>
      </c>
      <c r="AL44" s="22">
        <v>76.664669332605698</v>
      </c>
      <c r="AM44">
        <v>76.398399999999995</v>
      </c>
      <c r="AN44" s="14">
        <v>44554.053923205298</v>
      </c>
      <c r="AO44" s="3">
        <f t="shared" si="39"/>
        <v>0.23350663266760943</v>
      </c>
      <c r="AP44" s="32">
        <f t="shared" si="13"/>
        <v>9.1320730259702998E-3</v>
      </c>
      <c r="AQ44" s="14">
        <f t="shared" si="36"/>
        <v>16.942510775963509</v>
      </c>
      <c r="AR44" s="4">
        <f t="shared" si="40"/>
        <v>3232702.772007701</v>
      </c>
      <c r="AS44" s="4">
        <f t="shared" si="41"/>
        <v>2478340.890665682</v>
      </c>
      <c r="AT44" s="4">
        <f t="shared" si="14"/>
        <v>2469733.1945695314</v>
      </c>
      <c r="AU44" s="4">
        <f t="shared" si="42"/>
        <v>105.97874311598623</v>
      </c>
      <c r="AV44" s="24">
        <f t="shared" si="15"/>
        <v>105.6106610588204</v>
      </c>
      <c r="AW44" s="22"/>
      <c r="BA44" t="e">
        <f t="shared" si="16"/>
        <v>#DIV/0!</v>
      </c>
      <c r="BB44" t="e">
        <f t="shared" si="17"/>
        <v>#DIV/0!</v>
      </c>
      <c r="BC44" t="e">
        <f t="shared" si="18"/>
        <v>#DIV/0!</v>
      </c>
      <c r="BD44" s="21">
        <f t="shared" si="19"/>
        <v>0.3335458443561336</v>
      </c>
      <c r="BE44" s="4">
        <f t="shared" si="20"/>
        <v>1.2724482264603496</v>
      </c>
      <c r="BF44" s="31">
        <f t="shared" si="37"/>
        <v>1.662463911924994E-2</v>
      </c>
      <c r="BG44" s="4">
        <f t="shared" si="21"/>
        <v>155.73802462912607</v>
      </c>
      <c r="BH44" s="19">
        <f t="shared" si="22"/>
        <v>1.2361997692869942E-2</v>
      </c>
      <c r="BJ44" s="1">
        <v>41609</v>
      </c>
      <c r="BK44" s="42">
        <v>157.66325773028345</v>
      </c>
      <c r="BL44" s="42">
        <v>156.14332273000335</v>
      </c>
      <c r="BM44" s="42">
        <v>155.73802462912607</v>
      </c>
      <c r="BN44" s="43">
        <f t="shared" si="23"/>
        <v>9.7342298966462959E-3</v>
      </c>
      <c r="BO44" s="43">
        <f t="shared" si="24"/>
        <v>1.2361997692869942E-2</v>
      </c>
    </row>
    <row r="45" spans="2:67" x14ac:dyDescent="0.3">
      <c r="B45">
        <f t="shared" si="25"/>
        <v>2007</v>
      </c>
      <c r="C45">
        <f t="shared" si="26"/>
        <v>5</v>
      </c>
      <c r="D45" s="1">
        <f t="shared" si="27"/>
        <v>39203</v>
      </c>
      <c r="E45">
        <f>_xlfn.XLOOKUP(D45,[1]nairu_estimates_v6!$A$2:$A$265,[1]nairu_estimates_v6!$P$2:$P$265)</f>
        <v>12.139234858592999</v>
      </c>
      <c r="F45">
        <f>_xlfn.XLOOKUP(D45,[1]nairu_estimates_v6!$A$2:$A$265,[1]nairu_estimates_v6!$V$2:$V$265)</f>
        <v>81.401949804827396</v>
      </c>
      <c r="G45">
        <v>18672797.121604491</v>
      </c>
      <c r="H45">
        <f t="shared" si="0"/>
        <v>0</v>
      </c>
      <c r="I45">
        <f t="shared" si="1"/>
        <v>0</v>
      </c>
      <c r="J45">
        <f t="shared" si="4"/>
        <v>0</v>
      </c>
      <c r="L45">
        <v>3.3165283501148203E-2</v>
      </c>
      <c r="M45">
        <v>81.534300000000002</v>
      </c>
      <c r="N45">
        <f t="shared" si="5"/>
        <v>0</v>
      </c>
      <c r="O45">
        <v>16488129.920896601</v>
      </c>
      <c r="Q45">
        <f t="shared" si="28"/>
        <v>2014</v>
      </c>
      <c r="R45">
        <f t="shared" si="29"/>
        <v>3</v>
      </c>
      <c r="S45" s="9">
        <f t="shared" si="30"/>
        <v>41699</v>
      </c>
      <c r="T45" s="13">
        <v>193552.92980000001</v>
      </c>
      <c r="U45" s="14">
        <v>190711.17119730805</v>
      </c>
      <c r="V45" s="32">
        <f t="shared" si="6"/>
        <v>1.4900850248315667E-2</v>
      </c>
      <c r="W45" s="41">
        <f t="shared" si="7"/>
        <v>157.58636000640522</v>
      </c>
      <c r="X45" s="15">
        <f t="shared" si="31"/>
        <v>159.93453075803779</v>
      </c>
      <c r="Y45" s="17">
        <v>22432430.884052601</v>
      </c>
      <c r="Z45">
        <v>10.5387757694382</v>
      </c>
      <c r="AA45" s="4">
        <f t="shared" si="8"/>
        <v>20068327.293548092</v>
      </c>
      <c r="AB45" s="4">
        <v>20258109.3715211</v>
      </c>
      <c r="AC45" s="4">
        <v>48</v>
      </c>
      <c r="AD45" s="14">
        <f t="shared" si="9"/>
        <v>43732898838.099998</v>
      </c>
      <c r="AE45" s="14">
        <f t="shared" si="10"/>
        <v>44146471942.418777</v>
      </c>
      <c r="AF45" s="14">
        <f t="shared" si="32"/>
        <v>121.51774163727973</v>
      </c>
      <c r="AG45" s="14">
        <f t="shared" si="11"/>
        <v>122.6669101345428</v>
      </c>
      <c r="AH45" s="14">
        <f t="shared" si="12"/>
        <v>2.4864000000000002</v>
      </c>
      <c r="AI45" s="14">
        <f t="shared" si="33"/>
        <v>110.5263157894737</v>
      </c>
      <c r="AJ45" s="14">
        <f t="shared" si="34"/>
        <v>134.30908286225656</v>
      </c>
      <c r="AK45" s="15">
        <f t="shared" si="35"/>
        <v>135.57921646449469</v>
      </c>
      <c r="AL45" s="22">
        <v>76.771042275927897</v>
      </c>
      <c r="AM45">
        <v>76.366600000000005</v>
      </c>
      <c r="AN45" s="14">
        <v>44706.861583022903</v>
      </c>
      <c r="AO45" s="3">
        <f t="shared" si="39"/>
        <v>0.23098003026468733</v>
      </c>
      <c r="AP45" s="32">
        <f t="shared" si="13"/>
        <v>9.2391024268991817E-3</v>
      </c>
      <c r="AQ45" s="14">
        <f t="shared" si="36"/>
        <v>16.779573171543255</v>
      </c>
      <c r="AR45" s="4">
        <f t="shared" si="40"/>
        <v>3247735.5481456756</v>
      </c>
      <c r="AS45" s="4">
        <f t="shared" si="41"/>
        <v>2493320.4306772551</v>
      </c>
      <c r="AT45" s="4">
        <f t="shared" si="14"/>
        <v>2480185.2151102154</v>
      </c>
      <c r="AU45" s="4">
        <f t="shared" si="42"/>
        <v>106.61929778256227</v>
      </c>
      <c r="AV45" s="24">
        <f t="shared" si="15"/>
        <v>106.05761006575327</v>
      </c>
      <c r="AW45" s="22"/>
      <c r="BA45" t="e">
        <f t="shared" si="16"/>
        <v>#DIV/0!</v>
      </c>
      <c r="BB45" t="e">
        <f t="shared" si="17"/>
        <v>#DIV/0!</v>
      </c>
      <c r="BC45" t="e">
        <f t="shared" si="18"/>
        <v>#DIV/0!</v>
      </c>
      <c r="BD45" s="21">
        <f t="shared" si="19"/>
        <v>0.3335458443561336</v>
      </c>
      <c r="BE45" s="4">
        <f t="shared" si="20"/>
        <v>1.2803308589132143</v>
      </c>
      <c r="BF45" s="31">
        <f t="shared" si="37"/>
        <v>6.1948551531973983E-3</v>
      </c>
      <c r="BG45" s="4">
        <f t="shared" si="21"/>
        <v>159.21467683515615</v>
      </c>
      <c r="BH45" s="19">
        <f t="shared" si="22"/>
        <v>4.5212786734916133E-3</v>
      </c>
      <c r="BJ45" s="1">
        <v>41699</v>
      </c>
      <c r="BK45" s="42">
        <v>159.93453075803779</v>
      </c>
      <c r="BL45" s="42">
        <v>157.58636000640522</v>
      </c>
      <c r="BM45" s="42">
        <v>159.21467683515615</v>
      </c>
      <c r="BN45" s="43">
        <f t="shared" si="23"/>
        <v>1.4900850248315445E-2</v>
      </c>
      <c r="BO45" s="43">
        <f t="shared" si="24"/>
        <v>4.5212786734916133E-3</v>
      </c>
    </row>
    <row r="46" spans="2:67" x14ac:dyDescent="0.3">
      <c r="B46">
        <f t="shared" si="25"/>
        <v>2007</v>
      </c>
      <c r="C46">
        <f t="shared" si="26"/>
        <v>6</v>
      </c>
      <c r="D46" s="1">
        <f t="shared" si="27"/>
        <v>39234</v>
      </c>
      <c r="E46">
        <f>_xlfn.XLOOKUP(D46,[1]nairu_estimates_v6!$A$2:$A$265,[1]nairu_estimates_v6!$P$2:$P$265)</f>
        <v>12.097552635874401</v>
      </c>
      <c r="F46">
        <f>_xlfn.XLOOKUP(D46,[1]nairu_estimates_v6!$A$2:$A$265,[1]nairu_estimates_v6!$V$2:$V$265)</f>
        <v>81.538364147394006</v>
      </c>
      <c r="G46">
        <v>18807334.817739099</v>
      </c>
      <c r="H46">
        <f t="shared" si="0"/>
        <v>12.139427908304768</v>
      </c>
      <c r="I46">
        <f t="shared" si="1"/>
        <v>81.444791550532003</v>
      </c>
      <c r="J46">
        <f t="shared" si="4"/>
        <v>18776179.456218001</v>
      </c>
      <c r="L46">
        <v>3.3165283501148203E-2</v>
      </c>
      <c r="M46">
        <v>82.9161</v>
      </c>
      <c r="N46">
        <f t="shared" si="5"/>
        <v>82.004300000000001</v>
      </c>
      <c r="O46">
        <v>16663650.714743998</v>
      </c>
      <c r="Q46">
        <f t="shared" si="28"/>
        <v>2014</v>
      </c>
      <c r="R46">
        <f t="shared" si="29"/>
        <v>6</v>
      </c>
      <c r="S46" s="9">
        <f t="shared" si="30"/>
        <v>41791</v>
      </c>
      <c r="T46" s="13">
        <v>194035.69440000001</v>
      </c>
      <c r="U46" s="14">
        <v>192399.00920346289</v>
      </c>
      <c r="V46" s="32">
        <f t="shared" si="6"/>
        <v>8.5067236225022658E-3</v>
      </c>
      <c r="W46" s="41">
        <f t="shared" si="7"/>
        <v>158.9810357666166</v>
      </c>
      <c r="X46" s="15">
        <f t="shared" si="31"/>
        <v>160.33344349910234</v>
      </c>
      <c r="Y46" s="17">
        <v>22570055.023750961</v>
      </c>
      <c r="Z46">
        <v>10.391809952898999</v>
      </c>
      <c r="AA46" s="4">
        <f t="shared" si="8"/>
        <v>20224617.799418028</v>
      </c>
      <c r="AB46" s="4">
        <v>20434487.1286304</v>
      </c>
      <c r="AC46" s="4">
        <v>48</v>
      </c>
      <c r="AD46" s="14">
        <f t="shared" si="9"/>
        <v>44073487108.49176</v>
      </c>
      <c r="AE46" s="14">
        <f t="shared" si="10"/>
        <v>44530834350.711365</v>
      </c>
      <c r="AF46" s="14">
        <f t="shared" si="32"/>
        <v>122.46411195678158</v>
      </c>
      <c r="AG46" s="14">
        <f t="shared" si="11"/>
        <v>123.73491278396449</v>
      </c>
      <c r="AH46" s="14">
        <f t="shared" si="12"/>
        <v>2.4864000000000002</v>
      </c>
      <c r="AI46" s="14">
        <f t="shared" si="33"/>
        <v>110.5263157894737</v>
      </c>
      <c r="AJ46" s="14">
        <f t="shared" si="34"/>
        <v>135.35507111012703</v>
      </c>
      <c r="AK46" s="15">
        <f t="shared" si="35"/>
        <v>136.75964044543446</v>
      </c>
      <c r="AL46" s="22">
        <v>76.510841903519676</v>
      </c>
      <c r="AM46">
        <v>76.752499999999998</v>
      </c>
      <c r="AN46" s="14">
        <v>45235.510258326503</v>
      </c>
      <c r="AO46" s="3">
        <f t="shared" si="39"/>
        <v>0.23312983932262776</v>
      </c>
      <c r="AP46" s="32">
        <f t="shared" si="13"/>
        <v>9.2391024268991817E-3</v>
      </c>
      <c r="AQ46" s="14">
        <f t="shared" si="36"/>
        <v>16.813588130946997</v>
      </c>
      <c r="AR46" s="4">
        <f t="shared" si="40"/>
        <v>3262436.2483438989</v>
      </c>
      <c r="AS46" s="4">
        <f t="shared" si="41"/>
        <v>2496117.4401735188</v>
      </c>
      <c r="AT46" s="4">
        <f t="shared" si="14"/>
        <v>2504001.3815101511</v>
      </c>
      <c r="AU46" s="4">
        <f t="shared" si="42"/>
        <v>106.73890342358364</v>
      </c>
      <c r="AV46" s="24">
        <f t="shared" si="15"/>
        <v>107.07603630017996</v>
      </c>
      <c r="AW46" s="22"/>
      <c r="BA46" t="e">
        <f t="shared" si="16"/>
        <v>#DIV/0!</v>
      </c>
      <c r="BB46" t="e">
        <f t="shared" si="17"/>
        <v>#DIV/0!</v>
      </c>
      <c r="BC46" t="e">
        <f t="shared" si="18"/>
        <v>#DIV/0!</v>
      </c>
      <c r="BD46" s="21">
        <f t="shared" si="19"/>
        <v>0.3335458443561336</v>
      </c>
      <c r="BE46" s="4">
        <f t="shared" si="20"/>
        <v>1.272068915879055</v>
      </c>
      <c r="BF46" s="31">
        <f t="shared" si="37"/>
        <v>-6.4529750077041426E-3</v>
      </c>
      <c r="BG46" s="4">
        <f t="shared" si="21"/>
        <v>159.06671759359426</v>
      </c>
      <c r="BH46" s="19">
        <f t="shared" si="22"/>
        <v>7.9634880550216725E-3</v>
      </c>
      <c r="BJ46" s="1">
        <v>41791</v>
      </c>
      <c r="BK46" s="42">
        <v>160.33344349910234</v>
      </c>
      <c r="BL46" s="42">
        <v>158.9810357666166</v>
      </c>
      <c r="BM46" s="42">
        <v>159.06671759359426</v>
      </c>
      <c r="BN46" s="43">
        <f t="shared" si="23"/>
        <v>8.5067236225022658E-3</v>
      </c>
      <c r="BO46" s="43">
        <f t="shared" si="24"/>
        <v>7.9634880550216725E-3</v>
      </c>
    </row>
    <row r="47" spans="2:67" x14ac:dyDescent="0.3">
      <c r="B47">
        <f t="shared" si="25"/>
        <v>2007</v>
      </c>
      <c r="C47">
        <f t="shared" si="26"/>
        <v>7</v>
      </c>
      <c r="D47" s="1">
        <f t="shared" si="27"/>
        <v>39264</v>
      </c>
      <c r="E47">
        <f>_xlfn.XLOOKUP(D47,[1]nairu_estimates_v6!$A$2:$A$265,[1]nairu_estimates_v6!$P$2:$P$265)</f>
        <v>12.0608342605054</v>
      </c>
      <c r="F47">
        <f>_xlfn.XLOOKUP(D47,[1]nairu_estimates_v6!$A$2:$A$265,[1]nairu_estimates_v6!$V$2:$V$265)</f>
        <v>81.540434736766699</v>
      </c>
      <c r="G47">
        <v>18674219.421960153</v>
      </c>
      <c r="H47">
        <f t="shared" si="0"/>
        <v>0</v>
      </c>
      <c r="I47">
        <f t="shared" si="1"/>
        <v>0</v>
      </c>
      <c r="J47">
        <f t="shared" si="4"/>
        <v>0</v>
      </c>
      <c r="L47">
        <v>3.3165283501148203E-2</v>
      </c>
      <c r="M47">
        <v>82.673199999999994</v>
      </c>
      <c r="N47">
        <f t="shared" si="5"/>
        <v>0</v>
      </c>
      <c r="O47">
        <v>16619962.3268879</v>
      </c>
      <c r="Q47">
        <f t="shared" si="28"/>
        <v>2014</v>
      </c>
      <c r="R47">
        <f t="shared" si="29"/>
        <v>9</v>
      </c>
      <c r="S47" s="9">
        <f t="shared" si="30"/>
        <v>41883</v>
      </c>
      <c r="T47" s="13">
        <v>195997.77789999999</v>
      </c>
      <c r="U47" s="14">
        <v>194023.81763153855</v>
      </c>
      <c r="V47" s="32">
        <f t="shared" si="6"/>
        <v>1.0173803879120147E-2</v>
      </c>
      <c r="W47" s="41">
        <f t="shared" si="7"/>
        <v>160.32362961825453</v>
      </c>
      <c r="X47" s="15">
        <f t="shared" si="31"/>
        <v>161.95473078317934</v>
      </c>
      <c r="Y47" s="17">
        <v>22694383.093412519</v>
      </c>
      <c r="Z47">
        <v>10.237853609602466</v>
      </c>
      <c r="AA47" s="4">
        <f t="shared" si="8"/>
        <v>20370965.374706574</v>
      </c>
      <c r="AB47" s="4">
        <v>20717908.1163099</v>
      </c>
      <c r="AC47" s="4">
        <v>48</v>
      </c>
      <c r="AD47" s="14">
        <f t="shared" si="9"/>
        <v>44392407744.560562</v>
      </c>
      <c r="AE47" s="14">
        <f t="shared" si="10"/>
        <v>45148465367.062538</v>
      </c>
      <c r="AF47" s="14">
        <f t="shared" si="32"/>
        <v>123.35027583995051</v>
      </c>
      <c r="AG47" s="14">
        <f t="shared" si="11"/>
        <v>125.45108363625535</v>
      </c>
      <c r="AH47" s="14">
        <f t="shared" si="12"/>
        <v>2.4864000000000002</v>
      </c>
      <c r="AI47" s="14">
        <f t="shared" si="33"/>
        <v>110.5263157894737</v>
      </c>
      <c r="AJ47" s="14">
        <f t="shared" si="34"/>
        <v>136.33451540205058</v>
      </c>
      <c r="AK47" s="15">
        <f t="shared" si="35"/>
        <v>138.65646086112434</v>
      </c>
      <c r="AL47" s="22">
        <v>76.638775461319554</v>
      </c>
      <c r="AM47">
        <v>76.810900000000004</v>
      </c>
      <c r="AN47" s="14">
        <v>46289.726704250403</v>
      </c>
      <c r="AO47" s="3">
        <f t="shared" si="39"/>
        <v>0.2361747525926946</v>
      </c>
      <c r="AP47" s="32">
        <f t="shared" si="13"/>
        <v>9.2391024268991817E-3</v>
      </c>
      <c r="AQ47" s="14">
        <f t="shared" si="36"/>
        <v>16.722280278171191</v>
      </c>
      <c r="AR47" s="4">
        <f t="shared" si="40"/>
        <v>3277529.7759425472</v>
      </c>
      <c r="AS47" s="4">
        <f t="shared" si="41"/>
        <v>2511858.6856624987</v>
      </c>
      <c r="AT47" s="4">
        <f t="shared" si="14"/>
        <v>2517500.118669454</v>
      </c>
      <c r="AU47" s="4">
        <f t="shared" si="42"/>
        <v>107.41203011825485</v>
      </c>
      <c r="AV47" s="24">
        <f t="shared" si="15"/>
        <v>107.65326891704234</v>
      </c>
      <c r="AW47" s="22"/>
      <c r="BA47" t="e">
        <f t="shared" si="16"/>
        <v>#DIV/0!</v>
      </c>
      <c r="BB47" t="e">
        <f t="shared" si="17"/>
        <v>#DIV/0!</v>
      </c>
      <c r="BC47" t="e">
        <f t="shared" si="18"/>
        <v>#DIV/0!</v>
      </c>
      <c r="BD47" s="21">
        <f t="shared" si="19"/>
        <v>0.3335458443561336</v>
      </c>
      <c r="BE47" s="4">
        <f t="shared" si="20"/>
        <v>1.2709091751335444</v>
      </c>
      <c r="BF47" s="31">
        <f t="shared" si="37"/>
        <v>-9.1169647417188582E-4</v>
      </c>
      <c r="BG47" s="4">
        <f t="shared" si="21"/>
        <v>160.0223693382282</v>
      </c>
      <c r="BH47" s="19">
        <f t="shared" si="22"/>
        <v>1.2075570765152532E-2</v>
      </c>
      <c r="BJ47" s="1">
        <v>41883</v>
      </c>
      <c r="BK47" s="42">
        <v>161.95473078317934</v>
      </c>
      <c r="BL47" s="42">
        <v>160.32362961825453</v>
      </c>
      <c r="BM47" s="42">
        <v>160.0223693382282</v>
      </c>
      <c r="BN47" s="43">
        <f t="shared" si="23"/>
        <v>1.0173803879120147E-2</v>
      </c>
      <c r="BO47" s="43">
        <f t="shared" si="24"/>
        <v>1.2075570765152532E-2</v>
      </c>
    </row>
    <row r="48" spans="2:67" x14ac:dyDescent="0.3">
      <c r="B48">
        <f t="shared" si="25"/>
        <v>2007</v>
      </c>
      <c r="C48">
        <f t="shared" si="26"/>
        <v>8</v>
      </c>
      <c r="D48" s="1">
        <f t="shared" si="27"/>
        <v>39295</v>
      </c>
      <c r="E48">
        <f>_xlfn.XLOOKUP(D48,[1]nairu_estimates_v6!$A$2:$A$265,[1]nairu_estimates_v6!$P$2:$P$265)</f>
        <v>12.0225461034342</v>
      </c>
      <c r="F48">
        <f>_xlfn.XLOOKUP(D48,[1]nairu_estimates_v6!$A$2:$A$265,[1]nairu_estimates_v6!$V$2:$V$265)</f>
        <v>81.541389767028704</v>
      </c>
      <c r="G48">
        <v>18725423.812820699</v>
      </c>
      <c r="H48">
        <f t="shared" si="0"/>
        <v>0</v>
      </c>
      <c r="I48">
        <f t="shared" si="1"/>
        <v>0</v>
      </c>
      <c r="J48">
        <f t="shared" si="4"/>
        <v>0</v>
      </c>
      <c r="L48">
        <v>3.3165283501148203E-2</v>
      </c>
      <c r="M48">
        <v>83.000600000000006</v>
      </c>
      <c r="N48">
        <f t="shared" si="5"/>
        <v>0</v>
      </c>
      <c r="O48">
        <v>16673736.7455058</v>
      </c>
      <c r="Q48">
        <f t="shared" si="28"/>
        <v>2014</v>
      </c>
      <c r="R48">
        <f t="shared" si="29"/>
        <v>12</v>
      </c>
      <c r="S48" s="9">
        <f t="shared" si="30"/>
        <v>41974</v>
      </c>
      <c r="T48" s="13">
        <v>198002.59779999999</v>
      </c>
      <c r="U48" s="14">
        <v>195582.11698718334</v>
      </c>
      <c r="V48" s="32">
        <f t="shared" si="6"/>
        <v>1.2375777755669004E-2</v>
      </c>
      <c r="W48" s="41">
        <f t="shared" si="7"/>
        <v>161.61126642376883</v>
      </c>
      <c r="X48" s="15">
        <f t="shared" si="31"/>
        <v>163.61133153984159</v>
      </c>
      <c r="Y48" s="17">
        <v>22716814.99878389</v>
      </c>
      <c r="Z48">
        <v>10.086177738554333</v>
      </c>
      <c r="AA48" s="4">
        <f t="shared" si="8"/>
        <v>20425556.661467977</v>
      </c>
      <c r="AB48" s="4">
        <v>20425897.772026401</v>
      </c>
      <c r="AC48" s="4">
        <v>48</v>
      </c>
      <c r="AD48" s="14">
        <f t="shared" si="9"/>
        <v>44511373076.671013</v>
      </c>
      <c r="AE48" s="14">
        <f t="shared" si="10"/>
        <v>44512116424.799927</v>
      </c>
      <c r="AF48" s="14">
        <f t="shared" si="32"/>
        <v>123.6808370164394</v>
      </c>
      <c r="AG48" s="14">
        <f t="shared" si="11"/>
        <v>123.68290250919829</v>
      </c>
      <c r="AH48" s="14">
        <f t="shared" si="12"/>
        <v>2.4864000000000002</v>
      </c>
      <c r="AI48" s="14">
        <f t="shared" si="33"/>
        <v>110.5263157894737</v>
      </c>
      <c r="AJ48" s="14">
        <f t="shared" si="34"/>
        <v>136.69987249185408</v>
      </c>
      <c r="AK48" s="15">
        <f t="shared" si="35"/>
        <v>136.70215540490338</v>
      </c>
      <c r="AL48" s="22">
        <v>76.739082676338768</v>
      </c>
      <c r="AM48">
        <v>71.725633333333334</v>
      </c>
      <c r="AN48" s="14">
        <v>46724.901454400198</v>
      </c>
      <c r="AO48" s="3">
        <f t="shared" si="39"/>
        <v>0.23598125465806491</v>
      </c>
      <c r="AP48" s="32">
        <f t="shared" si="13"/>
        <v>9.2391024268991817E-3</v>
      </c>
      <c r="AQ48" s="14">
        <f t="shared" si="36"/>
        <v>16.633812414251327</v>
      </c>
      <c r="AR48" s="4">
        <f t="shared" si="40"/>
        <v>3293538.0693396525</v>
      </c>
      <c r="AS48" s="4">
        <f t="shared" si="41"/>
        <v>2527430.9020072473</v>
      </c>
      <c r="AT48" s="4">
        <f t="shared" si="14"/>
        <v>2362311.0393083049</v>
      </c>
      <c r="AU48" s="4">
        <f t="shared" si="42"/>
        <v>108.07792879343805</v>
      </c>
      <c r="AV48" s="24">
        <f t="shared" si="15"/>
        <v>101.01707789184242</v>
      </c>
      <c r="AW48" s="22"/>
      <c r="BA48" t="e">
        <f t="shared" si="16"/>
        <v>#DIV/0!</v>
      </c>
      <c r="BB48" t="e">
        <f t="shared" si="17"/>
        <v>#DIV/0!</v>
      </c>
      <c r="BC48" t="e">
        <f t="shared" si="18"/>
        <v>#DIV/0!</v>
      </c>
      <c r="BD48" s="21">
        <f t="shared" si="19"/>
        <v>0.3335458443561336</v>
      </c>
      <c r="BE48" s="4">
        <f t="shared" si="20"/>
        <v>1.3239130312771099</v>
      </c>
      <c r="BF48" s="31">
        <f t="shared" si="37"/>
        <v>4.1705463443519442E-2</v>
      </c>
      <c r="BG48" s="4">
        <f t="shared" si="21"/>
        <v>167.33836382360425</v>
      </c>
      <c r="BH48" s="19">
        <f t="shared" si="22"/>
        <v>-2.2272431728156628E-2</v>
      </c>
      <c r="BJ48" s="1">
        <v>41974</v>
      </c>
      <c r="BK48" s="42">
        <v>163.61133153984159</v>
      </c>
      <c r="BL48" s="42">
        <v>161.61126642376883</v>
      </c>
      <c r="BM48" s="42">
        <v>167.33836382360425</v>
      </c>
      <c r="BN48" s="43">
        <f t="shared" si="23"/>
        <v>1.2375777755669004E-2</v>
      </c>
      <c r="BO48" s="43">
        <f t="shared" si="24"/>
        <v>-2.2272431728156628E-2</v>
      </c>
    </row>
    <row r="49" spans="2:67" x14ac:dyDescent="0.3">
      <c r="B49">
        <f t="shared" si="25"/>
        <v>2007</v>
      </c>
      <c r="C49">
        <f t="shared" si="26"/>
        <v>9</v>
      </c>
      <c r="D49" s="1">
        <f t="shared" si="27"/>
        <v>39326</v>
      </c>
      <c r="E49">
        <f>_xlfn.XLOOKUP(D49,[1]nairu_estimates_v6!$A$2:$A$265,[1]nairu_estimates_v6!$P$2:$P$265)</f>
        <v>11.985594535760701</v>
      </c>
      <c r="F49">
        <f>_xlfn.XLOOKUP(D49,[1]nairu_estimates_v6!$A$2:$A$265,[1]nairu_estimates_v6!$V$2:$V$265)</f>
        <v>81.719135214524002</v>
      </c>
      <c r="G49">
        <v>18872696.147187214</v>
      </c>
      <c r="H49">
        <f t="shared" si="0"/>
        <v>12.022991633233433</v>
      </c>
      <c r="I49">
        <f t="shared" si="1"/>
        <v>81.600319906106463</v>
      </c>
      <c r="J49">
        <f t="shared" si="4"/>
        <v>18757446.460656021</v>
      </c>
      <c r="L49">
        <v>3.3165283501148203E-2</v>
      </c>
      <c r="M49">
        <v>82.531999999999996</v>
      </c>
      <c r="N49">
        <f t="shared" si="5"/>
        <v>82.735266666666675</v>
      </c>
      <c r="O49">
        <v>16775494.512435401</v>
      </c>
      <c r="Q49">
        <f t="shared" si="28"/>
        <v>2015</v>
      </c>
      <c r="R49">
        <f t="shared" si="29"/>
        <v>3</v>
      </c>
      <c r="S49" s="9">
        <f t="shared" si="30"/>
        <v>42064</v>
      </c>
      <c r="T49" s="13">
        <v>199174.7801</v>
      </c>
      <c r="U49" s="14">
        <v>197071.66150121333</v>
      </c>
      <c r="V49" s="32">
        <f t="shared" si="6"/>
        <v>1.0671846894505066E-2</v>
      </c>
      <c r="W49" s="41">
        <f t="shared" si="7"/>
        <v>162.84209048383732</v>
      </c>
      <c r="X49" s="15">
        <f t="shared" si="31"/>
        <v>164.579916341462</v>
      </c>
      <c r="Y49" s="17">
        <v>22777220.660153348</v>
      </c>
      <c r="Z49">
        <v>9.9370959183703604</v>
      </c>
      <c r="AA49" s="4">
        <f t="shared" si="8"/>
        <v>20513826.395615038</v>
      </c>
      <c r="AB49" s="4">
        <v>20842822.584541403</v>
      </c>
      <c r="AC49" s="4">
        <v>48</v>
      </c>
      <c r="AD49" s="14">
        <f t="shared" si="9"/>
        <v>44703730481.324287</v>
      </c>
      <c r="AE49" s="14">
        <f t="shared" si="10"/>
        <v>45420678976.23262</v>
      </c>
      <c r="AF49" s="14">
        <f t="shared" si="32"/>
        <v>124.21532793795839</v>
      </c>
      <c r="AG49" s="14">
        <f t="shared" si="11"/>
        <v>126.2074657629408</v>
      </c>
      <c r="AH49" s="14">
        <f t="shared" si="12"/>
        <v>2.5121000000000002</v>
      </c>
      <c r="AI49" s="14">
        <f t="shared" si="33"/>
        <v>111.6687411095306</v>
      </c>
      <c r="AJ49" s="14">
        <f t="shared" si="34"/>
        <v>138.7096929733932</v>
      </c>
      <c r="AK49" s="15">
        <f t="shared" si="35"/>
        <v>140.93428820371781</v>
      </c>
      <c r="AL49" s="22">
        <v>75.721050217327942</v>
      </c>
      <c r="AM49">
        <v>71.438566666666659</v>
      </c>
      <c r="AN49" s="14">
        <v>47054.160691422701</v>
      </c>
      <c r="AO49" s="3">
        <f t="shared" si="39"/>
        <v>0.2362455762109949</v>
      </c>
      <c r="AP49" s="32">
        <f t="shared" si="13"/>
        <v>9.3134922557405186E-3</v>
      </c>
      <c r="AQ49" s="14">
        <f t="shared" si="36"/>
        <v>16.617734602557405</v>
      </c>
      <c r="AR49" s="4">
        <f t="shared" si="40"/>
        <v>3309833.6352245319</v>
      </c>
      <c r="AS49" s="4">
        <f t="shared" si="41"/>
        <v>2506240.7890383787</v>
      </c>
      <c r="AT49" s="4">
        <f t="shared" si="14"/>
        <v>2364497.7080556341</v>
      </c>
      <c r="AU49" s="4">
        <f t="shared" si="42"/>
        <v>107.17179778160488</v>
      </c>
      <c r="AV49" s="24">
        <f t="shared" si="15"/>
        <v>101.11058415900919</v>
      </c>
      <c r="AW49" s="22"/>
      <c r="BA49" t="e">
        <f t="shared" si="16"/>
        <v>#DIV/0!</v>
      </c>
      <c r="BB49" t="e">
        <f t="shared" si="17"/>
        <v>#DIV/0!</v>
      </c>
      <c r="BC49" t="e">
        <f t="shared" si="18"/>
        <v>#DIV/0!</v>
      </c>
      <c r="BD49" s="21">
        <f t="shared" si="19"/>
        <v>0.3335458443561336</v>
      </c>
      <c r="BE49" s="4">
        <f t="shared" si="20"/>
        <v>1.3045603302921323</v>
      </c>
      <c r="BF49" s="31">
        <f t="shared" si="37"/>
        <v>-1.4617803834372056E-2</v>
      </c>
      <c r="BG49" s="4">
        <f t="shared" si="21"/>
        <v>166.03707484889716</v>
      </c>
      <c r="BH49" s="19">
        <f t="shared" si="22"/>
        <v>-8.7761032212911871E-3</v>
      </c>
      <c r="BJ49" s="1">
        <v>42064</v>
      </c>
      <c r="BK49" s="42">
        <v>164.579916341462</v>
      </c>
      <c r="BL49" s="42">
        <v>162.84209048383732</v>
      </c>
      <c r="BM49" s="42">
        <v>166.03707484889716</v>
      </c>
      <c r="BN49" s="43">
        <f t="shared" si="23"/>
        <v>1.0671846894505288E-2</v>
      </c>
      <c r="BO49" s="43">
        <f t="shared" si="24"/>
        <v>-8.7761032212911871E-3</v>
      </c>
    </row>
    <row r="50" spans="2:67" x14ac:dyDescent="0.3">
      <c r="B50">
        <f t="shared" si="25"/>
        <v>2007</v>
      </c>
      <c r="C50">
        <f t="shared" si="26"/>
        <v>10</v>
      </c>
      <c r="D50" s="1">
        <f t="shared" si="27"/>
        <v>39356</v>
      </c>
      <c r="E50">
        <f>_xlfn.XLOOKUP(D50,[1]nairu_estimates_v6!$A$2:$A$265,[1]nairu_estimates_v6!$P$2:$P$265)</f>
        <v>11.952231839320101</v>
      </c>
      <c r="F50">
        <f>_xlfn.XLOOKUP(D50,[1]nairu_estimates_v6!$A$2:$A$265,[1]nairu_estimates_v6!$V$2:$V$265)</f>
        <v>81.838312135693798</v>
      </c>
      <c r="G50">
        <v>19385609.407604448</v>
      </c>
      <c r="H50">
        <f t="shared" si="0"/>
        <v>0</v>
      </c>
      <c r="I50">
        <f t="shared" si="1"/>
        <v>0</v>
      </c>
      <c r="J50">
        <f t="shared" si="4"/>
        <v>0</v>
      </c>
      <c r="L50">
        <v>3.3165283501148203E-2</v>
      </c>
      <c r="M50">
        <v>80.792599999999993</v>
      </c>
      <c r="N50">
        <f t="shared" si="5"/>
        <v>0</v>
      </c>
      <c r="O50">
        <v>17160531.478714101</v>
      </c>
      <c r="Q50">
        <f t="shared" si="28"/>
        <v>2015</v>
      </c>
      <c r="R50">
        <f t="shared" si="29"/>
        <v>6</v>
      </c>
      <c r="S50" s="9">
        <f t="shared" si="30"/>
        <v>42156</v>
      </c>
      <c r="T50" s="13">
        <v>200715.0508</v>
      </c>
      <c r="U50" s="14">
        <v>198491.7182049526</v>
      </c>
      <c r="V50" s="32">
        <f t="shared" si="6"/>
        <v>1.1201135317654431E-2</v>
      </c>
      <c r="W50" s="41">
        <f t="shared" si="7"/>
        <v>164.01549613983556</v>
      </c>
      <c r="X50" s="15">
        <f t="shared" si="31"/>
        <v>165.85265590629007</v>
      </c>
      <c r="Y50" s="17">
        <v>22950118.598995429</v>
      </c>
      <c r="Z50">
        <v>9.7859579861670998</v>
      </c>
      <c r="AA50" s="4">
        <f t="shared" si="8"/>
        <v>20704229.635122214</v>
      </c>
      <c r="AB50" s="4">
        <v>20818493.677930299</v>
      </c>
      <c r="AC50" s="4">
        <v>48</v>
      </c>
      <c r="AD50" s="14">
        <f t="shared" si="9"/>
        <v>45118657220.85833</v>
      </c>
      <c r="AE50" s="14">
        <f t="shared" si="10"/>
        <v>45367661422.945709</v>
      </c>
      <c r="AF50" s="14">
        <f t="shared" si="32"/>
        <v>125.36825769273538</v>
      </c>
      <c r="AG50" s="14">
        <f t="shared" si="11"/>
        <v>126.06014936010159</v>
      </c>
      <c r="AH50" s="14">
        <f t="shared" si="12"/>
        <v>2.5121000000000002</v>
      </c>
      <c r="AI50" s="14">
        <f t="shared" si="33"/>
        <v>111.6687411095306</v>
      </c>
      <c r="AJ50" s="14">
        <f t="shared" si="34"/>
        <v>139.99715511642987</v>
      </c>
      <c r="AK50" s="15">
        <f t="shared" si="35"/>
        <v>140.76978183121943</v>
      </c>
      <c r="AL50" s="22">
        <v>74.108083303598406</v>
      </c>
      <c r="AM50">
        <v>72.386466666666664</v>
      </c>
      <c r="AN50" s="14">
        <v>47672.3205192674</v>
      </c>
      <c r="AO50" s="3">
        <f t="shared" si="39"/>
        <v>0.23751243531193825</v>
      </c>
      <c r="AP50" s="32">
        <f t="shared" si="13"/>
        <v>9.3134922557405186E-3</v>
      </c>
      <c r="AQ50" s="14">
        <f t="shared" si="36"/>
        <v>16.571062671830795</v>
      </c>
      <c r="AR50" s="4">
        <f t="shared" si="40"/>
        <v>3326061.6859865016</v>
      </c>
      <c r="AS50" s="4">
        <f t="shared" si="41"/>
        <v>2464880.5649799462</v>
      </c>
      <c r="AT50" s="4">
        <f t="shared" si="14"/>
        <v>2407618.53363939</v>
      </c>
      <c r="AU50" s="4">
        <f t="shared" si="42"/>
        <v>105.40315304947083</v>
      </c>
      <c r="AV50" s="24">
        <f t="shared" si="15"/>
        <v>102.95451568380547</v>
      </c>
      <c r="AW50" s="22"/>
      <c r="BA50" t="e">
        <f t="shared" si="16"/>
        <v>#DIV/0!</v>
      </c>
      <c r="BB50" t="e">
        <f t="shared" si="17"/>
        <v>#DIV/0!</v>
      </c>
      <c r="BC50" t="e">
        <f t="shared" si="18"/>
        <v>#DIV/0!</v>
      </c>
      <c r="BD50" s="21">
        <f t="shared" si="19"/>
        <v>0.3335458443561336</v>
      </c>
      <c r="BE50" s="4">
        <f t="shared" si="20"/>
        <v>1.3077655061606963</v>
      </c>
      <c r="BF50" s="31">
        <f t="shared" si="37"/>
        <v>2.4569012211541619E-3</v>
      </c>
      <c r="BG50" s="4">
        <f t="shared" si="21"/>
        <v>166.54605784650431</v>
      </c>
      <c r="BH50" s="19">
        <f t="shared" si="22"/>
        <v>-4.1634245155974803E-3</v>
      </c>
      <c r="BJ50" s="1">
        <v>42156</v>
      </c>
      <c r="BK50" s="42">
        <v>165.85265590629007</v>
      </c>
      <c r="BL50" s="42">
        <v>164.01549613983556</v>
      </c>
      <c r="BM50" s="42">
        <v>166.54605784650431</v>
      </c>
      <c r="BN50" s="43">
        <f t="shared" si="23"/>
        <v>1.1201135317654209E-2</v>
      </c>
      <c r="BO50" s="43">
        <f t="shared" si="24"/>
        <v>-4.1634245155974803E-3</v>
      </c>
    </row>
    <row r="51" spans="2:67" x14ac:dyDescent="0.3">
      <c r="B51">
        <f t="shared" si="25"/>
        <v>2007</v>
      </c>
      <c r="C51">
        <f t="shared" si="26"/>
        <v>11</v>
      </c>
      <c r="D51" s="1">
        <f t="shared" si="27"/>
        <v>39387</v>
      </c>
      <c r="E51">
        <f>_xlfn.XLOOKUP(D51,[1]nairu_estimates_v6!$A$2:$A$265,[1]nairu_estimates_v6!$P$2:$P$265)</f>
        <v>11.9238448168016</v>
      </c>
      <c r="F51">
        <f>_xlfn.XLOOKUP(D51,[1]nairu_estimates_v6!$A$2:$A$265,[1]nairu_estimates_v6!$V$2:$V$265)</f>
        <v>81.988162971948796</v>
      </c>
      <c r="G51">
        <v>19076421.535979908</v>
      </c>
      <c r="H51">
        <f t="shared" si="0"/>
        <v>0</v>
      </c>
      <c r="I51">
        <f t="shared" si="1"/>
        <v>0</v>
      </c>
      <c r="J51">
        <f t="shared" si="4"/>
        <v>0</v>
      </c>
      <c r="L51">
        <v>3.3165283501148203E-2</v>
      </c>
      <c r="M51">
        <v>79.114999999999995</v>
      </c>
      <c r="N51">
        <f t="shared" si="5"/>
        <v>0</v>
      </c>
      <c r="O51">
        <v>17059228.9208203</v>
      </c>
      <c r="Q51">
        <f t="shared" si="28"/>
        <v>2015</v>
      </c>
      <c r="R51">
        <f t="shared" si="29"/>
        <v>9</v>
      </c>
      <c r="S51" s="9">
        <f t="shared" si="30"/>
        <v>42248</v>
      </c>
      <c r="T51" s="13">
        <v>202719.11429999999</v>
      </c>
      <c r="U51" s="14">
        <v>199842.86857884951</v>
      </c>
      <c r="V51" s="32">
        <f t="shared" si="6"/>
        <v>1.4392536204090867E-2</v>
      </c>
      <c r="W51" s="41">
        <f t="shared" si="7"/>
        <v>165.13196387429994</v>
      </c>
      <c r="X51" s="15">
        <f t="shared" si="31"/>
        <v>167.50863164281344</v>
      </c>
      <c r="Y51" s="17">
        <v>23021302.670371756</v>
      </c>
      <c r="Z51">
        <v>9.6524541940782189</v>
      </c>
      <c r="AA51" s="4">
        <f t="shared" si="8"/>
        <v>20799181.975234017</v>
      </c>
      <c r="AB51" s="4">
        <v>20886151.292805899</v>
      </c>
      <c r="AC51" s="4">
        <v>48</v>
      </c>
      <c r="AD51" s="14">
        <f t="shared" si="9"/>
        <v>45325577360.42997</v>
      </c>
      <c r="AE51" s="14">
        <f t="shared" si="10"/>
        <v>45515100897.282616</v>
      </c>
      <c r="AF51" s="14">
        <f t="shared" si="32"/>
        <v>125.94321313195978</v>
      </c>
      <c r="AG51" s="14">
        <f t="shared" si="11"/>
        <v>126.46982977063041</v>
      </c>
      <c r="AH51" s="14">
        <f t="shared" si="12"/>
        <v>2.5121000000000002</v>
      </c>
      <c r="AI51" s="14">
        <f t="shared" si="33"/>
        <v>111.6687411095306</v>
      </c>
      <c r="AJ51" s="14">
        <f t="shared" si="34"/>
        <v>140.63920061735251</v>
      </c>
      <c r="AK51" s="15">
        <f t="shared" si="35"/>
        <v>141.22726678822934</v>
      </c>
      <c r="AL51" s="22">
        <v>73.400278286189973</v>
      </c>
      <c r="AM51">
        <v>73.583533333333335</v>
      </c>
      <c r="AN51" s="14">
        <v>47910.945445643498</v>
      </c>
      <c r="AO51" s="3">
        <f t="shared" si="39"/>
        <v>0.2363415290713092</v>
      </c>
      <c r="AP51" s="32">
        <f t="shared" si="13"/>
        <v>9.3134922557405186E-3</v>
      </c>
      <c r="AQ51" s="14">
        <f t="shared" si="36"/>
        <v>16.489598271450316</v>
      </c>
      <c r="AR51" s="4">
        <f t="shared" si="40"/>
        <v>3342756.7567512188</v>
      </c>
      <c r="AS51" s="4">
        <f t="shared" si="41"/>
        <v>2453592.761885813</v>
      </c>
      <c r="AT51" s="4">
        <f t="shared" si="14"/>
        <v>2459718.5323562855</v>
      </c>
      <c r="AU51" s="4">
        <f t="shared" si="42"/>
        <v>104.92046433261086</v>
      </c>
      <c r="AV51" s="24">
        <f t="shared" si="15"/>
        <v>105.18241435632343</v>
      </c>
      <c r="AW51" s="22"/>
      <c r="BA51" t="e">
        <f t="shared" si="16"/>
        <v>#DIV/0!</v>
      </c>
      <c r="BB51" t="e">
        <f t="shared" si="17"/>
        <v>#DIV/0!</v>
      </c>
      <c r="BC51" t="e">
        <f t="shared" si="18"/>
        <v>#DIV/0!</v>
      </c>
      <c r="BD51" s="21">
        <f t="shared" si="19"/>
        <v>0.3335458443561336</v>
      </c>
      <c r="BE51" s="4">
        <f t="shared" si="20"/>
        <v>1.3085921354529908</v>
      </c>
      <c r="BF51" s="31">
        <f t="shared" si="37"/>
        <v>6.3209290075350033E-4</v>
      </c>
      <c r="BG51" s="4">
        <f t="shared" si="21"/>
        <v>166.90458175410086</v>
      </c>
      <c r="BH51" s="19">
        <f t="shared" si="22"/>
        <v>3.6191330541335276E-3</v>
      </c>
      <c r="BJ51" s="1">
        <v>42248</v>
      </c>
      <c r="BK51" s="42">
        <v>167.50863164281344</v>
      </c>
      <c r="BL51" s="42">
        <v>165.13196387429994</v>
      </c>
      <c r="BM51" s="42">
        <v>166.90458175410086</v>
      </c>
      <c r="BN51" s="43">
        <f t="shared" si="23"/>
        <v>1.4392536204090867E-2</v>
      </c>
      <c r="BO51" s="43">
        <f t="shared" si="24"/>
        <v>3.6191330541335276E-3</v>
      </c>
    </row>
    <row r="52" spans="2:67" x14ac:dyDescent="0.3">
      <c r="B52">
        <f t="shared" si="25"/>
        <v>2007</v>
      </c>
      <c r="C52">
        <f t="shared" si="26"/>
        <v>12</v>
      </c>
      <c r="D52" s="1">
        <f t="shared" si="27"/>
        <v>39417</v>
      </c>
      <c r="E52">
        <f>_xlfn.XLOOKUP(D52,[1]nairu_estimates_v6!$A$2:$A$265,[1]nairu_estimates_v6!$P$2:$P$265)</f>
        <v>11.8946676437217</v>
      </c>
      <c r="F52">
        <f>_xlfn.XLOOKUP(D52,[1]nairu_estimates_v6!$A$2:$A$265,[1]nairu_estimates_v6!$V$2:$V$265)</f>
        <v>82.059077023506106</v>
      </c>
      <c r="G52">
        <v>18821466.038610909</v>
      </c>
      <c r="H52">
        <f t="shared" si="0"/>
        <v>11.923581433281134</v>
      </c>
      <c r="I52">
        <f t="shared" si="1"/>
        <v>81.961850710382905</v>
      </c>
      <c r="J52">
        <f t="shared" si="4"/>
        <v>19094498.994065087</v>
      </c>
      <c r="L52">
        <v>3.3165283501148203E-2</v>
      </c>
      <c r="M52">
        <v>78.63</v>
      </c>
      <c r="N52">
        <f t="shared" si="5"/>
        <v>79.512533333333337</v>
      </c>
      <c r="O52">
        <v>16800046.987265401</v>
      </c>
      <c r="Q52">
        <f t="shared" si="28"/>
        <v>2015</v>
      </c>
      <c r="R52">
        <f t="shared" si="29"/>
        <v>12</v>
      </c>
      <c r="S52" s="9">
        <f t="shared" si="30"/>
        <v>42339</v>
      </c>
      <c r="T52" s="13">
        <v>202083.05480000001</v>
      </c>
      <c r="U52" s="14">
        <v>201127.0836862243</v>
      </c>
      <c r="V52" s="32">
        <f t="shared" si="6"/>
        <v>4.7530700304247997E-3</v>
      </c>
      <c r="W52" s="41">
        <f t="shared" si="7"/>
        <v>166.19312239462099</v>
      </c>
      <c r="X52" s="15">
        <f t="shared" si="31"/>
        <v>166.98304994393754</v>
      </c>
      <c r="Y52" s="17">
        <v>23135464.737146128</v>
      </c>
      <c r="Z52">
        <v>9.5446410355002236</v>
      </c>
      <c r="AA52" s="4">
        <f t="shared" si="8"/>
        <v>20927267.676090796</v>
      </c>
      <c r="AB52" s="4">
        <v>20949628.542326402</v>
      </c>
      <c r="AC52" s="4">
        <v>48</v>
      </c>
      <c r="AD52" s="14">
        <f t="shared" si="9"/>
        <v>45604701719.737061</v>
      </c>
      <c r="AE52" s="14">
        <f t="shared" si="10"/>
        <v>45653430519.437691</v>
      </c>
      <c r="AF52" s="14">
        <f t="shared" si="32"/>
        <v>126.71879770741903</v>
      </c>
      <c r="AG52" s="14">
        <f t="shared" si="11"/>
        <v>126.85419723156761</v>
      </c>
      <c r="AH52" s="14">
        <f t="shared" si="12"/>
        <v>2.5121000000000002</v>
      </c>
      <c r="AI52" s="14">
        <f t="shared" si="33"/>
        <v>111.6687411095306</v>
      </c>
      <c r="AJ52" s="14">
        <f t="shared" si="34"/>
        <v>141.50528614900756</v>
      </c>
      <c r="AK52" s="15">
        <f t="shared" si="35"/>
        <v>141.65648509309256</v>
      </c>
      <c r="AL52" s="22">
        <v>73.356597988344234</v>
      </c>
      <c r="AM52">
        <v>73.385300000000015</v>
      </c>
      <c r="AN52" s="14">
        <v>45457.573343666299</v>
      </c>
      <c r="AO52" s="3">
        <f t="shared" si="39"/>
        <v>0.22494500287842192</v>
      </c>
      <c r="AP52" s="32">
        <f t="shared" si="13"/>
        <v>9.3134922557405186E-3</v>
      </c>
      <c r="AQ52" s="14">
        <f t="shared" si="36"/>
        <v>16.624525823577539</v>
      </c>
      <c r="AR52" s="4">
        <f t="shared" si="40"/>
        <v>3359534.9630300351</v>
      </c>
      <c r="AS52" s="4">
        <f t="shared" si="41"/>
        <v>2464440.5571078118</v>
      </c>
      <c r="AT52" s="4">
        <f t="shared" si="14"/>
        <v>2465404.8112244811</v>
      </c>
      <c r="AU52" s="4">
        <f t="shared" si="42"/>
        <v>105.38433744527951</v>
      </c>
      <c r="AV52" s="24">
        <f t="shared" si="15"/>
        <v>105.42557085256172</v>
      </c>
      <c r="AW52" s="22"/>
      <c r="BA52" t="e">
        <f t="shared" si="16"/>
        <v>#DIV/0!</v>
      </c>
      <c r="BB52" t="e">
        <f t="shared" si="17"/>
        <v>#DIV/0!</v>
      </c>
      <c r="BC52" t="e">
        <f t="shared" si="18"/>
        <v>#DIV/0!</v>
      </c>
      <c r="BD52" s="21">
        <f t="shared" si="19"/>
        <v>0.3335458443561336</v>
      </c>
      <c r="BE52" s="4">
        <f t="shared" si="20"/>
        <v>1.3008484112989191</v>
      </c>
      <c r="BF52" s="31">
        <f t="shared" si="37"/>
        <v>-5.9175994905326101E-3</v>
      </c>
      <c r="BG52" s="4">
        <f t="shared" si="21"/>
        <v>166.84247458862416</v>
      </c>
      <c r="BH52" s="19">
        <f t="shared" si="22"/>
        <v>8.425633560038559E-4</v>
      </c>
      <c r="BJ52" s="1">
        <v>42339</v>
      </c>
      <c r="BK52" s="42">
        <v>166.98304994393754</v>
      </c>
      <c r="BL52" s="42">
        <v>166.19312239462099</v>
      </c>
      <c r="BM52" s="42">
        <v>166.84247458862416</v>
      </c>
      <c r="BN52" s="43">
        <f t="shared" si="23"/>
        <v>4.7530700304245777E-3</v>
      </c>
      <c r="BO52" s="43">
        <f t="shared" si="24"/>
        <v>8.425633560038559E-4</v>
      </c>
    </row>
    <row r="53" spans="2:67" x14ac:dyDescent="0.3">
      <c r="B53">
        <f t="shared" si="25"/>
        <v>2008</v>
      </c>
      <c r="C53">
        <f t="shared" si="26"/>
        <v>1</v>
      </c>
      <c r="D53" s="1">
        <f t="shared" si="27"/>
        <v>39448</v>
      </c>
      <c r="E53">
        <f>_xlfn.XLOOKUP(D53,[1]nairu_estimates_v6!$A$2:$A$265,[1]nairu_estimates_v6!$P$2:$P$265)</f>
        <v>11.867588357546399</v>
      </c>
      <c r="F53">
        <f>_xlfn.XLOOKUP(D53,[1]nairu_estimates_v6!$A$2:$A$265,[1]nairu_estimates_v6!$V$2:$V$265)</f>
        <v>81.896001298675003</v>
      </c>
      <c r="G53">
        <v>18982080.625374071</v>
      </c>
      <c r="H53">
        <f t="shared" si="0"/>
        <v>0</v>
      </c>
      <c r="I53">
        <f t="shared" si="1"/>
        <v>0</v>
      </c>
      <c r="J53">
        <f t="shared" si="4"/>
        <v>0</v>
      </c>
      <c r="K53">
        <v>2.3395999999999999</v>
      </c>
      <c r="L53">
        <v>3.3944629132747699E-2</v>
      </c>
      <c r="M53">
        <v>76.785499999999999</v>
      </c>
      <c r="N53">
        <f t="shared" si="5"/>
        <v>0</v>
      </c>
      <c r="O53">
        <v>16874675.693460301</v>
      </c>
      <c r="Q53">
        <f t="shared" si="28"/>
        <v>2016</v>
      </c>
      <c r="R53">
        <f t="shared" si="29"/>
        <v>3</v>
      </c>
      <c r="S53" s="9">
        <f t="shared" si="30"/>
        <v>42430</v>
      </c>
      <c r="T53" s="13">
        <v>204161.2218</v>
      </c>
      <c r="U53" s="14">
        <v>202348.13224397294</v>
      </c>
      <c r="V53" s="32">
        <f t="shared" si="6"/>
        <v>8.9602485376094609E-3</v>
      </c>
      <c r="W53" s="41">
        <f t="shared" si="7"/>
        <v>167.20208582554449</v>
      </c>
      <c r="X53" s="15">
        <f t="shared" si="31"/>
        <v>168.7002580705481</v>
      </c>
      <c r="Y53" s="17">
        <v>23111348.411314484</v>
      </c>
      <c r="Z53">
        <v>9.4666611077291929</v>
      </c>
      <c r="AA53" s="4">
        <f t="shared" si="8"/>
        <v>20923475.379788786</v>
      </c>
      <c r="AB53" s="4">
        <v>20648870.389833301</v>
      </c>
      <c r="AC53" s="4">
        <v>48</v>
      </c>
      <c r="AD53" s="14">
        <f t="shared" si="9"/>
        <v>45596437547.635719</v>
      </c>
      <c r="AE53" s="14">
        <f t="shared" si="10"/>
        <v>44998018353.524727</v>
      </c>
      <c r="AF53" s="14">
        <f t="shared" si="32"/>
        <v>126.69583459367773</v>
      </c>
      <c r="AG53" s="14">
        <f t="shared" si="11"/>
        <v>125.03304637353313</v>
      </c>
      <c r="AH53" s="14">
        <f t="shared" si="12"/>
        <v>2.5381</v>
      </c>
      <c r="AI53" s="14">
        <f t="shared" si="33"/>
        <v>112.82450213371267</v>
      </c>
      <c r="AJ53" s="14">
        <f t="shared" si="34"/>
        <v>142.94394460446901</v>
      </c>
      <c r="AK53" s="15">
        <f t="shared" si="35"/>
        <v>141.06791207355283</v>
      </c>
      <c r="AL53" s="22">
        <v>73.386125286105667</v>
      </c>
      <c r="AM53">
        <v>74.804533333333325</v>
      </c>
      <c r="AN53" s="14">
        <v>45158.811374992503</v>
      </c>
      <c r="AO53" s="3">
        <f t="shared" si="39"/>
        <v>0.2211919138063882</v>
      </c>
      <c r="AP53" s="32">
        <f t="shared" si="13"/>
        <v>9.3204793566969979E-3</v>
      </c>
      <c r="AQ53" s="14">
        <f t="shared" si="36"/>
        <v>16.524702897877308</v>
      </c>
      <c r="AR53" s="4">
        <f t="shared" si="40"/>
        <v>3373703.5335126319</v>
      </c>
      <c r="AS53" s="4">
        <f t="shared" si="41"/>
        <v>2475830.3018853539</v>
      </c>
      <c r="AT53" s="4">
        <f t="shared" si="14"/>
        <v>2523683.1842943011</v>
      </c>
      <c r="AU53" s="4">
        <f t="shared" si="42"/>
        <v>105.87138538952399</v>
      </c>
      <c r="AV53" s="24">
        <f t="shared" si="15"/>
        <v>107.91766899452682</v>
      </c>
      <c r="AW53" s="22">
        <v>67832</v>
      </c>
      <c r="AX53">
        <v>30424</v>
      </c>
      <c r="AY53">
        <v>68248</v>
      </c>
      <c r="AZ53">
        <v>40309</v>
      </c>
      <c r="BA53">
        <f t="shared" si="16"/>
        <v>0.49847148736037628</v>
      </c>
      <c r="BB53">
        <f t="shared" si="17"/>
        <v>0.32999859776706492</v>
      </c>
      <c r="BC53">
        <f t="shared" si="18"/>
        <v>0.67000140223293503</v>
      </c>
      <c r="BD53" s="21">
        <f t="shared" si="19"/>
        <v>0.3335458443561336</v>
      </c>
      <c r="BE53" s="4">
        <f t="shared" si="20"/>
        <v>1.3076478133327689</v>
      </c>
      <c r="BF53" s="31">
        <f t="shared" si="37"/>
        <v>5.2268980572920398E-3</v>
      </c>
      <c r="BG53" s="4">
        <f t="shared" si="21"/>
        <v>169.10889699955692</v>
      </c>
      <c r="BH53" s="19">
        <f t="shared" si="22"/>
        <v>-2.4164247787027415E-3</v>
      </c>
      <c r="BJ53" s="1">
        <v>42430</v>
      </c>
      <c r="BK53" s="42">
        <v>168.7002580705481</v>
      </c>
      <c r="BL53" s="42">
        <v>167.20208582554449</v>
      </c>
      <c r="BM53" s="42">
        <v>169.10889699955692</v>
      </c>
      <c r="BN53" s="43">
        <f t="shared" si="23"/>
        <v>8.960248537609683E-3</v>
      </c>
      <c r="BO53" s="43">
        <f t="shared" si="24"/>
        <v>-2.4164247787027415E-3</v>
      </c>
    </row>
    <row r="54" spans="2:67" x14ac:dyDescent="0.3">
      <c r="B54">
        <f t="shared" si="25"/>
        <v>2008</v>
      </c>
      <c r="C54">
        <f t="shared" si="26"/>
        <v>2</v>
      </c>
      <c r="D54" s="1">
        <f t="shared" si="27"/>
        <v>39479</v>
      </c>
      <c r="E54">
        <f>_xlfn.XLOOKUP(D54,[1]nairu_estimates_v6!$A$2:$A$265,[1]nairu_estimates_v6!$P$2:$P$265)</f>
        <v>11.842703728363199</v>
      </c>
      <c r="F54">
        <f>_xlfn.XLOOKUP(D54,[1]nairu_estimates_v6!$A$2:$A$265,[1]nairu_estimates_v6!$V$2:$V$265)</f>
        <v>81.537409501741806</v>
      </c>
      <c r="G54">
        <v>19181678.144934509</v>
      </c>
      <c r="H54">
        <f t="shared" si="0"/>
        <v>0</v>
      </c>
      <c r="I54">
        <f t="shared" si="1"/>
        <v>0</v>
      </c>
      <c r="J54">
        <f t="shared" si="4"/>
        <v>0</v>
      </c>
      <c r="L54">
        <v>3.3944629132747699E-2</v>
      </c>
      <c r="M54">
        <v>79.958500000000001</v>
      </c>
      <c r="N54">
        <f t="shared" si="5"/>
        <v>0</v>
      </c>
      <c r="O54">
        <v>17049333.703230001</v>
      </c>
      <c r="Q54">
        <f t="shared" si="28"/>
        <v>2016</v>
      </c>
      <c r="R54">
        <f t="shared" si="29"/>
        <v>6</v>
      </c>
      <c r="S54" s="9">
        <f t="shared" si="30"/>
        <v>42522</v>
      </c>
      <c r="T54" s="13">
        <v>204974.50159999999</v>
      </c>
      <c r="U54" s="14">
        <v>203510.38045093749</v>
      </c>
      <c r="V54" s="32">
        <f t="shared" si="6"/>
        <v>7.1943315413116604E-3</v>
      </c>
      <c r="W54" s="41">
        <f t="shared" si="7"/>
        <v>168.16246199653463</v>
      </c>
      <c r="X54" s="15">
        <f t="shared" si="31"/>
        <v>169.37227850094092</v>
      </c>
      <c r="Y54" s="17">
        <v>23110013.410335023</v>
      </c>
      <c r="Z54">
        <v>9.4194217961741931</v>
      </c>
      <c r="AA54" s="4">
        <f t="shared" si="8"/>
        <v>20933183.770063147</v>
      </c>
      <c r="AB54" s="4">
        <v>20970503.879740801</v>
      </c>
      <c r="AC54" s="4">
        <v>48</v>
      </c>
      <c r="AD54" s="14">
        <f t="shared" si="9"/>
        <v>45617594071.721611</v>
      </c>
      <c r="AE54" s="14">
        <f t="shared" si="10"/>
        <v>45698922054.731148</v>
      </c>
      <c r="AF54" s="14">
        <f t="shared" si="32"/>
        <v>126.75462084147094</v>
      </c>
      <c r="AG54" s="14">
        <f t="shared" si="11"/>
        <v>126.98060158113836</v>
      </c>
      <c r="AH54" s="14">
        <f t="shared" si="12"/>
        <v>2.5381</v>
      </c>
      <c r="AI54" s="14">
        <f t="shared" si="33"/>
        <v>112.82450213371267</v>
      </c>
      <c r="AJ54" s="14">
        <f t="shared" si="34"/>
        <v>143.01026989586478</v>
      </c>
      <c r="AK54" s="15">
        <f t="shared" si="35"/>
        <v>143.26523154031264</v>
      </c>
      <c r="AL54" s="22">
        <v>73.703888659238658</v>
      </c>
      <c r="AM54">
        <v>75.876733333333334</v>
      </c>
      <c r="AN54" s="14">
        <v>45722.973137327499</v>
      </c>
      <c r="AO54" s="3">
        <f t="shared" si="39"/>
        <v>0.2230666389254316</v>
      </c>
      <c r="AP54" s="32">
        <f t="shared" si="13"/>
        <v>9.3204793566969979E-3</v>
      </c>
      <c r="AQ54" s="14">
        <f t="shared" si="36"/>
        <v>16.526044870489905</v>
      </c>
      <c r="AR54" s="4">
        <f t="shared" si="40"/>
        <v>3387417.8107479042</v>
      </c>
      <c r="AS54" s="4">
        <f t="shared" si="41"/>
        <v>2496658.6516568549</v>
      </c>
      <c r="AT54" s="4">
        <f t="shared" si="14"/>
        <v>2570261.9791470254</v>
      </c>
      <c r="AU54" s="4">
        <f t="shared" si="42"/>
        <v>106.76204669373664</v>
      </c>
      <c r="AV54" s="24">
        <f t="shared" si="15"/>
        <v>109.90947010346272</v>
      </c>
      <c r="AW54" s="22">
        <v>70403</v>
      </c>
      <c r="AX54">
        <v>22845</v>
      </c>
      <c r="AY54">
        <v>72420</v>
      </c>
      <c r="AZ54">
        <v>42141</v>
      </c>
      <c r="BA54">
        <f t="shared" si="16"/>
        <v>0.49293881237615789</v>
      </c>
      <c r="BB54">
        <f t="shared" si="17"/>
        <v>0.34849308740237428</v>
      </c>
      <c r="BC54">
        <f t="shared" si="18"/>
        <v>0.65150691259762572</v>
      </c>
      <c r="BD54" s="21">
        <f t="shared" si="19"/>
        <v>0.3335458443561336</v>
      </c>
      <c r="BE54" s="4">
        <f t="shared" si="20"/>
        <v>1.2915004123470464</v>
      </c>
      <c r="BF54" s="31">
        <f t="shared" si="37"/>
        <v>-1.2348432675131416E-2</v>
      </c>
      <c r="BG54" s="4">
        <f t="shared" si="21"/>
        <v>167.53981001582875</v>
      </c>
      <c r="BH54" s="19">
        <f t="shared" si="22"/>
        <v>1.0937510821690921E-2</v>
      </c>
      <c r="BJ54" s="1">
        <v>42522</v>
      </c>
      <c r="BK54" s="42">
        <v>169.37227850094092</v>
      </c>
      <c r="BL54" s="42">
        <v>168.16246199653463</v>
      </c>
      <c r="BM54" s="42">
        <v>167.53981001582875</v>
      </c>
      <c r="BN54" s="43">
        <f t="shared" si="23"/>
        <v>7.1943315413116604E-3</v>
      </c>
      <c r="BO54" s="43">
        <f t="shared" si="24"/>
        <v>1.0937510821690921E-2</v>
      </c>
    </row>
    <row r="55" spans="2:67" x14ac:dyDescent="0.3">
      <c r="B55">
        <f t="shared" si="25"/>
        <v>2008</v>
      </c>
      <c r="C55">
        <f t="shared" si="26"/>
        <v>3</v>
      </c>
      <c r="D55" s="1">
        <f t="shared" si="27"/>
        <v>39508</v>
      </c>
      <c r="E55">
        <f>_xlfn.XLOOKUP(D55,[1]nairu_estimates_v6!$A$2:$A$265,[1]nairu_estimates_v6!$P$2:$P$265)</f>
        <v>11.8165292738875</v>
      </c>
      <c r="F55">
        <f>_xlfn.XLOOKUP(D55,[1]nairu_estimates_v6!$A$2:$A$265,[1]nairu_estimates_v6!$V$2:$V$265)</f>
        <v>81.163228785272693</v>
      </c>
      <c r="G55">
        <v>19355156.912314311</v>
      </c>
      <c r="H55">
        <f t="shared" si="0"/>
        <v>11.842273786599032</v>
      </c>
      <c r="I55">
        <f t="shared" si="1"/>
        <v>81.532213195229829</v>
      </c>
      <c r="J55">
        <f t="shared" si="4"/>
        <v>19172971.89420763</v>
      </c>
      <c r="L55">
        <v>3.3944629132747699E-2</v>
      </c>
      <c r="M55">
        <v>79.378600000000006</v>
      </c>
      <c r="N55">
        <f t="shared" si="5"/>
        <v>78.70753333333333</v>
      </c>
      <c r="O55">
        <v>17168918.243910898</v>
      </c>
      <c r="Q55">
        <f t="shared" si="28"/>
        <v>2016</v>
      </c>
      <c r="R55">
        <f t="shared" si="29"/>
        <v>9</v>
      </c>
      <c r="S55" s="9">
        <f t="shared" si="30"/>
        <v>42614</v>
      </c>
      <c r="T55" s="13">
        <v>205519.2187</v>
      </c>
      <c r="U55" s="14">
        <v>204619.32768693252</v>
      </c>
      <c r="V55" s="32">
        <f t="shared" si="6"/>
        <v>4.3978788477123665E-3</v>
      </c>
      <c r="W55" s="41">
        <f t="shared" si="7"/>
        <v>169.07879509470862</v>
      </c>
      <c r="X55" s="15">
        <f t="shared" si="31"/>
        <v>169.82238315125232</v>
      </c>
      <c r="Y55" s="17">
        <v>23088100.039543796</v>
      </c>
      <c r="Z55">
        <v>9.3928785281559826</v>
      </c>
      <c r="AA55" s="4">
        <f t="shared" si="8"/>
        <v>20919462.848370314</v>
      </c>
      <c r="AB55" s="4">
        <v>20954952.707420804</v>
      </c>
      <c r="AC55" s="4">
        <v>48</v>
      </c>
      <c r="AD55" s="14">
        <f t="shared" si="9"/>
        <v>45587693439.168587</v>
      </c>
      <c r="AE55" s="14">
        <f t="shared" si="10"/>
        <v>45665032940.011414</v>
      </c>
      <c r="AF55" s="14">
        <f t="shared" si="32"/>
        <v>126.67153791219108</v>
      </c>
      <c r="AG55" s="14">
        <f t="shared" si="11"/>
        <v>126.88643611769459</v>
      </c>
      <c r="AH55" s="14">
        <f t="shared" si="12"/>
        <v>2.5381</v>
      </c>
      <c r="AI55" s="14">
        <f t="shared" si="33"/>
        <v>112.82450213371267</v>
      </c>
      <c r="AJ55" s="14">
        <f t="shared" si="34"/>
        <v>142.91653199454669</v>
      </c>
      <c r="AK55" s="15">
        <f t="shared" si="35"/>
        <v>143.1589898250003</v>
      </c>
      <c r="AL55" s="22">
        <v>74.240207648551987</v>
      </c>
      <c r="AM55">
        <v>77.220766666666663</v>
      </c>
      <c r="AN55" s="14">
        <v>44732.021378691898</v>
      </c>
      <c r="AO55" s="3">
        <f t="shared" si="39"/>
        <v>0.21765371463380276</v>
      </c>
      <c r="AP55" s="32">
        <f t="shared" si="13"/>
        <v>9.3204793566969979E-3</v>
      </c>
      <c r="AQ55" s="14">
        <f t="shared" si="36"/>
        <v>16.551096523352285</v>
      </c>
      <c r="AR55" s="4">
        <f t="shared" si="40"/>
        <v>3401568.4261076483</v>
      </c>
      <c r="AS55" s="4">
        <f t="shared" si="41"/>
        <v>2525331.4628498997</v>
      </c>
      <c r="AT55" s="4">
        <f t="shared" si="14"/>
        <v>2626717.2173315929</v>
      </c>
      <c r="AU55" s="4">
        <f t="shared" si="42"/>
        <v>107.9881526355325</v>
      </c>
      <c r="AV55" s="24">
        <f t="shared" si="15"/>
        <v>112.32360740299583</v>
      </c>
      <c r="AW55" s="22">
        <v>72793</v>
      </c>
      <c r="AX55">
        <v>24502</v>
      </c>
      <c r="AY55">
        <v>76584</v>
      </c>
      <c r="AZ55">
        <v>46750</v>
      </c>
      <c r="BA55">
        <f t="shared" si="16"/>
        <v>0.48731063015055864</v>
      </c>
      <c r="BB55">
        <f t="shared" si="17"/>
        <v>0.34711665284255472</v>
      </c>
      <c r="BC55">
        <f t="shared" si="18"/>
        <v>0.65288334715744534</v>
      </c>
      <c r="BD55" s="21">
        <f t="shared" si="19"/>
        <v>0.3335458443561336</v>
      </c>
      <c r="BE55" s="4">
        <f t="shared" si="20"/>
        <v>1.2862179146646928</v>
      </c>
      <c r="BF55" s="31">
        <f t="shared" si="37"/>
        <v>-4.0902020873176959E-3</v>
      </c>
      <c r="BG55" s="4">
        <f t="shared" si="21"/>
        <v>167.41808638746213</v>
      </c>
      <c r="BH55" s="19">
        <f t="shared" si="22"/>
        <v>1.436103359959473E-2</v>
      </c>
      <c r="BJ55" s="1">
        <v>42614</v>
      </c>
      <c r="BK55" s="42">
        <v>169.82238315125232</v>
      </c>
      <c r="BL55" s="42">
        <v>169.07879509470862</v>
      </c>
      <c r="BM55" s="42">
        <v>167.41808638746213</v>
      </c>
      <c r="BN55" s="43">
        <f t="shared" si="23"/>
        <v>4.3978788477123665E-3</v>
      </c>
      <c r="BO55" s="43">
        <f t="shared" si="24"/>
        <v>1.436103359959473E-2</v>
      </c>
    </row>
    <row r="56" spans="2:67" x14ac:dyDescent="0.3">
      <c r="B56">
        <f t="shared" si="25"/>
        <v>2008</v>
      </c>
      <c r="C56">
        <f t="shared" si="26"/>
        <v>4</v>
      </c>
      <c r="D56" s="1">
        <f t="shared" si="27"/>
        <v>39539</v>
      </c>
      <c r="E56">
        <f>_xlfn.XLOOKUP(D56,[1]nairu_estimates_v6!$A$2:$A$265,[1]nairu_estimates_v6!$P$2:$P$265)</f>
        <v>11.7923026759498</v>
      </c>
      <c r="F56">
        <f>_xlfn.XLOOKUP(D56,[1]nairu_estimates_v6!$A$2:$A$265,[1]nairu_estimates_v6!$V$2:$V$265)</f>
        <v>80.601138757251903</v>
      </c>
      <c r="G56">
        <v>19357198.585408848</v>
      </c>
      <c r="H56">
        <f t="shared" si="0"/>
        <v>0</v>
      </c>
      <c r="I56">
        <f t="shared" si="1"/>
        <v>0</v>
      </c>
      <c r="J56">
        <f t="shared" si="4"/>
        <v>0</v>
      </c>
      <c r="L56">
        <v>3.3944629132747699E-2</v>
      </c>
      <c r="M56">
        <v>75.732900000000001</v>
      </c>
      <c r="N56">
        <f t="shared" si="5"/>
        <v>0</v>
      </c>
      <c r="O56">
        <v>17232483.1728721</v>
      </c>
      <c r="Q56">
        <f t="shared" si="28"/>
        <v>2016</v>
      </c>
      <c r="R56">
        <f t="shared" si="29"/>
        <v>12</v>
      </c>
      <c r="S56" s="9">
        <f t="shared" si="30"/>
        <v>42705</v>
      </c>
      <c r="T56" s="13">
        <v>206834.05790000001</v>
      </c>
      <c r="U56" s="14">
        <v>205681.38840749074</v>
      </c>
      <c r="V56" s="32">
        <f t="shared" si="6"/>
        <v>5.6041506790378559E-3</v>
      </c>
      <c r="W56" s="41">
        <f t="shared" si="7"/>
        <v>169.95638544249897</v>
      </c>
      <c r="X56" s="15">
        <f t="shared" si="31"/>
        <v>170.90884663538338</v>
      </c>
      <c r="Y56" s="17">
        <v>23242156.472139996</v>
      </c>
      <c r="Z56">
        <v>9.3809781550139011</v>
      </c>
      <c r="AA56" s="4">
        <f t="shared" si="8"/>
        <v>21061814.850734394</v>
      </c>
      <c r="AB56" s="4">
        <v>20990237.221000601</v>
      </c>
      <c r="AC56" s="4">
        <v>48</v>
      </c>
      <c r="AD56" s="14">
        <f t="shared" si="9"/>
        <v>45897906922.72039</v>
      </c>
      <c r="AE56" s="14">
        <f t="shared" si="10"/>
        <v>45741924952.004509</v>
      </c>
      <c r="AF56" s="14">
        <f t="shared" si="32"/>
        <v>127.53350780095151</v>
      </c>
      <c r="AG56" s="14">
        <f t="shared" si="11"/>
        <v>127.10009091524044</v>
      </c>
      <c r="AH56" s="14">
        <f t="shared" si="12"/>
        <v>2.5381</v>
      </c>
      <c r="AI56" s="14">
        <f t="shared" si="33"/>
        <v>112.82450213371267</v>
      </c>
      <c r="AJ56" s="14">
        <f t="shared" si="34"/>
        <v>143.88904523008316</v>
      </c>
      <c r="AK56" s="15">
        <f t="shared" si="35"/>
        <v>143.40004478661621</v>
      </c>
      <c r="AL56" s="22">
        <v>75.240322908999758</v>
      </c>
      <c r="AM56">
        <v>74.967533333333321</v>
      </c>
      <c r="AN56" s="14">
        <v>47045.1941089881</v>
      </c>
      <c r="AO56" s="3">
        <f t="shared" si="39"/>
        <v>0.22745380807513566</v>
      </c>
      <c r="AP56" s="32">
        <f t="shared" si="13"/>
        <v>9.3204793566969979E-3</v>
      </c>
      <c r="AQ56" s="14">
        <f t="shared" si="36"/>
        <v>16.50886819056317</v>
      </c>
      <c r="AR56" s="4">
        <f t="shared" si="40"/>
        <v>3414596.1991904113</v>
      </c>
      <c r="AS56" s="4">
        <f t="shared" si="41"/>
        <v>2569153.2063092981</v>
      </c>
      <c r="AT56" s="4">
        <f t="shared" si="14"/>
        <v>2559838.543826804</v>
      </c>
      <c r="AU56" s="4">
        <f t="shared" si="42"/>
        <v>109.86205679071546</v>
      </c>
      <c r="AV56" s="24">
        <f t="shared" si="15"/>
        <v>109.46374345691932</v>
      </c>
      <c r="AW56" s="22">
        <v>80533</v>
      </c>
      <c r="AX56">
        <v>20997</v>
      </c>
      <c r="AY56">
        <v>80428</v>
      </c>
      <c r="AZ56">
        <v>46573</v>
      </c>
      <c r="BA56">
        <f t="shared" si="16"/>
        <v>0.5003261659656687</v>
      </c>
      <c r="BB56">
        <f t="shared" si="17"/>
        <v>0.3519347484586336</v>
      </c>
      <c r="BC56">
        <f t="shared" si="18"/>
        <v>0.6480652515413664</v>
      </c>
      <c r="BD56" s="21">
        <f t="shared" si="19"/>
        <v>0.3335458443561336</v>
      </c>
      <c r="BE56" s="4">
        <f t="shared" si="20"/>
        <v>1.3041669087229895</v>
      </c>
      <c r="BF56" s="31">
        <f t="shared" si="37"/>
        <v>1.3954862433225967E-2</v>
      </c>
      <c r="BG56" s="4">
        <f t="shared" si="21"/>
        <v>171.50469102968918</v>
      </c>
      <c r="BH56" s="19">
        <f t="shared" si="22"/>
        <v>-3.4742163070201615E-3</v>
      </c>
      <c r="BJ56" s="1">
        <v>42705</v>
      </c>
      <c r="BK56" s="42">
        <v>170.90884663538338</v>
      </c>
      <c r="BL56" s="42">
        <v>169.95638544249897</v>
      </c>
      <c r="BM56" s="42">
        <v>171.50469102968918</v>
      </c>
      <c r="BN56" s="43">
        <f t="shared" si="23"/>
        <v>5.6041506790378559E-3</v>
      </c>
      <c r="BO56" s="43">
        <f t="shared" si="24"/>
        <v>-3.4742163070201615E-3</v>
      </c>
    </row>
    <row r="57" spans="2:67" x14ac:dyDescent="0.3">
      <c r="B57">
        <f t="shared" si="25"/>
        <v>2008</v>
      </c>
      <c r="C57">
        <f t="shared" si="26"/>
        <v>5</v>
      </c>
      <c r="D57" s="1">
        <f t="shared" si="27"/>
        <v>39569</v>
      </c>
      <c r="E57">
        <f>_xlfn.XLOOKUP(D57,[1]nairu_estimates_v6!$A$2:$A$265,[1]nairu_estimates_v6!$P$2:$P$265)</f>
        <v>11.766727078074499</v>
      </c>
      <c r="F57">
        <f>_xlfn.XLOOKUP(D57,[1]nairu_estimates_v6!$A$2:$A$265,[1]nairu_estimates_v6!$V$2:$V$265)</f>
        <v>80.517729448868096</v>
      </c>
      <c r="G57">
        <v>19299777.472838417</v>
      </c>
      <c r="H57">
        <f t="shared" si="0"/>
        <v>0</v>
      </c>
      <c r="I57">
        <f t="shared" si="1"/>
        <v>0</v>
      </c>
      <c r="J57">
        <f t="shared" si="4"/>
        <v>0</v>
      </c>
      <c r="L57">
        <v>3.3944629132747699E-2</v>
      </c>
      <c r="M57">
        <v>77.734800000000007</v>
      </c>
      <c r="N57">
        <f t="shared" si="5"/>
        <v>0</v>
      </c>
      <c r="O57">
        <v>17216598.756620798</v>
      </c>
      <c r="Q57">
        <f t="shared" si="28"/>
        <v>2017</v>
      </c>
      <c r="R57">
        <f t="shared" si="29"/>
        <v>3</v>
      </c>
      <c r="S57" s="9">
        <f t="shared" si="30"/>
        <v>42795</v>
      </c>
      <c r="T57" s="13">
        <v>206566.67749999999</v>
      </c>
      <c r="U57" s="14">
        <v>206703.53950002807</v>
      </c>
      <c r="V57" s="32">
        <f t="shared" si="6"/>
        <v>-6.621173510580336E-4</v>
      </c>
      <c r="W57" s="41">
        <f t="shared" si="7"/>
        <v>170.80099810487351</v>
      </c>
      <c r="X57" s="15">
        <f t="shared" si="31"/>
        <v>170.68790780045026</v>
      </c>
      <c r="Y57" s="17">
        <v>23286084.82840101</v>
      </c>
      <c r="Z57">
        <v>9.3852821298826399</v>
      </c>
      <c r="AA57" s="4">
        <f t="shared" si="8"/>
        <v>21100620.070251778</v>
      </c>
      <c r="AB57" s="4">
        <v>20986622.159331001</v>
      </c>
      <c r="AC57" s="4">
        <v>48</v>
      </c>
      <c r="AD57" s="14">
        <f t="shared" si="9"/>
        <v>45982471257.092674</v>
      </c>
      <c r="AE57" s="14">
        <f t="shared" si="10"/>
        <v>45734047009.61412</v>
      </c>
      <c r="AF57" s="14">
        <f t="shared" si="32"/>
        <v>127.76848117817998</v>
      </c>
      <c r="AG57" s="14">
        <f t="shared" si="11"/>
        <v>127.07820099270015</v>
      </c>
      <c r="AH57" s="14">
        <f t="shared" si="12"/>
        <v>2.5630000000000002</v>
      </c>
      <c r="AI57" s="14">
        <f t="shared" si="33"/>
        <v>113.93136557610242</v>
      </c>
      <c r="AJ57" s="14">
        <f t="shared" si="34"/>
        <v>145.56837538214586</v>
      </c>
      <c r="AK57" s="15">
        <f t="shared" si="35"/>
        <v>144.78192974052743</v>
      </c>
      <c r="AL57" s="22">
        <v>75.501669572099658</v>
      </c>
      <c r="AM57">
        <v>75.468699999999998</v>
      </c>
      <c r="AN57" s="14">
        <v>45957.979842981098</v>
      </c>
      <c r="AO57" s="3">
        <f t="shared" si="39"/>
        <v>0.22248496417328056</v>
      </c>
      <c r="AP57" s="32">
        <f t="shared" si="13"/>
        <v>9.2899629368474734E-3</v>
      </c>
      <c r="AQ57" s="14">
        <f t="shared" si="36"/>
        <v>16.60391579814895</v>
      </c>
      <c r="AR57" s="4">
        <f t="shared" si="40"/>
        <v>3429815.7199133891</v>
      </c>
      <c r="AS57" s="4">
        <f t="shared" si="41"/>
        <v>2589568.1317809382</v>
      </c>
      <c r="AT57" s="4">
        <f t="shared" si="14"/>
        <v>2588437.3362142756</v>
      </c>
      <c r="AU57" s="4">
        <f t="shared" si="42"/>
        <v>110.73503925670293</v>
      </c>
      <c r="AV57" s="24">
        <f t="shared" si="15"/>
        <v>110.6866842086434</v>
      </c>
      <c r="AW57" s="22">
        <v>73150</v>
      </c>
      <c r="AX57">
        <v>33045</v>
      </c>
      <c r="AY57">
        <v>72413</v>
      </c>
      <c r="AZ57">
        <v>42519</v>
      </c>
      <c r="BA57">
        <f t="shared" si="16"/>
        <v>0.50253154991309601</v>
      </c>
      <c r="BB57">
        <f t="shared" si="17"/>
        <v>0.32747244795976971</v>
      </c>
      <c r="BC57">
        <f t="shared" si="18"/>
        <v>0.67252755204023029</v>
      </c>
      <c r="BD57" s="21">
        <f t="shared" si="19"/>
        <v>0.3335458443561336</v>
      </c>
      <c r="BE57" s="4">
        <f t="shared" si="20"/>
        <v>1.2893955630748719</v>
      </c>
      <c r="BF57" s="31">
        <f t="shared" si="37"/>
        <v>-1.1326269321295213E-2</v>
      </c>
      <c r="BG57" s="4">
        <f t="shared" si="21"/>
        <v>171.33022043726811</v>
      </c>
      <c r="BH57" s="19">
        <f t="shared" si="22"/>
        <v>-3.7489745543929365E-3</v>
      </c>
      <c r="BJ57" s="1">
        <v>42795</v>
      </c>
      <c r="BK57" s="42">
        <v>170.68790780045026</v>
      </c>
      <c r="BL57" s="42">
        <v>170.80099810487351</v>
      </c>
      <c r="BM57" s="42">
        <v>171.33022043726811</v>
      </c>
      <c r="BN57" s="43">
        <f t="shared" si="23"/>
        <v>-6.6211735105792258E-4</v>
      </c>
      <c r="BO57" s="43">
        <f t="shared" si="24"/>
        <v>-3.7489745543929365E-3</v>
      </c>
    </row>
    <row r="58" spans="2:67" x14ac:dyDescent="0.3">
      <c r="B58">
        <f t="shared" si="25"/>
        <v>2008</v>
      </c>
      <c r="C58">
        <f t="shared" si="26"/>
        <v>6</v>
      </c>
      <c r="D58" s="1">
        <f t="shared" si="27"/>
        <v>39600</v>
      </c>
      <c r="E58">
        <f>_xlfn.XLOOKUP(D58,[1]nairu_estimates_v6!$A$2:$A$265,[1]nairu_estimates_v6!$P$2:$P$265)</f>
        <v>11.738967582500599</v>
      </c>
      <c r="F58">
        <f>_xlfn.XLOOKUP(D58,[1]nairu_estimates_v6!$A$2:$A$265,[1]nairu_estimates_v6!$V$2:$V$265)</f>
        <v>80.369466223603595</v>
      </c>
      <c r="G58">
        <v>18816481.218497079</v>
      </c>
      <c r="H58">
        <f t="shared" si="0"/>
        <v>11.765999112174967</v>
      </c>
      <c r="I58">
        <f t="shared" si="1"/>
        <v>80.496111476574526</v>
      </c>
      <c r="J58">
        <f t="shared" si="4"/>
        <v>19157819.092248116</v>
      </c>
      <c r="L58">
        <v>3.3944629132747699E-2</v>
      </c>
      <c r="M58">
        <v>77.424899999999994</v>
      </c>
      <c r="N58">
        <f t="shared" si="5"/>
        <v>76.964200000000005</v>
      </c>
      <c r="O58">
        <v>16630709.365546001</v>
      </c>
      <c r="Q58">
        <f t="shared" si="28"/>
        <v>2017</v>
      </c>
      <c r="R58">
        <f t="shared" si="29"/>
        <v>6</v>
      </c>
      <c r="S58" s="9">
        <f t="shared" si="30"/>
        <v>42887</v>
      </c>
      <c r="T58" s="13">
        <v>207530.0582</v>
      </c>
      <c r="U58" s="14">
        <v>207693.47827039324</v>
      </c>
      <c r="V58" s="32">
        <f t="shared" si="6"/>
        <v>-7.8683294128523151E-4</v>
      </c>
      <c r="W58" s="41">
        <f t="shared" si="7"/>
        <v>171.61899343504572</v>
      </c>
      <c r="X58" s="15">
        <f t="shared" si="31"/>
        <v>171.48395795766081</v>
      </c>
      <c r="Y58" s="17">
        <v>23449278.110308189</v>
      </c>
      <c r="Z58">
        <v>9.4039458068373776</v>
      </c>
      <c r="AA58" s="4">
        <f t="shared" si="8"/>
        <v>21244120.704720229</v>
      </c>
      <c r="AB58" s="4">
        <v>21405945.226259399</v>
      </c>
      <c r="AC58" s="4">
        <v>48</v>
      </c>
      <c r="AD58" s="14">
        <f t="shared" si="9"/>
        <v>46295187839.726318</v>
      </c>
      <c r="AE58" s="14">
        <f t="shared" si="10"/>
        <v>46647835837.064484</v>
      </c>
      <c r="AF58" s="14">
        <f t="shared" si="32"/>
        <v>128.63740626441421</v>
      </c>
      <c r="AG58" s="14">
        <f t="shared" si="11"/>
        <v>129.61728615730868</v>
      </c>
      <c r="AH58" s="14">
        <f t="shared" si="12"/>
        <v>2.5630000000000002</v>
      </c>
      <c r="AI58" s="14">
        <f t="shared" si="33"/>
        <v>113.93136557610242</v>
      </c>
      <c r="AJ58" s="14">
        <f t="shared" si="34"/>
        <v>146.55835359872583</v>
      </c>
      <c r="AK58" s="15">
        <f t="shared" si="35"/>
        <v>147.67474414170616</v>
      </c>
      <c r="AL58" s="22">
        <v>75.298592608594177</v>
      </c>
      <c r="AM58">
        <v>76.381633333333326</v>
      </c>
      <c r="AN58" s="14">
        <v>46045.491150984897</v>
      </c>
      <c r="AO58" s="3">
        <f t="shared" si="39"/>
        <v>0.22187384107322963</v>
      </c>
      <c r="AP58" s="32">
        <f t="shared" si="13"/>
        <v>9.2899629368474734E-3</v>
      </c>
      <c r="AQ58" s="14">
        <f t="shared" si="36"/>
        <v>16.594756772627157</v>
      </c>
      <c r="AR58" s="4">
        <f t="shared" si="40"/>
        <v>3443910.8388381582</v>
      </c>
      <c r="AS58" s="4">
        <f t="shared" si="41"/>
        <v>2593216.392339963</v>
      </c>
      <c r="AT58" s="4">
        <f t="shared" si="14"/>
        <v>2630515.3492482859</v>
      </c>
      <c r="AU58" s="4">
        <f t="shared" si="42"/>
        <v>110.89104607160935</v>
      </c>
      <c r="AV58" s="24">
        <f t="shared" si="15"/>
        <v>112.48602301266271</v>
      </c>
      <c r="AW58" s="22">
        <v>75265</v>
      </c>
      <c r="AX58">
        <v>24070</v>
      </c>
      <c r="AY58">
        <v>77345</v>
      </c>
      <c r="AZ58">
        <v>44089</v>
      </c>
      <c r="BA58">
        <f t="shared" si="16"/>
        <v>0.49318524343096781</v>
      </c>
      <c r="BB58">
        <f t="shared" si="17"/>
        <v>0.3503435717877057</v>
      </c>
      <c r="BC58">
        <f t="shared" si="18"/>
        <v>0.6496564282122943</v>
      </c>
      <c r="BD58" s="21">
        <f t="shared" si="19"/>
        <v>0.3335458443561336</v>
      </c>
      <c r="BE58" s="4">
        <f t="shared" si="20"/>
        <v>1.2715836847303066</v>
      </c>
      <c r="BF58" s="31">
        <f t="shared" si="37"/>
        <v>-1.3814130321721185E-2</v>
      </c>
      <c r="BG58" s="4">
        <f t="shared" si="21"/>
        <v>169.80810707973279</v>
      </c>
      <c r="BH58" s="19">
        <f t="shared" si="22"/>
        <v>9.8690863866772727E-3</v>
      </c>
      <c r="BJ58" s="1">
        <v>42887</v>
      </c>
      <c r="BK58" s="42">
        <v>171.48395795766081</v>
      </c>
      <c r="BL58" s="42">
        <v>171.61899343504572</v>
      </c>
      <c r="BM58" s="42">
        <v>169.80810707973279</v>
      </c>
      <c r="BN58" s="43">
        <f t="shared" si="23"/>
        <v>-7.8683294128534254E-4</v>
      </c>
      <c r="BO58" s="43">
        <f t="shared" si="24"/>
        <v>9.8690863866772727E-3</v>
      </c>
    </row>
    <row r="59" spans="2:67" x14ac:dyDescent="0.3">
      <c r="B59">
        <f t="shared" si="25"/>
        <v>2008</v>
      </c>
      <c r="C59">
        <f t="shared" si="26"/>
        <v>7</v>
      </c>
      <c r="D59" s="1">
        <f t="shared" si="27"/>
        <v>39630</v>
      </c>
      <c r="E59">
        <f>_xlfn.XLOOKUP(D59,[1]nairu_estimates_v6!$A$2:$A$265,[1]nairu_estimates_v6!$P$2:$P$265)</f>
        <v>11.718959225307801</v>
      </c>
      <c r="F59">
        <f>_xlfn.XLOOKUP(D59,[1]nairu_estimates_v6!$A$2:$A$265,[1]nairu_estimates_v6!$V$2:$V$265)</f>
        <v>79.775067132781004</v>
      </c>
      <c r="G59">
        <v>19241741.032904401</v>
      </c>
      <c r="H59">
        <f t="shared" si="0"/>
        <v>0</v>
      </c>
      <c r="I59">
        <f t="shared" si="1"/>
        <v>0</v>
      </c>
      <c r="J59">
        <f t="shared" si="4"/>
        <v>0</v>
      </c>
      <c r="L59">
        <v>3.3944629132747699E-2</v>
      </c>
      <c r="M59">
        <v>79.508300000000006</v>
      </c>
      <c r="N59">
        <f t="shared" si="5"/>
        <v>0</v>
      </c>
      <c r="O59">
        <v>16996748.836353198</v>
      </c>
      <c r="Q59">
        <f t="shared" si="28"/>
        <v>2017</v>
      </c>
      <c r="R59">
        <f t="shared" si="29"/>
        <v>9</v>
      </c>
      <c r="S59" s="9">
        <f t="shared" si="30"/>
        <v>42979</v>
      </c>
      <c r="T59" s="13">
        <v>208795.54560000001</v>
      </c>
      <c r="U59" s="14">
        <v>208658.81648568503</v>
      </c>
      <c r="V59" s="32">
        <f t="shared" si="6"/>
        <v>6.5527599848325124E-4</v>
      </c>
      <c r="W59" s="41">
        <f t="shared" si="7"/>
        <v>172.41666110478872</v>
      </c>
      <c r="X59" s="15">
        <f t="shared" si="31"/>
        <v>172.52964160454925</v>
      </c>
      <c r="Y59" s="17">
        <v>23417824.218589623</v>
      </c>
      <c r="Z59">
        <v>9.4300227572203728</v>
      </c>
      <c r="AA59" s="4">
        <f t="shared" si="8"/>
        <v>21209518.065530758</v>
      </c>
      <c r="AB59" s="4">
        <v>21057834.380723901</v>
      </c>
      <c r="AC59" s="4">
        <v>48</v>
      </c>
      <c r="AD59" s="14">
        <f t="shared" si="9"/>
        <v>46219781768.404625</v>
      </c>
      <c r="AE59" s="14">
        <f t="shared" si="10"/>
        <v>45889232682.473526</v>
      </c>
      <c r="AF59" s="14">
        <f t="shared" si="32"/>
        <v>128.42788035288763</v>
      </c>
      <c r="AG59" s="14">
        <f t="shared" si="11"/>
        <v>127.50940525771237</v>
      </c>
      <c r="AH59" s="14">
        <f t="shared" si="12"/>
        <v>2.5630000000000002</v>
      </c>
      <c r="AI59" s="14">
        <f t="shared" si="33"/>
        <v>113.93136557610242</v>
      </c>
      <c r="AJ59" s="14">
        <f t="shared" si="34"/>
        <v>146.31963786648782</v>
      </c>
      <c r="AK59" s="15">
        <f t="shared" si="35"/>
        <v>145.27320664807826</v>
      </c>
      <c r="AL59" s="22">
        <v>75.483723599475468</v>
      </c>
      <c r="AM59">
        <v>77.791333333333341</v>
      </c>
      <c r="AN59" s="14">
        <v>47034.419690398303</v>
      </c>
      <c r="AO59" s="3">
        <f t="shared" si="39"/>
        <v>0.22526543636378371</v>
      </c>
      <c r="AP59" s="32">
        <f t="shared" si="13"/>
        <v>9.2899629368474734E-3</v>
      </c>
      <c r="AQ59" s="14">
        <f t="shared" si="36"/>
        <v>16.561476520016953</v>
      </c>
      <c r="AR59" s="4">
        <f t="shared" si="40"/>
        <v>3457962.5259385295</v>
      </c>
      <c r="AS59" s="4">
        <f t="shared" si="41"/>
        <v>2610198.8752528797</v>
      </c>
      <c r="AT59" s="4">
        <f t="shared" si="14"/>
        <v>2689995.1550945952</v>
      </c>
      <c r="AU59" s="4">
        <f t="shared" si="42"/>
        <v>111.6172505259192</v>
      </c>
      <c r="AV59" s="24">
        <f t="shared" si="15"/>
        <v>115.02949678905736</v>
      </c>
      <c r="AW59" s="22">
        <v>78469</v>
      </c>
      <c r="AX59">
        <v>29089</v>
      </c>
      <c r="AY59">
        <v>80551</v>
      </c>
      <c r="AZ59">
        <v>47706</v>
      </c>
      <c r="BA59">
        <f t="shared" si="16"/>
        <v>0.49345365362847443</v>
      </c>
      <c r="BB59">
        <f t="shared" si="17"/>
        <v>0.34158556495557957</v>
      </c>
      <c r="BC59">
        <f t="shared" si="18"/>
        <v>0.65841443504442043</v>
      </c>
      <c r="BD59" s="21">
        <f t="shared" si="19"/>
        <v>0.3335458443561336</v>
      </c>
      <c r="BE59" s="4">
        <f t="shared" si="20"/>
        <v>1.2837836545061876</v>
      </c>
      <c r="BF59" s="31">
        <f t="shared" si="37"/>
        <v>9.5943113476393282E-3</v>
      </c>
      <c r="BG59" s="4">
        <f t="shared" si="21"/>
        <v>171.62440389485153</v>
      </c>
      <c r="BH59" s="19">
        <f t="shared" si="22"/>
        <v>5.2745279176751314E-3</v>
      </c>
      <c r="BJ59" s="1">
        <v>42979</v>
      </c>
      <c r="BK59" s="42">
        <v>172.52964160454925</v>
      </c>
      <c r="BL59" s="42">
        <v>172.41666110478872</v>
      </c>
      <c r="BM59" s="42">
        <v>171.62440389485153</v>
      </c>
      <c r="BN59" s="43">
        <f t="shared" si="23"/>
        <v>6.552759984830292E-4</v>
      </c>
      <c r="BO59" s="43">
        <f t="shared" si="24"/>
        <v>5.2745279176751314E-3</v>
      </c>
    </row>
    <row r="60" spans="2:67" x14ac:dyDescent="0.3">
      <c r="B60">
        <f t="shared" si="25"/>
        <v>2008</v>
      </c>
      <c r="C60">
        <f t="shared" si="26"/>
        <v>8</v>
      </c>
      <c r="D60" s="1">
        <f t="shared" si="27"/>
        <v>39661</v>
      </c>
      <c r="E60">
        <f>_xlfn.XLOOKUP(D60,[1]nairu_estimates_v6!$A$2:$A$265,[1]nairu_estimates_v6!$P$2:$P$265)</f>
        <v>11.6998683583843</v>
      </c>
      <c r="F60">
        <f>_xlfn.XLOOKUP(D60,[1]nairu_estimates_v6!$A$2:$A$265,[1]nairu_estimates_v6!$V$2:$V$265)</f>
        <v>79.512618801179201</v>
      </c>
      <c r="G60">
        <v>19252957.281335</v>
      </c>
      <c r="H60">
        <f t="shared" si="0"/>
        <v>0</v>
      </c>
      <c r="I60">
        <f t="shared" si="1"/>
        <v>0</v>
      </c>
      <c r="J60">
        <f t="shared" si="4"/>
        <v>0</v>
      </c>
      <c r="L60">
        <v>3.3944629132747699E-2</v>
      </c>
      <c r="M60">
        <v>77.921199999999999</v>
      </c>
      <c r="N60">
        <f t="shared" si="5"/>
        <v>0</v>
      </c>
      <c r="O60">
        <v>17016992.948534001</v>
      </c>
      <c r="Q60">
        <f t="shared" si="28"/>
        <v>2017</v>
      </c>
      <c r="R60">
        <f t="shared" si="29"/>
        <v>12</v>
      </c>
      <c r="S60" s="9">
        <f t="shared" si="30"/>
        <v>43070</v>
      </c>
      <c r="T60" s="13">
        <v>209763.7187</v>
      </c>
      <c r="U60" s="14">
        <v>209607.0637754582</v>
      </c>
      <c r="V60" s="32">
        <f t="shared" si="6"/>
        <v>7.4737426172633015E-4</v>
      </c>
      <c r="W60" s="41">
        <f t="shared" si="7"/>
        <v>173.2002063887023</v>
      </c>
      <c r="X60" s="15">
        <f t="shared" si="31"/>
        <v>173.3296517650829</v>
      </c>
      <c r="Y60" s="17">
        <v>23404682.509367842</v>
      </c>
      <c r="Z60">
        <v>9.4671728401270894</v>
      </c>
      <c r="AA60" s="4">
        <f t="shared" si="8"/>
        <v>21188920.763522994</v>
      </c>
      <c r="AB60" s="4">
        <v>21165247.036108099</v>
      </c>
      <c r="AC60" s="4">
        <v>48</v>
      </c>
      <c r="AD60" s="14">
        <f t="shared" si="9"/>
        <v>46174896127.869301</v>
      </c>
      <c r="AE60" s="14">
        <f t="shared" si="10"/>
        <v>46123306341.086769</v>
      </c>
      <c r="AF60" s="14">
        <f t="shared" si="32"/>
        <v>128.30315956339714</v>
      </c>
      <c r="AG60" s="14">
        <f t="shared" si="11"/>
        <v>128.15981040182956</v>
      </c>
      <c r="AH60" s="14">
        <f t="shared" si="12"/>
        <v>2.5630000000000002</v>
      </c>
      <c r="AI60" s="14">
        <f t="shared" si="33"/>
        <v>113.93136557610242</v>
      </c>
      <c r="AJ60" s="14">
        <f t="shared" si="34"/>
        <v>146.17754176786403</v>
      </c>
      <c r="AK60" s="15">
        <f t="shared" si="35"/>
        <v>146.01422211054819</v>
      </c>
      <c r="AL60" s="22">
        <v>76.186769542753169</v>
      </c>
      <c r="AM60">
        <v>76.675033333333332</v>
      </c>
      <c r="AN60" s="14">
        <v>47008.109315635702</v>
      </c>
      <c r="AO60" s="3">
        <f t="shared" si="39"/>
        <v>0.22410028582142838</v>
      </c>
      <c r="AP60" s="32">
        <f t="shared" si="13"/>
        <v>9.2899629368474734E-3</v>
      </c>
      <c r="AQ60" s="14">
        <f t="shared" si="36"/>
        <v>16.556116679513995</v>
      </c>
      <c r="AR60" s="4">
        <f t="shared" si="40"/>
        <v>3472872.6019259514</v>
      </c>
      <c r="AS60" s="4">
        <f t="shared" si="41"/>
        <v>2645869.4457427403</v>
      </c>
      <c r="AT60" s="4">
        <f t="shared" si="14"/>
        <v>2662826.2251509237</v>
      </c>
      <c r="AU60" s="4">
        <f t="shared" si="42"/>
        <v>113.14259445297283</v>
      </c>
      <c r="AV60" s="24">
        <f t="shared" si="15"/>
        <v>113.86769977473978</v>
      </c>
      <c r="AW60" s="22">
        <v>85534</v>
      </c>
      <c r="AX60">
        <v>22974</v>
      </c>
      <c r="AY60">
        <v>85747</v>
      </c>
      <c r="AZ60">
        <v>48505</v>
      </c>
      <c r="BA60">
        <f t="shared" si="16"/>
        <v>0.49937821474652766</v>
      </c>
      <c r="BB60">
        <f t="shared" si="17"/>
        <v>0.3532171692206294</v>
      </c>
      <c r="BC60">
        <f t="shared" si="18"/>
        <v>0.6467828307793706</v>
      </c>
      <c r="BD60" s="21">
        <f t="shared" si="19"/>
        <v>0.3335458443561336</v>
      </c>
      <c r="BE60" s="4">
        <f t="shared" si="20"/>
        <v>1.2897301702183182</v>
      </c>
      <c r="BF60" s="31">
        <f t="shared" si="37"/>
        <v>4.6320232316854337E-3</v>
      </c>
      <c r="BG60" s="4">
        <f t="shared" si="21"/>
        <v>173.08962232755209</v>
      </c>
      <c r="BH60" s="19">
        <f t="shared" si="22"/>
        <v>1.3867350006493417E-3</v>
      </c>
      <c r="BJ60" s="1">
        <v>43070</v>
      </c>
      <c r="BK60" s="42">
        <v>173.3296517650829</v>
      </c>
      <c r="BL60" s="42">
        <v>173.2002063887023</v>
      </c>
      <c r="BM60" s="42">
        <v>173.08962232755209</v>
      </c>
      <c r="BN60" s="43">
        <f t="shared" si="23"/>
        <v>7.4737426172633015E-4</v>
      </c>
      <c r="BO60" s="43">
        <f t="shared" si="24"/>
        <v>1.3867350006493417E-3</v>
      </c>
    </row>
    <row r="61" spans="2:67" x14ac:dyDescent="0.3">
      <c r="B61">
        <f t="shared" si="25"/>
        <v>2008</v>
      </c>
      <c r="C61">
        <f t="shared" si="26"/>
        <v>9</v>
      </c>
      <c r="D61" s="1">
        <f t="shared" si="27"/>
        <v>39692</v>
      </c>
      <c r="E61">
        <f>_xlfn.XLOOKUP(D61,[1]nairu_estimates_v6!$A$2:$A$265,[1]nairu_estimates_v6!$P$2:$P$265)</f>
        <v>11.675677225545501</v>
      </c>
      <c r="F61">
        <f>_xlfn.XLOOKUP(D61,[1]nairu_estimates_v6!$A$2:$A$265,[1]nairu_estimates_v6!$V$2:$V$265)</f>
        <v>79.244491726767706</v>
      </c>
      <c r="G61">
        <v>19287871.230411891</v>
      </c>
      <c r="H61">
        <f t="shared" si="0"/>
        <v>11.698168269745866</v>
      </c>
      <c r="I61">
        <f t="shared" si="1"/>
        <v>79.510725886909299</v>
      </c>
      <c r="J61">
        <f t="shared" si="4"/>
        <v>19260856.51488376</v>
      </c>
      <c r="L61">
        <v>3.3944629132747699E-2</v>
      </c>
      <c r="M61">
        <v>76.157700000000006</v>
      </c>
      <c r="N61">
        <f t="shared" si="5"/>
        <v>77.862400000000008</v>
      </c>
      <c r="O61">
        <v>17098839.844064001</v>
      </c>
      <c r="Q61">
        <f t="shared" si="28"/>
        <v>2018</v>
      </c>
      <c r="R61">
        <f t="shared" si="29"/>
        <v>3</v>
      </c>
      <c r="S61" s="9">
        <f t="shared" si="30"/>
        <v>43160</v>
      </c>
      <c r="T61" s="13">
        <v>210237.9595</v>
      </c>
      <c r="U61" s="14">
        <v>210545.81522496397</v>
      </c>
      <c r="V61" s="32">
        <f t="shared" si="6"/>
        <v>-1.4621792631452912E-3</v>
      </c>
      <c r="W61" s="41">
        <f t="shared" si="7"/>
        <v>173.97590517419872</v>
      </c>
      <c r="X61" s="15">
        <f t="shared" si="31"/>
        <v>173.72152121336609</v>
      </c>
      <c r="Y61" s="17">
        <v>23384561.712526709</v>
      </c>
      <c r="Z61">
        <v>9.5073106123765019</v>
      </c>
      <c r="AA61" s="4">
        <f t="shared" si="8"/>
        <v>21161318.795173924</v>
      </c>
      <c r="AB61" s="4">
        <v>21185238.3635027</v>
      </c>
      <c r="AC61" s="4">
        <v>48</v>
      </c>
      <c r="AD61" s="14">
        <f t="shared" si="9"/>
        <v>46114745918.443008</v>
      </c>
      <c r="AE61" s="14">
        <f t="shared" si="10"/>
        <v>46166871441.745087</v>
      </c>
      <c r="AF61" s="14">
        <f t="shared" si="32"/>
        <v>128.13602411610947</v>
      </c>
      <c r="AG61" s="14">
        <f t="shared" si="11"/>
        <v>128.2808618936549</v>
      </c>
      <c r="AH61" s="14">
        <f t="shared" si="12"/>
        <v>2.5808</v>
      </c>
      <c r="AI61" s="14">
        <f t="shared" si="33"/>
        <v>114.72261735419629</v>
      </c>
      <c r="AJ61" s="14">
        <f t="shared" si="34"/>
        <v>147.00100063960494</v>
      </c>
      <c r="AK61" s="15">
        <f t="shared" si="35"/>
        <v>147.1671623289227</v>
      </c>
      <c r="AL61" s="22">
        <v>76.543688798396019</v>
      </c>
      <c r="AM61">
        <v>79.818700000000007</v>
      </c>
      <c r="AN61" s="14">
        <v>45083.160414768397</v>
      </c>
      <c r="AO61" s="3">
        <f t="shared" si="39"/>
        <v>0.21443872705950801</v>
      </c>
      <c r="AP61" s="32">
        <f t="shared" si="13"/>
        <v>9.2817278299668349E-3</v>
      </c>
      <c r="AQ61" s="14">
        <f t="shared" si="36"/>
        <v>16.58890650280166</v>
      </c>
      <c r="AR61" s="4">
        <f t="shared" si="40"/>
        <v>3487617.8534853021</v>
      </c>
      <c r="AS61" s="4">
        <f t="shared" si="41"/>
        <v>2669551.3562490889</v>
      </c>
      <c r="AT61" s="4">
        <f t="shared" si="14"/>
        <v>2783771.2316198731</v>
      </c>
      <c r="AU61" s="4">
        <f t="shared" si="42"/>
        <v>114.15527964067272</v>
      </c>
      <c r="AV61" s="24">
        <f t="shared" si="15"/>
        <v>119.0395467228371</v>
      </c>
      <c r="AW61" s="22">
        <v>78101</v>
      </c>
      <c r="AX61">
        <v>37942</v>
      </c>
      <c r="AY61">
        <v>75527</v>
      </c>
      <c r="AZ61">
        <v>44409</v>
      </c>
      <c r="BA61">
        <f t="shared" si="16"/>
        <v>0.50837737912359726</v>
      </c>
      <c r="BB61">
        <f t="shared" si="17"/>
        <v>0.32005814076676314</v>
      </c>
      <c r="BC61">
        <f t="shared" si="18"/>
        <v>0.67994185923323691</v>
      </c>
      <c r="BD61" s="21">
        <f t="shared" si="19"/>
        <v>0.3335458443561336</v>
      </c>
      <c r="BE61" s="4">
        <f t="shared" si="20"/>
        <v>1.2669773023676003</v>
      </c>
      <c r="BF61" s="31">
        <f t="shared" si="37"/>
        <v>-1.7641572149053708E-2</v>
      </c>
      <c r="BG61" s="4">
        <f t="shared" si="21"/>
        <v>171.18184013175471</v>
      </c>
      <c r="BH61" s="19">
        <f t="shared" si="22"/>
        <v>1.4836159487809253E-2</v>
      </c>
      <c r="BJ61" s="1">
        <v>43160</v>
      </c>
      <c r="BK61" s="42">
        <v>173.72152121336609</v>
      </c>
      <c r="BL61" s="42">
        <v>173.97590517419872</v>
      </c>
      <c r="BM61" s="42">
        <v>171.18184013175471</v>
      </c>
      <c r="BN61" s="43">
        <f t="shared" si="23"/>
        <v>-1.4621792631451802E-3</v>
      </c>
      <c r="BO61" s="43">
        <f t="shared" si="24"/>
        <v>1.4836159487809253E-2</v>
      </c>
    </row>
    <row r="62" spans="2:67" x14ac:dyDescent="0.3">
      <c r="B62">
        <f t="shared" si="25"/>
        <v>2008</v>
      </c>
      <c r="C62">
        <f t="shared" si="26"/>
        <v>10</v>
      </c>
      <c r="D62" s="1">
        <f t="shared" si="27"/>
        <v>39722</v>
      </c>
      <c r="E62">
        <f>_xlfn.XLOOKUP(D62,[1]nairu_estimates_v6!$A$2:$A$265,[1]nairu_estimates_v6!$P$2:$P$265)</f>
        <v>11.6471936571968</v>
      </c>
      <c r="F62">
        <f>_xlfn.XLOOKUP(D62,[1]nairu_estimates_v6!$A$2:$A$265,[1]nairu_estimates_v6!$V$2:$V$265)</f>
        <v>79.273651802858396</v>
      </c>
      <c r="G62">
        <v>18922399.473002981</v>
      </c>
      <c r="H62">
        <f t="shared" si="0"/>
        <v>0</v>
      </c>
      <c r="I62">
        <f t="shared" si="1"/>
        <v>0</v>
      </c>
      <c r="J62">
        <f t="shared" si="4"/>
        <v>0</v>
      </c>
      <c r="L62">
        <v>3.3944629132747699E-2</v>
      </c>
      <c r="M62">
        <v>74.638400000000004</v>
      </c>
      <c r="N62">
        <f t="shared" si="5"/>
        <v>0</v>
      </c>
      <c r="O62">
        <v>16757649.741136199</v>
      </c>
      <c r="Q62">
        <f t="shared" si="28"/>
        <v>2018</v>
      </c>
      <c r="R62">
        <f t="shared" si="29"/>
        <v>6</v>
      </c>
      <c r="S62" s="9">
        <f t="shared" si="30"/>
        <v>43252</v>
      </c>
      <c r="T62" s="13">
        <v>213136.67490000001</v>
      </c>
      <c r="U62" s="14">
        <v>211482.7638287814</v>
      </c>
      <c r="V62" s="32">
        <f t="shared" si="6"/>
        <v>7.8205478369746118E-3</v>
      </c>
      <c r="W62" s="41">
        <f t="shared" si="7"/>
        <v>174.75011425205037</v>
      </c>
      <c r="X62" s="15">
        <f t="shared" si="31"/>
        <v>176.11675588007532</v>
      </c>
      <c r="Y62" s="17">
        <v>23632425.502017811</v>
      </c>
      <c r="Z62">
        <v>9.542140869887751</v>
      </c>
      <c r="AA62" s="4">
        <f t="shared" si="8"/>
        <v>21377386.169643994</v>
      </c>
      <c r="AB62" s="4">
        <v>21386052.6010454</v>
      </c>
      <c r="AC62" s="4">
        <v>48</v>
      </c>
      <c r="AD62" s="14">
        <f t="shared" si="9"/>
        <v>46585599940.888191</v>
      </c>
      <c r="AE62" s="14">
        <f t="shared" si="10"/>
        <v>46604485828.198135</v>
      </c>
      <c r="AF62" s="14">
        <f t="shared" si="32"/>
        <v>129.44435534885457</v>
      </c>
      <c r="AG62" s="14">
        <f t="shared" si="11"/>
        <v>129.49683232695784</v>
      </c>
      <c r="AH62" s="14">
        <f t="shared" si="12"/>
        <v>2.5808</v>
      </c>
      <c r="AI62" s="14">
        <f t="shared" si="33"/>
        <v>114.72261735419629</v>
      </c>
      <c r="AJ62" s="14">
        <f t="shared" si="34"/>
        <v>148.50195247347253</v>
      </c>
      <c r="AK62" s="15">
        <f t="shared" si="35"/>
        <v>148.56215543626101</v>
      </c>
      <c r="AL62" s="22">
        <v>77.258392445589038</v>
      </c>
      <c r="AM62">
        <v>80.809700000000007</v>
      </c>
      <c r="AN62" s="14">
        <v>47402.227962132798</v>
      </c>
      <c r="AO62" s="3">
        <f t="shared" si="39"/>
        <v>0.22240296272039101</v>
      </c>
      <c r="AP62" s="32">
        <f t="shared" si="13"/>
        <v>9.2817278299668349E-3</v>
      </c>
      <c r="AQ62" s="14">
        <f t="shared" si="36"/>
        <v>16.422935639074694</v>
      </c>
      <c r="AR62" s="4">
        <f t="shared" si="40"/>
        <v>3500329.8942090869</v>
      </c>
      <c r="AS62" s="4">
        <f t="shared" si="41"/>
        <v>2704298.6065583276</v>
      </c>
      <c r="AT62" s="4">
        <f t="shared" si="14"/>
        <v>2828606.0865206807</v>
      </c>
      <c r="AU62" s="4">
        <f t="shared" si="42"/>
        <v>115.64114057626038</v>
      </c>
      <c r="AV62" s="24">
        <f t="shared" si="15"/>
        <v>120.95677352084184</v>
      </c>
      <c r="AW62" s="22">
        <v>81696</v>
      </c>
      <c r="AX62">
        <v>24466</v>
      </c>
      <c r="AY62">
        <v>84630</v>
      </c>
      <c r="AZ62">
        <v>46718</v>
      </c>
      <c r="BA62">
        <f t="shared" si="16"/>
        <v>0.49117997186248691</v>
      </c>
      <c r="BB62">
        <f t="shared" si="17"/>
        <v>0.35632183908045978</v>
      </c>
      <c r="BC62">
        <f t="shared" si="18"/>
        <v>0.64367816091954022</v>
      </c>
      <c r="BD62" s="21">
        <f t="shared" si="19"/>
        <v>0.3335458443561336</v>
      </c>
      <c r="BE62" s="4">
        <f t="shared" si="20"/>
        <v>1.2696113332175858</v>
      </c>
      <c r="BF62" s="31">
        <f t="shared" si="37"/>
        <v>2.0789881910774355E-3</v>
      </c>
      <c r="BG62" s="4">
        <f t="shared" si="21"/>
        <v>173.44958786014561</v>
      </c>
      <c r="BH62" s="19">
        <f t="shared" si="22"/>
        <v>1.5377194335453037E-2</v>
      </c>
      <c r="BJ62" s="1">
        <v>43252</v>
      </c>
      <c r="BK62" s="42">
        <v>176.11675588007532</v>
      </c>
      <c r="BL62" s="42">
        <v>174.75011425205037</v>
      </c>
      <c r="BM62" s="42">
        <v>173.44958786014561</v>
      </c>
      <c r="BN62" s="43">
        <f t="shared" si="23"/>
        <v>7.8205478369746118E-3</v>
      </c>
      <c r="BO62" s="43">
        <f t="shared" si="24"/>
        <v>1.5377194335453037E-2</v>
      </c>
    </row>
    <row r="63" spans="2:67" x14ac:dyDescent="0.3">
      <c r="B63">
        <f t="shared" si="25"/>
        <v>2008</v>
      </c>
      <c r="C63">
        <f t="shared" si="26"/>
        <v>11</v>
      </c>
      <c r="D63" s="1">
        <f t="shared" si="27"/>
        <v>39753</v>
      </c>
      <c r="E63">
        <f>_xlfn.XLOOKUP(D63,[1]nairu_estimates_v6!$A$2:$A$265,[1]nairu_estimates_v6!$P$2:$P$265)</f>
        <v>11.613032086497499</v>
      </c>
      <c r="F63">
        <f>_xlfn.XLOOKUP(D63,[1]nairu_estimates_v6!$A$2:$A$265,[1]nairu_estimates_v6!$V$2:$V$265)</f>
        <v>79.1039354240053</v>
      </c>
      <c r="G63">
        <v>18778314.189450242</v>
      </c>
      <c r="H63">
        <f t="shared" si="0"/>
        <v>0</v>
      </c>
      <c r="I63">
        <f t="shared" si="1"/>
        <v>0</v>
      </c>
      <c r="J63">
        <f t="shared" si="4"/>
        <v>0</v>
      </c>
      <c r="L63">
        <v>3.3944629132747699E-2</v>
      </c>
      <c r="M63">
        <v>72.754400000000004</v>
      </c>
      <c r="N63">
        <f t="shared" si="5"/>
        <v>0</v>
      </c>
      <c r="O63">
        <v>16508679.141161302</v>
      </c>
      <c r="Q63">
        <f t="shared" si="28"/>
        <v>2018</v>
      </c>
      <c r="R63">
        <f t="shared" si="29"/>
        <v>9</v>
      </c>
      <c r="S63" s="9">
        <f t="shared" si="30"/>
        <v>43344</v>
      </c>
      <c r="T63" s="13">
        <v>214679.7169</v>
      </c>
      <c r="U63" s="14">
        <v>212425.41017166147</v>
      </c>
      <c r="V63" s="32">
        <f t="shared" si="6"/>
        <v>1.0612227259049867E-2</v>
      </c>
      <c r="W63" s="41">
        <f t="shared" si="7"/>
        <v>175.52903142305411</v>
      </c>
      <c r="X63" s="15">
        <f t="shared" si="31"/>
        <v>177.39178539507645</v>
      </c>
      <c r="Y63" s="17">
        <v>23782417.833505031</v>
      </c>
      <c r="Z63">
        <v>9.5753307389211688</v>
      </c>
      <c r="AA63" s="4">
        <f t="shared" si="8"/>
        <v>21505172.668234754</v>
      </c>
      <c r="AB63" s="4">
        <v>21468597.1082404</v>
      </c>
      <c r="AC63" s="4">
        <v>48</v>
      </c>
      <c r="AD63" s="14">
        <f t="shared" si="9"/>
        <v>46864072278.61718</v>
      </c>
      <c r="AE63" s="14">
        <f t="shared" si="10"/>
        <v>46784366818.277481</v>
      </c>
      <c r="AF63" s="14">
        <f t="shared" si="32"/>
        <v>130.21812819466007</v>
      </c>
      <c r="AG63" s="14">
        <f t="shared" si="11"/>
        <v>129.99665585246532</v>
      </c>
      <c r="AH63" s="14">
        <f t="shared" si="12"/>
        <v>2.5808</v>
      </c>
      <c r="AI63" s="14">
        <f t="shared" si="33"/>
        <v>114.72261735419629</v>
      </c>
      <c r="AJ63" s="14">
        <f t="shared" si="34"/>
        <v>149.38964493455666</v>
      </c>
      <c r="AK63" s="15">
        <f t="shared" si="35"/>
        <v>149.13556606687519</v>
      </c>
      <c r="AL63" s="22">
        <v>78.319570557348698</v>
      </c>
      <c r="AM63">
        <v>80.983666666666664</v>
      </c>
      <c r="AN63" s="14">
        <v>47668.670577556899</v>
      </c>
      <c r="AO63" s="3">
        <f t="shared" si="39"/>
        <v>0.22204552561321594</v>
      </c>
      <c r="AP63" s="32">
        <f t="shared" si="13"/>
        <v>9.2817278299668349E-3</v>
      </c>
      <c r="AQ63" s="14">
        <f t="shared" si="36"/>
        <v>16.374360202904079</v>
      </c>
      <c r="AR63" s="4">
        <f t="shared" si="40"/>
        <v>3515243.0127780745</v>
      </c>
      <c r="AS63" s="4">
        <f t="shared" si="41"/>
        <v>2753123.2316549937</v>
      </c>
      <c r="AT63" s="4">
        <f t="shared" si="14"/>
        <v>2846772.6839914862</v>
      </c>
      <c r="AU63" s="4">
        <f t="shared" si="42"/>
        <v>117.72897781460902</v>
      </c>
      <c r="AV63" s="24">
        <f t="shared" si="15"/>
        <v>121.73361304840695</v>
      </c>
      <c r="AW63" s="22">
        <v>84766</v>
      </c>
      <c r="AX63">
        <v>29622</v>
      </c>
      <c r="AY63">
        <v>88527</v>
      </c>
      <c r="AZ63">
        <v>51197</v>
      </c>
      <c r="BA63">
        <f t="shared" si="16"/>
        <v>0.48914843646310008</v>
      </c>
      <c r="BB63">
        <f t="shared" si="17"/>
        <v>0.34837788061956931</v>
      </c>
      <c r="BC63">
        <f t="shared" si="18"/>
        <v>0.65162211938043069</v>
      </c>
      <c r="BD63" s="21">
        <f t="shared" si="19"/>
        <v>0.3335458443561336</v>
      </c>
      <c r="BE63" s="4">
        <f t="shared" si="20"/>
        <v>1.2728031848911654</v>
      </c>
      <c r="BF63" s="31">
        <f t="shared" si="37"/>
        <v>2.5140384226804979E-3</v>
      </c>
      <c r="BG63" s="4">
        <f t="shared" si="21"/>
        <v>175.62273098702383</v>
      </c>
      <c r="BH63" s="19">
        <f t="shared" si="22"/>
        <v>1.0073037801600515E-2</v>
      </c>
      <c r="BJ63" s="1">
        <v>43344</v>
      </c>
      <c r="BK63" s="42">
        <v>177.39178539507645</v>
      </c>
      <c r="BL63" s="42">
        <v>175.52903142305411</v>
      </c>
      <c r="BM63" s="42">
        <v>175.62273098702383</v>
      </c>
      <c r="BN63" s="43">
        <f t="shared" si="23"/>
        <v>1.0612227259049867E-2</v>
      </c>
      <c r="BO63" s="43">
        <f t="shared" si="24"/>
        <v>1.0073037801600515E-2</v>
      </c>
    </row>
    <row r="64" spans="2:67" x14ac:dyDescent="0.3">
      <c r="B64">
        <f t="shared" si="25"/>
        <v>2008</v>
      </c>
      <c r="C64">
        <f t="shared" si="26"/>
        <v>12</v>
      </c>
      <c r="D64" s="1">
        <f t="shared" si="27"/>
        <v>39783</v>
      </c>
      <c r="E64">
        <f>_xlfn.XLOOKUP(D64,[1]nairu_estimates_v6!$A$2:$A$265,[1]nairu_estimates_v6!$P$2:$P$265)</f>
        <v>11.5841340509761</v>
      </c>
      <c r="F64">
        <f>_xlfn.XLOOKUP(D64,[1]nairu_estimates_v6!$A$2:$A$265,[1]nairu_estimates_v6!$V$2:$V$265)</f>
        <v>78.723678774803503</v>
      </c>
      <c r="G64">
        <v>19435719.833528262</v>
      </c>
      <c r="H64">
        <f t="shared" si="0"/>
        <v>11.614786598223466</v>
      </c>
      <c r="I64">
        <f t="shared" si="1"/>
        <v>79.033755333889061</v>
      </c>
      <c r="J64">
        <f t="shared" si="4"/>
        <v>19045477.831993829</v>
      </c>
      <c r="L64">
        <v>3.3944629132747699E-2</v>
      </c>
      <c r="M64">
        <v>73.33</v>
      </c>
      <c r="N64">
        <f t="shared" si="5"/>
        <v>73.574266666666674</v>
      </c>
      <c r="O64">
        <v>17180774.553111203</v>
      </c>
      <c r="Q64">
        <f t="shared" si="28"/>
        <v>2018</v>
      </c>
      <c r="R64">
        <f t="shared" si="29"/>
        <v>12</v>
      </c>
      <c r="S64" s="9">
        <f t="shared" si="30"/>
        <v>43435</v>
      </c>
      <c r="T64" s="13">
        <v>215953.64869999999</v>
      </c>
      <c r="U64" s="14">
        <v>213382.28853277463</v>
      </c>
      <c r="V64" s="32">
        <f t="shared" si="6"/>
        <v>1.2050485468621197E-2</v>
      </c>
      <c r="W64" s="41">
        <f t="shared" si="7"/>
        <v>176.31970863902438</v>
      </c>
      <c r="X64" s="15">
        <f t="shared" si="31"/>
        <v>178.44444672581051</v>
      </c>
      <c r="Y64" s="17">
        <v>23700614.285283756</v>
      </c>
      <c r="Z64">
        <v>9.6111924178159338</v>
      </c>
      <c r="AA64" s="4">
        <f t="shared" si="8"/>
        <v>21422702.642120764</v>
      </c>
      <c r="AB64" s="4">
        <v>21489839.511941001</v>
      </c>
      <c r="AC64" s="4">
        <v>48</v>
      </c>
      <c r="AD64" s="14">
        <f t="shared" si="9"/>
        <v>46684353597.709564</v>
      </c>
      <c r="AE64" s="14">
        <f t="shared" si="10"/>
        <v>46830658264.421829</v>
      </c>
      <c r="AF64" s="14">
        <f t="shared" si="32"/>
        <v>129.71875566701735</v>
      </c>
      <c r="AG64" s="14">
        <f t="shared" si="11"/>
        <v>130.12528286192585</v>
      </c>
      <c r="AH64" s="14">
        <f t="shared" si="12"/>
        <v>2.5808</v>
      </c>
      <c r="AI64" s="14">
        <f t="shared" si="33"/>
        <v>114.72261735419629</v>
      </c>
      <c r="AJ64" s="14">
        <f t="shared" si="34"/>
        <v>148.81675170049712</v>
      </c>
      <c r="AK64" s="15">
        <f t="shared" si="35"/>
        <v>149.28313033875276</v>
      </c>
      <c r="AL64" s="22">
        <v>79.237589455876133</v>
      </c>
      <c r="AM64">
        <v>79.28146666666666</v>
      </c>
      <c r="AN64" s="14">
        <v>47820.941045541898</v>
      </c>
      <c r="AO64" s="3">
        <f t="shared" si="39"/>
        <v>0.2214407644113211</v>
      </c>
      <c r="AP64" s="32">
        <f t="shared" si="13"/>
        <v>9.2817278299668349E-3</v>
      </c>
      <c r="AQ64" s="14">
        <f t="shared" si="36"/>
        <v>16.347416103902265</v>
      </c>
      <c r="AR64" s="4">
        <f t="shared" si="40"/>
        <v>3530284.1544548324</v>
      </c>
      <c r="AS64" s="4">
        <f t="shared" si="41"/>
        <v>2797312.0649327682</v>
      </c>
      <c r="AT64" s="4">
        <f t="shared" si="14"/>
        <v>2798861.0551527231</v>
      </c>
      <c r="AU64" s="4">
        <f t="shared" si="42"/>
        <v>119.61857945422952</v>
      </c>
      <c r="AV64" s="24">
        <f t="shared" si="15"/>
        <v>119.68481733023279</v>
      </c>
      <c r="AW64" s="22">
        <v>91554</v>
      </c>
      <c r="AX64">
        <v>26063</v>
      </c>
      <c r="AY64">
        <v>93054</v>
      </c>
      <c r="AZ64">
        <v>49519</v>
      </c>
      <c r="BA64">
        <f t="shared" si="16"/>
        <v>0.49593733749349972</v>
      </c>
      <c r="BB64">
        <f t="shared" si="17"/>
        <v>0.35763864867981093</v>
      </c>
      <c r="BC64">
        <f t="shared" si="18"/>
        <v>0.64236135132018912</v>
      </c>
      <c r="BD64" s="21">
        <f t="shared" si="19"/>
        <v>0.3335458443561336</v>
      </c>
      <c r="BE64" s="4">
        <f t="shared" si="20"/>
        <v>1.28677690067225</v>
      </c>
      <c r="BF64" s="31">
        <f t="shared" si="37"/>
        <v>1.0978693286566088E-2</v>
      </c>
      <c r="BG64" s="4">
        <f t="shared" si="21"/>
        <v>178.03983897471903</v>
      </c>
      <c r="BH64" s="19">
        <f t="shared" si="22"/>
        <v>2.2725686195936845E-3</v>
      </c>
      <c r="BJ64" s="1">
        <v>43435</v>
      </c>
      <c r="BK64" s="42">
        <v>178.44444672581051</v>
      </c>
      <c r="BL64" s="42">
        <v>176.31970863902438</v>
      </c>
      <c r="BM64" s="42">
        <v>178.03983897471903</v>
      </c>
      <c r="BN64" s="43">
        <f t="shared" si="23"/>
        <v>1.2050485468621419E-2</v>
      </c>
      <c r="BO64" s="43">
        <f t="shared" si="24"/>
        <v>2.2725686195936845E-3</v>
      </c>
    </row>
    <row r="65" spans="2:67" x14ac:dyDescent="0.3">
      <c r="B65">
        <f t="shared" si="25"/>
        <v>2009</v>
      </c>
      <c r="C65">
        <f t="shared" si="26"/>
        <v>1</v>
      </c>
      <c r="D65" s="1">
        <f t="shared" si="27"/>
        <v>39814</v>
      </c>
      <c r="E65">
        <f>_xlfn.XLOOKUP(D65,[1]nairu_estimates_v6!$A$2:$A$265,[1]nairu_estimates_v6!$P$2:$P$265)</f>
        <v>11.547438293907</v>
      </c>
      <c r="F65">
        <f>_xlfn.XLOOKUP(D65,[1]nairu_estimates_v6!$A$2:$A$265,[1]nairu_estimates_v6!$V$2:$V$265)</f>
        <v>78.212211500823003</v>
      </c>
      <c r="G65">
        <v>19543592.148176678</v>
      </c>
      <c r="H65">
        <f t="shared" si="0"/>
        <v>0</v>
      </c>
      <c r="I65">
        <f t="shared" si="1"/>
        <v>0</v>
      </c>
      <c r="J65">
        <f t="shared" si="4"/>
        <v>0</v>
      </c>
      <c r="K65">
        <v>2.3626999999999998</v>
      </c>
      <c r="L65">
        <v>3.4526836127042798E-2</v>
      </c>
      <c r="M65">
        <v>74.888499999999993</v>
      </c>
      <c r="N65">
        <f t="shared" si="5"/>
        <v>0</v>
      </c>
      <c r="O65">
        <v>17196067.784116201</v>
      </c>
      <c r="Q65">
        <f t="shared" si="28"/>
        <v>2019</v>
      </c>
      <c r="R65">
        <f t="shared" si="29"/>
        <v>3</v>
      </c>
      <c r="S65" s="9">
        <f t="shared" si="30"/>
        <v>43525</v>
      </c>
      <c r="T65" s="13">
        <v>217669.29569999999</v>
      </c>
      <c r="U65" s="14">
        <v>214363.34213299665</v>
      </c>
      <c r="V65" s="32">
        <f t="shared" si="6"/>
        <v>1.5422196417110623E-2</v>
      </c>
      <c r="W65" s="41">
        <f t="shared" si="7"/>
        <v>177.13036207300817</v>
      </c>
      <c r="X65" s="15">
        <f t="shared" si="31"/>
        <v>179.862101308332</v>
      </c>
      <c r="Y65" s="17">
        <v>23934490.670802433</v>
      </c>
      <c r="Z65">
        <v>9.6763328131237021</v>
      </c>
      <c r="AA65" s="4">
        <f t="shared" si="8"/>
        <v>21618509.696369547</v>
      </c>
      <c r="AB65" s="4">
        <v>21313065.067919098</v>
      </c>
      <c r="AC65" s="4">
        <v>48</v>
      </c>
      <c r="AD65" s="14">
        <f t="shared" si="9"/>
        <v>47111056330.328522</v>
      </c>
      <c r="AE65" s="14">
        <f t="shared" si="10"/>
        <v>46445431396.0093</v>
      </c>
      <c r="AF65" s="14">
        <f t="shared" si="32"/>
        <v>130.90440660248973</v>
      </c>
      <c r="AG65" s="14">
        <f t="shared" si="11"/>
        <v>129.05487819378826</v>
      </c>
      <c r="AH65" s="14">
        <f t="shared" si="12"/>
        <v>2.5988000000000002</v>
      </c>
      <c r="AI65" s="14">
        <f t="shared" si="33"/>
        <v>115.52275960170697</v>
      </c>
      <c r="AJ65" s="14">
        <f t="shared" si="34"/>
        <v>151.22438294743523</v>
      </c>
      <c r="AK65" s="15">
        <f t="shared" si="35"/>
        <v>149.08775669008574</v>
      </c>
      <c r="AL65" s="22">
        <v>79.490063700384567</v>
      </c>
      <c r="AM65">
        <v>80.628</v>
      </c>
      <c r="AN65" s="14">
        <v>48527.643897412803</v>
      </c>
      <c r="AO65" s="3">
        <f t="shared" si="39"/>
        <v>0.22294207247445422</v>
      </c>
      <c r="AP65" s="32">
        <f t="shared" si="13"/>
        <v>9.3277172026144939E-3</v>
      </c>
      <c r="AQ65" s="14">
        <f t="shared" si="36"/>
        <v>16.287726513814782</v>
      </c>
      <c r="AR65" s="4">
        <f t="shared" si="40"/>
        <v>3545337.9588162797</v>
      </c>
      <c r="AS65" s="4">
        <f t="shared" si="41"/>
        <v>2818191.4018569752</v>
      </c>
      <c r="AT65" s="4">
        <f t="shared" si="14"/>
        <v>2858535.08943439</v>
      </c>
      <c r="AU65" s="4">
        <f t="shared" si="42"/>
        <v>120.51142106962503</v>
      </c>
      <c r="AV65" s="24">
        <f t="shared" si="15"/>
        <v>122.23659669749031</v>
      </c>
      <c r="AW65" s="22">
        <v>84328</v>
      </c>
      <c r="AX65">
        <v>39903</v>
      </c>
      <c r="AY65">
        <v>81604</v>
      </c>
      <c r="AZ65">
        <v>45835</v>
      </c>
      <c r="BA65">
        <f t="shared" si="16"/>
        <v>0.50820818166477832</v>
      </c>
      <c r="BB65">
        <f t="shared" si="17"/>
        <v>0.32425000993364328</v>
      </c>
      <c r="BC65">
        <f t="shared" si="18"/>
        <v>0.67574999006635672</v>
      </c>
      <c r="BD65" s="21">
        <f t="shared" si="19"/>
        <v>0.3335458443561336</v>
      </c>
      <c r="BE65" s="4">
        <f t="shared" si="20"/>
        <v>1.2890296887806709</v>
      </c>
      <c r="BF65" s="31">
        <f t="shared" si="37"/>
        <v>1.7507215953627142E-3</v>
      </c>
      <c r="BG65" s="4">
        <f t="shared" si="21"/>
        <v>180.71710099185731</v>
      </c>
      <c r="BH65" s="19">
        <f t="shared" si="22"/>
        <v>-4.7311498404560837E-3</v>
      </c>
      <c r="BJ65" s="1">
        <v>43525</v>
      </c>
      <c r="BK65" s="42">
        <v>179.862101308332</v>
      </c>
      <c r="BL65" s="42">
        <v>177.13036207300817</v>
      </c>
      <c r="BM65" s="42">
        <v>180.71710099185731</v>
      </c>
      <c r="BN65" s="43">
        <f t="shared" si="23"/>
        <v>1.5422196417110401E-2</v>
      </c>
      <c r="BO65" s="43">
        <f t="shared" si="24"/>
        <v>-4.7311498404560837E-3</v>
      </c>
    </row>
    <row r="66" spans="2:67" x14ac:dyDescent="0.3">
      <c r="B66">
        <f t="shared" si="25"/>
        <v>2009</v>
      </c>
      <c r="C66">
        <f t="shared" si="26"/>
        <v>2</v>
      </c>
      <c r="D66" s="1">
        <f t="shared" si="27"/>
        <v>39845</v>
      </c>
      <c r="E66">
        <f>_xlfn.XLOOKUP(D66,[1]nairu_estimates_v6!$A$2:$A$265,[1]nairu_estimates_v6!$P$2:$P$265)</f>
        <v>11.5227077649424</v>
      </c>
      <c r="F66">
        <f>_xlfn.XLOOKUP(D66,[1]nairu_estimates_v6!$A$2:$A$265,[1]nairu_estimates_v6!$V$2:$V$265)</f>
        <v>77.506073246854697</v>
      </c>
      <c r="G66">
        <v>19721747.223136332</v>
      </c>
      <c r="H66">
        <f t="shared" si="0"/>
        <v>0</v>
      </c>
      <c r="I66">
        <f t="shared" si="1"/>
        <v>0</v>
      </c>
      <c r="J66">
        <f t="shared" si="4"/>
        <v>0</v>
      </c>
      <c r="L66">
        <v>3.4526836127042798E-2</v>
      </c>
      <c r="M66">
        <v>72.894000000000005</v>
      </c>
      <c r="N66">
        <f t="shared" si="5"/>
        <v>0</v>
      </c>
      <c r="O66">
        <v>17438408.855797701</v>
      </c>
      <c r="Q66">
        <f t="shared" si="28"/>
        <v>2019</v>
      </c>
      <c r="R66">
        <f t="shared" si="29"/>
        <v>6</v>
      </c>
      <c r="S66" s="9">
        <f t="shared" si="30"/>
        <v>43617</v>
      </c>
      <c r="T66" s="13">
        <v>219578.73389999999</v>
      </c>
      <c r="U66" s="14">
        <v>215380.12129330772</v>
      </c>
      <c r="V66" s="32">
        <f t="shared" si="6"/>
        <v>1.9493965280920955E-2</v>
      </c>
      <c r="W66" s="41">
        <f t="shared" si="7"/>
        <v>177.97053585935663</v>
      </c>
      <c r="X66" s="15">
        <f t="shared" si="31"/>
        <v>181.43988730642582</v>
      </c>
      <c r="Y66" s="17">
        <v>23766580.489475053</v>
      </c>
      <c r="Z66">
        <v>9.7723680509887263</v>
      </c>
      <c r="AA66" s="4">
        <f t="shared" si="8"/>
        <v>21444022.770909075</v>
      </c>
      <c r="AB66" s="4">
        <v>21614153.663441498</v>
      </c>
      <c r="AC66" s="4">
        <v>48</v>
      </c>
      <c r="AD66" s="14">
        <f t="shared" si="9"/>
        <v>46730814422.365059</v>
      </c>
      <c r="AE66" s="14">
        <f t="shared" si="10"/>
        <v>47101563663.371712</v>
      </c>
      <c r="AF66" s="14">
        <f t="shared" si="32"/>
        <v>129.84785331745309</v>
      </c>
      <c r="AG66" s="14">
        <f t="shared" si="11"/>
        <v>130.878029950556</v>
      </c>
      <c r="AH66" s="14">
        <f t="shared" si="12"/>
        <v>2.5988000000000002</v>
      </c>
      <c r="AI66" s="14">
        <f t="shared" si="33"/>
        <v>115.52275960170697</v>
      </c>
      <c r="AJ66" s="14">
        <f t="shared" si="34"/>
        <v>150.00382343589843</v>
      </c>
      <c r="AK66" s="15">
        <f t="shared" si="35"/>
        <v>151.19391191123086</v>
      </c>
      <c r="AL66" s="22">
        <v>79.720565739115372</v>
      </c>
      <c r="AM66">
        <v>80.72196666666666</v>
      </c>
      <c r="AN66" s="14">
        <v>49291.093572891201</v>
      </c>
      <c r="AO66" s="3">
        <f t="shared" si="39"/>
        <v>0.22448027045888347</v>
      </c>
      <c r="AP66" s="32">
        <f t="shared" si="13"/>
        <v>9.3277172026144939E-3</v>
      </c>
      <c r="AQ66" s="14">
        <f t="shared" si="36"/>
        <v>16.216487041353506</v>
      </c>
      <c r="AR66" s="4">
        <f t="shared" si="40"/>
        <v>3560795.6928461599</v>
      </c>
      <c r="AS66" s="4">
        <f t="shared" si="41"/>
        <v>2838686.4711510115</v>
      </c>
      <c r="AT66" s="4">
        <f t="shared" si="14"/>
        <v>2874344.3122473792</v>
      </c>
      <c r="AU66" s="4">
        <f t="shared" si="42"/>
        <v>121.38783064348053</v>
      </c>
      <c r="AV66" s="24">
        <f t="shared" si="15"/>
        <v>122.91263023656941</v>
      </c>
      <c r="AW66" s="22">
        <v>88889</v>
      </c>
      <c r="AX66">
        <v>28029</v>
      </c>
      <c r="AY66">
        <v>89941</v>
      </c>
      <c r="AZ66">
        <v>48712</v>
      </c>
      <c r="BA66">
        <f t="shared" si="16"/>
        <v>0.49705865906167868</v>
      </c>
      <c r="BB66">
        <f t="shared" si="17"/>
        <v>0.35192177516228368</v>
      </c>
      <c r="BC66">
        <f t="shared" si="18"/>
        <v>0.64807822483771638</v>
      </c>
      <c r="BD66" s="21">
        <f t="shared" si="19"/>
        <v>0.3335458443561336</v>
      </c>
      <c r="BE66" s="4">
        <f t="shared" si="20"/>
        <v>1.2858693369995498</v>
      </c>
      <c r="BF66" s="31">
        <f t="shared" si="37"/>
        <v>-2.451729241481404E-3</v>
      </c>
      <c r="BG66" s="4">
        <f t="shared" si="21"/>
        <v>179.73689738020988</v>
      </c>
      <c r="BH66" s="19">
        <f t="shared" si="22"/>
        <v>9.4749044355288969E-3</v>
      </c>
      <c r="BJ66" s="1">
        <v>43617</v>
      </c>
      <c r="BK66" s="42">
        <v>181.43988730642582</v>
      </c>
      <c r="BL66" s="42">
        <v>177.97053585935663</v>
      </c>
      <c r="BM66" s="42">
        <v>179.73689738020988</v>
      </c>
      <c r="BN66" s="43">
        <f t="shared" si="23"/>
        <v>1.9493965280920955E-2</v>
      </c>
      <c r="BO66" s="43">
        <f t="shared" si="24"/>
        <v>9.4749044355288969E-3</v>
      </c>
    </row>
    <row r="67" spans="2:67" x14ac:dyDescent="0.3">
      <c r="B67">
        <f t="shared" si="25"/>
        <v>2009</v>
      </c>
      <c r="C67">
        <f t="shared" si="26"/>
        <v>3</v>
      </c>
      <c r="D67" s="1">
        <f t="shared" si="27"/>
        <v>39873</v>
      </c>
      <c r="E67">
        <f>_xlfn.XLOOKUP(D67,[1]nairu_estimates_v6!$A$2:$A$265,[1]nairu_estimates_v6!$P$2:$P$265)</f>
        <v>11.500766937772701</v>
      </c>
      <c r="F67">
        <f>_xlfn.XLOOKUP(D67,[1]nairu_estimates_v6!$A$2:$A$265,[1]nairu_estimates_v6!$V$2:$V$265)</f>
        <v>76.965508585312094</v>
      </c>
      <c r="G67">
        <v>20096488.968556471</v>
      </c>
      <c r="H67">
        <f t="shared" si="0"/>
        <v>11.523637665540699</v>
      </c>
      <c r="I67">
        <f t="shared" si="1"/>
        <v>77.561264444329936</v>
      </c>
      <c r="J67">
        <f t="shared" si="4"/>
        <v>19787276.113289826</v>
      </c>
      <c r="L67">
        <v>3.4526836127042798E-2</v>
      </c>
      <c r="M67">
        <v>73.106099999999998</v>
      </c>
      <c r="N67">
        <f t="shared" si="5"/>
        <v>73.629533333333328</v>
      </c>
      <c r="O67">
        <v>17657183.510203</v>
      </c>
      <c r="Q67">
        <f t="shared" si="28"/>
        <v>2019</v>
      </c>
      <c r="R67">
        <f t="shared" si="29"/>
        <v>9</v>
      </c>
      <c r="S67" s="9">
        <f t="shared" si="30"/>
        <v>43709</v>
      </c>
      <c r="T67" s="13">
        <v>221312.41390000001</v>
      </c>
      <c r="U67" s="14">
        <v>216446.24255566741</v>
      </c>
      <c r="V67" s="32">
        <f t="shared" si="6"/>
        <v>2.2482124368969236E-2</v>
      </c>
      <c r="W67" s="41">
        <f t="shared" si="7"/>
        <v>178.85148146944297</v>
      </c>
      <c r="X67" s="15">
        <f t="shared" si="31"/>
        <v>182.87244271941341</v>
      </c>
      <c r="Y67" s="17">
        <v>23880758.361878376</v>
      </c>
      <c r="Z67">
        <v>9.8858874740091878</v>
      </c>
      <c r="AA67" s="4">
        <f t="shared" si="8"/>
        <v>21519933.462283038</v>
      </c>
      <c r="AB67" s="4">
        <v>21247697.9013955</v>
      </c>
      <c r="AC67" s="4">
        <v>48</v>
      </c>
      <c r="AD67" s="14">
        <f t="shared" si="9"/>
        <v>46896239001.007195</v>
      </c>
      <c r="AE67" s="14">
        <f t="shared" si="10"/>
        <v>46302983266.721069</v>
      </c>
      <c r="AF67" s="14">
        <f t="shared" si="32"/>
        <v>130.3075077593484</v>
      </c>
      <c r="AG67" s="14">
        <f t="shared" si="11"/>
        <v>128.65906690682914</v>
      </c>
      <c r="AH67" s="14">
        <f t="shared" si="12"/>
        <v>2.5988000000000002</v>
      </c>
      <c r="AI67" s="14">
        <f t="shared" si="33"/>
        <v>115.52275960170697</v>
      </c>
      <c r="AJ67" s="14">
        <f t="shared" si="34"/>
        <v>150.53482893180771</v>
      </c>
      <c r="AK67" s="15">
        <f t="shared" si="35"/>
        <v>148.63050456857553</v>
      </c>
      <c r="AL67" s="22">
        <v>79.878589468922726</v>
      </c>
      <c r="AM67">
        <v>81.727100000000007</v>
      </c>
      <c r="AN67" s="14">
        <v>48575.846211777702</v>
      </c>
      <c r="AO67" s="3">
        <f t="shared" si="39"/>
        <v>0.21948992989488014</v>
      </c>
      <c r="AP67" s="32">
        <f t="shared" si="13"/>
        <v>9.3277172026144939E-3</v>
      </c>
      <c r="AQ67" s="14">
        <f t="shared" si="36"/>
        <v>16.162096956730604</v>
      </c>
      <c r="AR67" s="4">
        <f t="shared" si="40"/>
        <v>3576872.6911798944</v>
      </c>
      <c r="AS67" s="4">
        <f t="shared" si="41"/>
        <v>2857155.452813596</v>
      </c>
      <c r="AT67" s="4">
        <f t="shared" si="14"/>
        <v>2923274.3211932839</v>
      </c>
      <c r="AU67" s="4">
        <f t="shared" si="42"/>
        <v>122.17760071530756</v>
      </c>
      <c r="AV67" s="24">
        <f t="shared" si="15"/>
        <v>125.00497389610049</v>
      </c>
      <c r="AW67" s="22">
        <v>92600</v>
      </c>
      <c r="AX67">
        <v>33252</v>
      </c>
      <c r="AY67">
        <v>93101</v>
      </c>
      <c r="AZ67">
        <v>53392</v>
      </c>
      <c r="BA67">
        <f t="shared" si="16"/>
        <v>0.49865105734487158</v>
      </c>
      <c r="BB67">
        <f t="shared" si="17"/>
        <v>0.34184949237180784</v>
      </c>
      <c r="BC67">
        <f t="shared" si="18"/>
        <v>0.65815050762819216</v>
      </c>
      <c r="BD67" s="21">
        <f t="shared" si="19"/>
        <v>0.3335458443561336</v>
      </c>
      <c r="BE67" s="4">
        <f t="shared" si="20"/>
        <v>1.3035164315664325</v>
      </c>
      <c r="BF67" s="31">
        <f t="shared" si="37"/>
        <v>1.3723862961115829E-2</v>
      </c>
      <c r="BG67" s="4">
        <f t="shared" si="21"/>
        <v>183.02866272861098</v>
      </c>
      <c r="BH67" s="19">
        <f t="shared" si="22"/>
        <v>-8.5352756704126787E-4</v>
      </c>
      <c r="BJ67" s="1">
        <v>43709</v>
      </c>
      <c r="BK67" s="42">
        <v>182.87244271941341</v>
      </c>
      <c r="BL67" s="42">
        <v>178.85148146944297</v>
      </c>
      <c r="BM67" s="42">
        <v>183.02866272861098</v>
      </c>
      <c r="BN67" s="43">
        <f t="shared" si="23"/>
        <v>2.2482124368969458E-2</v>
      </c>
      <c r="BO67" s="43">
        <f t="shared" si="24"/>
        <v>-8.5352756704126787E-4</v>
      </c>
    </row>
    <row r="68" spans="2:67" x14ac:dyDescent="0.3">
      <c r="B68">
        <f t="shared" si="25"/>
        <v>2009</v>
      </c>
      <c r="C68">
        <f t="shared" si="26"/>
        <v>4</v>
      </c>
      <c r="D68" s="1">
        <f t="shared" si="27"/>
        <v>39904</v>
      </c>
      <c r="E68">
        <f>_xlfn.XLOOKUP(D68,[1]nairu_estimates_v6!$A$2:$A$265,[1]nairu_estimates_v6!$P$2:$P$265)</f>
        <v>11.4808216864363</v>
      </c>
      <c r="F68">
        <f>_xlfn.XLOOKUP(D68,[1]nairu_estimates_v6!$A$2:$A$265,[1]nairu_estimates_v6!$V$2:$V$265)</f>
        <v>76.699868931909705</v>
      </c>
      <c r="G68">
        <v>20301160.046147607</v>
      </c>
      <c r="H68">
        <f t="shared" si="0"/>
        <v>0</v>
      </c>
      <c r="I68">
        <f t="shared" si="1"/>
        <v>0</v>
      </c>
      <c r="J68">
        <f t="shared" si="4"/>
        <v>0</v>
      </c>
      <c r="L68">
        <v>3.4526836127042798E-2</v>
      </c>
      <c r="M68">
        <v>72.742400000000004</v>
      </c>
      <c r="N68">
        <f t="shared" si="5"/>
        <v>0</v>
      </c>
      <c r="O68">
        <v>17876992.814727899</v>
      </c>
      <c r="Q68">
        <f t="shared" si="28"/>
        <v>2019</v>
      </c>
      <c r="R68">
        <f t="shared" si="29"/>
        <v>12</v>
      </c>
      <c r="S68" s="9">
        <f t="shared" si="30"/>
        <v>43800</v>
      </c>
      <c r="T68" s="13">
        <v>222663.55650000001</v>
      </c>
      <c r="U68" s="14">
        <v>217577.94659491454</v>
      </c>
      <c r="V68" s="32">
        <f t="shared" si="6"/>
        <v>2.3373737939322625E-2</v>
      </c>
      <c r="W68" s="41">
        <f t="shared" si="7"/>
        <v>179.78661871929498</v>
      </c>
      <c r="X68" s="15">
        <f t="shared" si="31"/>
        <v>183.98890403023668</v>
      </c>
      <c r="Y68" s="17">
        <v>24065927.811177433</v>
      </c>
      <c r="Z68">
        <v>10.016668919283775</v>
      </c>
      <c r="AA68" s="4">
        <f t="shared" si="8"/>
        <v>21655323.499977954</v>
      </c>
      <c r="AB68" s="4">
        <v>21430117.843667001</v>
      </c>
      <c r="AC68" s="4">
        <v>48</v>
      </c>
      <c r="AD68" s="14">
        <f t="shared" si="9"/>
        <v>47191280971.151955</v>
      </c>
      <c r="AE68" s="14">
        <f t="shared" si="10"/>
        <v>46700512804.919128</v>
      </c>
      <c r="AF68" s="14">
        <f t="shared" si="32"/>
        <v>131.12732155748998</v>
      </c>
      <c r="AG68" s="14">
        <f t="shared" si="11"/>
        <v>129.76365619771451</v>
      </c>
      <c r="AH68" s="14">
        <f t="shared" si="12"/>
        <v>2.5988000000000002</v>
      </c>
      <c r="AI68" s="14">
        <f t="shared" si="33"/>
        <v>115.52275960170697</v>
      </c>
      <c r="AJ68" s="14">
        <f t="shared" si="34"/>
        <v>151.48190045501642</v>
      </c>
      <c r="AK68" s="15">
        <f t="shared" si="35"/>
        <v>149.90655659967126</v>
      </c>
      <c r="AL68" s="22">
        <v>80.527886719452738</v>
      </c>
      <c r="AM68">
        <v>80.302733333333336</v>
      </c>
      <c r="AN68" s="14">
        <v>45784.416317918302</v>
      </c>
      <c r="AO68" s="3">
        <f t="shared" si="39"/>
        <v>0.20562150824137357</v>
      </c>
      <c r="AP68" s="32">
        <f t="shared" si="13"/>
        <v>9.3277172026144939E-3</v>
      </c>
      <c r="AQ68" s="14">
        <f t="shared" si="36"/>
        <v>16.1323412637514</v>
      </c>
      <c r="AR68" s="4">
        <f t="shared" si="40"/>
        <v>3592084.4804585911</v>
      </c>
      <c r="AS68" s="4">
        <f t="shared" si="41"/>
        <v>2892629.7212907369</v>
      </c>
      <c r="AT68" s="4">
        <f t="shared" si="14"/>
        <v>2884542.0214507147</v>
      </c>
      <c r="AU68" s="4">
        <f t="shared" si="42"/>
        <v>123.6945503812418</v>
      </c>
      <c r="AV68" s="24">
        <f t="shared" si="15"/>
        <v>123.34870438928276</v>
      </c>
      <c r="AW68" s="22">
        <v>99239</v>
      </c>
      <c r="AX68">
        <v>28481</v>
      </c>
      <c r="AY68">
        <v>97404</v>
      </c>
      <c r="AZ68">
        <v>55358</v>
      </c>
      <c r="BA68">
        <f t="shared" si="16"/>
        <v>0.50466581571680658</v>
      </c>
      <c r="BB68">
        <f t="shared" si="17"/>
        <v>0.34727362183669541</v>
      </c>
      <c r="BC68">
        <f t="shared" si="18"/>
        <v>0.65272637816330459</v>
      </c>
      <c r="BD68" s="21">
        <f t="shared" si="19"/>
        <v>0.3335458443561336</v>
      </c>
      <c r="BE68" s="4">
        <f t="shared" si="20"/>
        <v>1.3098382829513753</v>
      </c>
      <c r="BF68" s="31">
        <f t="shared" si="37"/>
        <v>4.8498440309998614E-3</v>
      </c>
      <c r="BG68" s="4">
        <f t="shared" si="21"/>
        <v>185.44835920504798</v>
      </c>
      <c r="BH68" s="19">
        <f t="shared" si="22"/>
        <v>-7.8698737538982488E-3</v>
      </c>
      <c r="BJ68" s="1">
        <v>43800</v>
      </c>
      <c r="BK68" s="42">
        <v>183.98890403023668</v>
      </c>
      <c r="BL68" s="42">
        <v>179.78661871929498</v>
      </c>
      <c r="BM68" s="42">
        <v>185.44835920504798</v>
      </c>
      <c r="BN68" s="43">
        <f t="shared" si="23"/>
        <v>2.3373737939322625E-2</v>
      </c>
      <c r="BO68" s="43">
        <f t="shared" si="24"/>
        <v>-7.8698737538982488E-3</v>
      </c>
    </row>
    <row r="69" spans="2:67" x14ac:dyDescent="0.3">
      <c r="B69">
        <f t="shared" si="25"/>
        <v>2009</v>
      </c>
      <c r="C69">
        <f t="shared" si="26"/>
        <v>5</v>
      </c>
      <c r="D69" s="1">
        <f t="shared" si="27"/>
        <v>39934</v>
      </c>
      <c r="E69">
        <f>_xlfn.XLOOKUP(D69,[1]nairu_estimates_v6!$A$2:$A$265,[1]nairu_estimates_v6!$P$2:$P$265)</f>
        <v>11.470939508410799</v>
      </c>
      <c r="F69">
        <f>_xlfn.XLOOKUP(D69,[1]nairu_estimates_v6!$A$2:$A$265,[1]nairu_estimates_v6!$V$2:$V$265)</f>
        <v>76.210160347812007</v>
      </c>
      <c r="G69">
        <v>20440589.55127842</v>
      </c>
      <c r="H69">
        <f t="shared" ref="H69:H132" si="43">IF(OR(C69=3,C69=6,C69=9,C69=12),AVERAGE(E67:E69),0)</f>
        <v>0</v>
      </c>
      <c r="I69">
        <f t="shared" ref="I69:I132" si="44">IF(OR(C69=3,C69=6,C69=9,C69=12),AVERAGE(F67:F69),0)</f>
        <v>0</v>
      </c>
      <c r="J69">
        <f t="shared" si="4"/>
        <v>0</v>
      </c>
      <c r="L69">
        <v>3.4526836127042798E-2</v>
      </c>
      <c r="M69">
        <v>73.809899999999999</v>
      </c>
      <c r="N69">
        <f t="shared" si="5"/>
        <v>0</v>
      </c>
      <c r="O69">
        <v>18047401.285811298</v>
      </c>
      <c r="Q69">
        <f t="shared" si="28"/>
        <v>2020</v>
      </c>
      <c r="R69">
        <f t="shared" si="29"/>
        <v>3</v>
      </c>
      <c r="S69" s="9">
        <f t="shared" si="30"/>
        <v>43891</v>
      </c>
      <c r="T69" s="13">
        <v>218395.00839999999</v>
      </c>
      <c r="U69" s="14">
        <v>218794.51544297813</v>
      </c>
      <c r="V69" s="32">
        <f t="shared" si="6"/>
        <v>-1.825946332197903E-3</v>
      </c>
      <c r="W69" s="41">
        <f t="shared" si="7"/>
        <v>180.7918805257215</v>
      </c>
      <c r="X69" s="15">
        <f t="shared" si="31"/>
        <v>180.46176425458441</v>
      </c>
      <c r="Y69" s="17">
        <v>23618912.400300208</v>
      </c>
      <c r="Z69">
        <v>10.152546497616799</v>
      </c>
      <c r="AA69" s="4">
        <f t="shared" si="8"/>
        <v>21220991.336628351</v>
      </c>
      <c r="AB69" s="4">
        <v>19826181.9066616</v>
      </c>
      <c r="AC69" s="4">
        <v>48</v>
      </c>
      <c r="AD69" s="14">
        <f t="shared" si="9"/>
        <v>46244784320.780502</v>
      </c>
      <c r="AE69" s="14">
        <f t="shared" si="10"/>
        <v>43205215610.996956</v>
      </c>
      <c r="AF69" s="14">
        <f t="shared" si="32"/>
        <v>128.49735330758776</v>
      </c>
      <c r="AG69" s="14">
        <f t="shared" si="11"/>
        <v>120.05150281568189</v>
      </c>
      <c r="AH69" s="14">
        <f t="shared" si="12"/>
        <v>2.6168999999999998</v>
      </c>
      <c r="AI69" s="14">
        <f t="shared" si="33"/>
        <v>116.32734708392603</v>
      </c>
      <c r="AJ69" s="14">
        <f t="shared" si="34"/>
        <v>149.47756217577631</v>
      </c>
      <c r="AK69" s="15">
        <f t="shared" si="35"/>
        <v>139.6527283598675</v>
      </c>
      <c r="AL69" s="22">
        <v>80.593887691058868</v>
      </c>
      <c r="AM69">
        <v>66.870499999999993</v>
      </c>
      <c r="AN69" s="14">
        <v>42506.678229627199</v>
      </c>
      <c r="AO69" s="3">
        <f t="shared" si="39"/>
        <v>0.19463209594870576</v>
      </c>
      <c r="AP69" s="32">
        <f t="shared" si="13"/>
        <v>9.3304679236447807E-3</v>
      </c>
      <c r="AQ69" s="14">
        <f t="shared" si="36"/>
        <v>16.50387055538075</v>
      </c>
      <c r="AR69" s="4">
        <f t="shared" si="40"/>
        <v>3604362.9485748913</v>
      </c>
      <c r="AS69" s="4">
        <f t="shared" ref="AS69:AS100" si="45">AR69*AL69/100</f>
        <v>2904896.2267525857</v>
      </c>
      <c r="AT69" s="4">
        <f t="shared" si="14"/>
        <v>2410255.5255267723</v>
      </c>
      <c r="AU69" s="4">
        <f t="shared" si="42"/>
        <v>124.21909034108684</v>
      </c>
      <c r="AV69" s="24">
        <f t="shared" si="15"/>
        <v>103.06727865635877</v>
      </c>
      <c r="AW69" s="22">
        <v>87290</v>
      </c>
      <c r="AX69">
        <v>41711</v>
      </c>
      <c r="AY69">
        <v>81950</v>
      </c>
      <c r="AZ69">
        <v>50744</v>
      </c>
      <c r="BA69">
        <f t="shared" si="16"/>
        <v>0.51577641219569836</v>
      </c>
      <c r="BB69">
        <f t="shared" si="17"/>
        <v>0.31315080532681172</v>
      </c>
      <c r="BC69">
        <f t="shared" si="18"/>
        <v>0.68684919467318828</v>
      </c>
      <c r="BD69" s="21">
        <f t="shared" si="19"/>
        <v>0.3335458443561336</v>
      </c>
      <c r="BE69" s="4">
        <f t="shared" ref="BE69:BE96" si="46">X69/(AV69^BD69*AK69^(1-BD69))</f>
        <v>1.4300130985448889</v>
      </c>
      <c r="BF69" s="31">
        <f t="shared" si="37"/>
        <v>9.1747826550565792E-2</v>
      </c>
      <c r="BG69" s="4">
        <f t="shared" si="21"/>
        <v>200.95695956625684</v>
      </c>
      <c r="BH69" s="19">
        <f t="shared" si="22"/>
        <v>-0.10198798467049375</v>
      </c>
      <c r="BJ69" s="1">
        <v>43891</v>
      </c>
      <c r="BK69" s="42">
        <v>180.46176425458441</v>
      </c>
      <c r="BL69" s="42">
        <v>180.7918805257215</v>
      </c>
      <c r="BM69" s="42">
        <v>200.95695956625684</v>
      </c>
      <c r="BN69" s="43">
        <f t="shared" si="23"/>
        <v>-1.825946332197792E-3</v>
      </c>
      <c r="BO69" s="43">
        <f t="shared" si="24"/>
        <v>-0.10198798467049375</v>
      </c>
    </row>
    <row r="70" spans="2:67" x14ac:dyDescent="0.3">
      <c r="B70">
        <f t="shared" si="25"/>
        <v>2009</v>
      </c>
      <c r="C70">
        <f t="shared" si="26"/>
        <v>6</v>
      </c>
      <c r="D70" s="1">
        <f t="shared" si="27"/>
        <v>39965</v>
      </c>
      <c r="E70">
        <f>_xlfn.XLOOKUP(D70,[1]nairu_estimates_v6!$A$2:$A$265,[1]nairu_estimates_v6!$P$2:$P$265)</f>
        <v>11.4630919398587</v>
      </c>
      <c r="F70">
        <f>_xlfn.XLOOKUP(D70,[1]nairu_estimates_v6!$A$2:$A$265,[1]nairu_estimates_v6!$V$2:$V$265)</f>
        <v>75.809813348123797</v>
      </c>
      <c r="G70">
        <v>20424489.46992626</v>
      </c>
      <c r="H70">
        <f t="shared" si="43"/>
        <v>11.4716177115686</v>
      </c>
      <c r="I70">
        <f t="shared" si="44"/>
        <v>76.239947542615155</v>
      </c>
      <c r="J70">
        <f t="shared" ref="J70:J133" si="47">IF(OR(C70=3,C70=6,C70=9,C70=12),AVERAGE(G68:G70),0)</f>
        <v>20388746.355784096</v>
      </c>
      <c r="L70">
        <v>3.4526836127042798E-2</v>
      </c>
      <c r="M70">
        <v>73.645700000000005</v>
      </c>
      <c r="N70">
        <f t="shared" ref="N70:N133" si="48">IF(OR(C70=3,C70=6,C70=9,C70=12),AVERAGE(M68:M70),0)</f>
        <v>73.399333333333331</v>
      </c>
      <c r="O70">
        <v>18019531.1576345</v>
      </c>
      <c r="Q70">
        <f t="shared" si="28"/>
        <v>2020</v>
      </c>
      <c r="R70">
        <f t="shared" si="29"/>
        <v>6</v>
      </c>
      <c r="S70" s="9">
        <f t="shared" si="30"/>
        <v>43983</v>
      </c>
      <c r="T70" s="13">
        <v>182829.6348</v>
      </c>
      <c r="U70" s="14">
        <v>220118.40963797786</v>
      </c>
      <c r="V70" s="32">
        <f t="shared" ref="V70:V98" si="49">T70/U70-1</f>
        <v>-0.16940325390913735</v>
      </c>
      <c r="W70" s="41">
        <f t="shared" ref="W70:W98" si="50">U70/$T$5*$X$5</f>
        <v>181.88582623385085</v>
      </c>
      <c r="X70" s="15">
        <f t="shared" si="31"/>
        <v>151.07377542988459</v>
      </c>
      <c r="Y70" s="17">
        <v>21148916.899622753</v>
      </c>
      <c r="Z70">
        <v>10.3886249308906</v>
      </c>
      <c r="AA70" s="4">
        <f t="shared" ref="AA70:AA96" si="51">Y70*(1-Z70/100)</f>
        <v>18951835.245975208</v>
      </c>
      <c r="AB70" s="4">
        <v>17679843.281211298</v>
      </c>
      <c r="AC70" s="4">
        <v>48</v>
      </c>
      <c r="AD70" s="14">
        <f t="shared" ref="AD70:AD96" si="52">AA70*AC70*(52-6.6)</f>
        <v>41299839368.029167</v>
      </c>
      <c r="AE70" s="14">
        <f t="shared" ref="AE70:AE98" si="53">AB70*AC70*(52-6.6)</f>
        <v>38527914478.415657</v>
      </c>
      <c r="AF70" s="14">
        <f t="shared" si="32"/>
        <v>114.75715864536002</v>
      </c>
      <c r="AG70" s="14">
        <f t="shared" ref="AG70:AG96" si="54">AE70/$AD$5*$AF$5</f>
        <v>107.05499250675163</v>
      </c>
      <c r="AH70" s="14">
        <f t="shared" ref="AH70:AH96" si="55">_xlfn.XLOOKUP(Q70,$B$5:$B$280,$K$5:$K$280)</f>
        <v>2.6168999999999998</v>
      </c>
      <c r="AI70" s="14">
        <f t="shared" si="33"/>
        <v>116.32734708392603</v>
      </c>
      <c r="AJ70" s="14">
        <f t="shared" ref="AJ70:AJ96" si="56">AF70*AI70/100</f>
        <v>133.49395824103959</v>
      </c>
      <c r="AK70" s="15">
        <f t="shared" ref="AK70:AK96" si="57">AG70*AI70/100</f>
        <v>124.53423270399998</v>
      </c>
      <c r="AL70" s="22">
        <v>77.622598475731067</v>
      </c>
      <c r="AM70">
        <v>76.656866666666659</v>
      </c>
      <c r="AN70" s="14">
        <v>28905.0024856973</v>
      </c>
      <c r="AO70" s="3">
        <f t="shared" si="39"/>
        <v>0.15809801576925372</v>
      </c>
      <c r="AP70" s="32">
        <f t="shared" ref="AP70:AP96" si="58">(1+_xlfn.XLOOKUP(Q70,$B$5:$B$280,$L$5:$L$280))^(1/4)-1</f>
        <v>9.3304679236447807E-3</v>
      </c>
      <c r="AQ70" s="14">
        <f t="shared" si="36"/>
        <v>19.762875082479063</v>
      </c>
      <c r="AR70" s="4">
        <f t="shared" si="40"/>
        <v>3613239.2339276667</v>
      </c>
      <c r="AS70" s="4">
        <f t="shared" si="45"/>
        <v>2804690.1825192543</v>
      </c>
      <c r="AT70" s="4">
        <f t="shared" ref="AT70:AT96" si="59">AR70*AM70/100</f>
        <v>2769795.9818996191</v>
      </c>
      <c r="AU70" s="4">
        <f t="shared" ref="AU70:AU96" si="60">AS70/$AS$5*$AU$5</f>
        <v>119.93408230991929</v>
      </c>
      <c r="AV70" s="24">
        <f t="shared" ref="AV70:AV96" si="61">AT70/$AS$5*$AU$5</f>
        <v>118.44193748931202</v>
      </c>
      <c r="AW70" s="22">
        <v>93090</v>
      </c>
      <c r="AX70">
        <v>18673</v>
      </c>
      <c r="AY70">
        <v>65203</v>
      </c>
      <c r="AZ70">
        <v>35739</v>
      </c>
      <c r="BA70">
        <f t="shared" ref="BA70:BA96" si="62">AW70/(AW70+AY70)</f>
        <v>0.58808664944122613</v>
      </c>
      <c r="BB70">
        <f t="shared" ref="BB70:BB96" si="63">AY70/(AW70+AY70+AZ70+AX70)</f>
        <v>0.30654192426130084</v>
      </c>
      <c r="BC70">
        <f t="shared" ref="BC70:BC96" si="64">1-BB70</f>
        <v>0.69345807573869922</v>
      </c>
      <c r="BD70" s="21">
        <f t="shared" ref="BD70:BD96" si="65">AVERAGE($BB$53:$BB$92)</f>
        <v>0.3335458443561336</v>
      </c>
      <c r="BE70" s="4">
        <f t="shared" si="46"/>
        <v>1.2335763786767118</v>
      </c>
      <c r="BF70" s="31">
        <f t="shared" si="37"/>
        <v>-0.13736707731422981</v>
      </c>
      <c r="BG70" s="4">
        <f t="shared" ref="BG70:BG96" si="66">BE70*AU70^BD70*AJ70^(1-BD70)</f>
        <v>158.89544148548023</v>
      </c>
      <c r="BH70" s="19">
        <f t="shared" ref="BH70:BH96" si="67">X70/BG70-1</f>
        <v>-4.9225238826693385E-2</v>
      </c>
      <c r="BJ70" s="1">
        <v>43983</v>
      </c>
      <c r="BK70" s="42">
        <v>151.07377542988459</v>
      </c>
      <c r="BL70" s="42">
        <v>181.88582623385085</v>
      </c>
      <c r="BM70" s="42">
        <v>158.89544148548023</v>
      </c>
      <c r="BN70" s="43">
        <f t="shared" ref="BN70:BN96" si="68">BK70/BL70-1</f>
        <v>-0.16940325390913724</v>
      </c>
      <c r="BO70" s="43">
        <f t="shared" ref="BO70:BO96" si="69">BK70/BM70-1</f>
        <v>-4.9225238826693385E-2</v>
      </c>
    </row>
    <row r="71" spans="2:67" x14ac:dyDescent="0.3">
      <c r="B71">
        <f t="shared" ref="B71:B134" si="70">IF(C70=12,B70+1,B70)</f>
        <v>2009</v>
      </c>
      <c r="C71">
        <f t="shared" ref="C71:C134" si="71">IF(C70=12,1,C70+1)</f>
        <v>7</v>
      </c>
      <c r="D71" s="1">
        <f t="shared" ref="D71:D134" si="72">DATE(B71,C71,1)</f>
        <v>39995</v>
      </c>
      <c r="E71">
        <f>_xlfn.XLOOKUP(D71,[1]nairu_estimates_v6!$A$2:$A$265,[1]nairu_estimates_v6!$P$2:$P$265)</f>
        <v>11.458227498668901</v>
      </c>
      <c r="F71">
        <f>_xlfn.XLOOKUP(D71,[1]nairu_estimates_v6!$A$2:$A$265,[1]nairu_estimates_v6!$V$2:$V$265)</f>
        <v>75.414513879090904</v>
      </c>
      <c r="G71">
        <v>20572149.39232209</v>
      </c>
      <c r="H71">
        <f t="shared" si="43"/>
        <v>0</v>
      </c>
      <c r="I71">
        <f t="shared" si="44"/>
        <v>0</v>
      </c>
      <c r="J71">
        <f t="shared" si="47"/>
        <v>0</v>
      </c>
      <c r="L71">
        <v>3.4526836127042798E-2</v>
      </c>
      <c r="M71">
        <v>73.9255</v>
      </c>
      <c r="N71">
        <f t="shared" si="48"/>
        <v>0</v>
      </c>
      <c r="O71">
        <v>18072582.470652699</v>
      </c>
      <c r="Q71">
        <f t="shared" ref="Q71:Q96" si="73">IF(R70=12,Q70+1,Q70)</f>
        <v>2020</v>
      </c>
      <c r="R71">
        <f t="shared" ref="R71:R96" si="74">IF(R70=12,3,R70+3)</f>
        <v>9</v>
      </c>
      <c r="S71" s="9">
        <f t="shared" ref="S71:S96" si="75">DATE(Q71,R71,1)</f>
        <v>44075</v>
      </c>
      <c r="T71" s="13">
        <v>201256.49059999999</v>
      </c>
      <c r="U71" s="14">
        <v>221571.8400261316</v>
      </c>
      <c r="V71" s="32">
        <f t="shared" si="49"/>
        <v>-9.1687415800381755E-2</v>
      </c>
      <c r="W71" s="41">
        <f t="shared" si="50"/>
        <v>183.08680886614187</v>
      </c>
      <c r="X71" s="15">
        <f t="shared" ref="X71:X96" si="76">T71/$T$5*$X$5</f>
        <v>166.3000524940669</v>
      </c>
      <c r="Y71" s="17">
        <v>22711307.628940854</v>
      </c>
      <c r="Z71">
        <v>10.963566381224467</v>
      </c>
      <c r="AA71" s="4">
        <f t="shared" si="51"/>
        <v>20221338.340997826</v>
      </c>
      <c r="AB71" s="4">
        <v>19307035.658612799</v>
      </c>
      <c r="AC71" s="4">
        <v>48</v>
      </c>
      <c r="AD71" s="14">
        <f t="shared" si="52"/>
        <v>44066340512.702461</v>
      </c>
      <c r="AE71" s="14">
        <f t="shared" si="53"/>
        <v>42073892107.249008</v>
      </c>
      <c r="AF71" s="14">
        <f t="shared" ref="AF71:AF96" si="77">AD71/$AD$5*$AF$5</f>
        <v>122.44425417914087</v>
      </c>
      <c r="AG71" s="14">
        <f t="shared" si="54"/>
        <v>116.90796829386656</v>
      </c>
      <c r="AH71" s="14">
        <f t="shared" si="55"/>
        <v>2.6168999999999998</v>
      </c>
      <c r="AI71" s="14">
        <f t="shared" ref="AI71:AI96" si="78">AH71/$AH$5*$AI$5</f>
        <v>116.32734708392603</v>
      </c>
      <c r="AJ71" s="14">
        <f t="shared" si="56"/>
        <v>142.43615254329379</v>
      </c>
      <c r="AK71" s="15">
        <f t="shared" si="57"/>
        <v>135.99593804597234</v>
      </c>
      <c r="AL71" s="22">
        <v>75.836269363529098</v>
      </c>
      <c r="AM71">
        <v>80.889766666666659</v>
      </c>
      <c r="AN71" s="14">
        <v>36476.312556037898</v>
      </c>
      <c r="AO71" s="3">
        <f t="shared" si="39"/>
        <v>0.18124291269957132</v>
      </c>
      <c r="AP71" s="32">
        <f t="shared" si="58"/>
        <v>9.3304679236447807E-3</v>
      </c>
      <c r="AQ71" s="14">
        <f t="shared" ref="AQ71:AQ96" si="79">AR71/T71</f>
        <v>17.929513790502053</v>
      </c>
      <c r="AR71" s="4">
        <f t="shared" si="40"/>
        <v>3608431.0236407467</v>
      </c>
      <c r="AS71" s="4">
        <f t="shared" si="45"/>
        <v>2736499.4708853471</v>
      </c>
      <c r="AT71" s="4">
        <f t="shared" si="59"/>
        <v>2918851.4353506113</v>
      </c>
      <c r="AU71" s="4">
        <f t="shared" si="60"/>
        <v>117.01811302645035</v>
      </c>
      <c r="AV71" s="24">
        <f t="shared" si="61"/>
        <v>124.81584257670963</v>
      </c>
      <c r="AW71" s="22">
        <v>88687</v>
      </c>
      <c r="AX71">
        <v>26138</v>
      </c>
      <c r="AY71">
        <v>83909</v>
      </c>
      <c r="AZ71">
        <v>50105</v>
      </c>
      <c r="BA71">
        <f t="shared" si="62"/>
        <v>0.51384157222647109</v>
      </c>
      <c r="BB71">
        <f t="shared" si="63"/>
        <v>0.33720196592977791</v>
      </c>
      <c r="BC71">
        <f t="shared" si="64"/>
        <v>0.66279803407022209</v>
      </c>
      <c r="BD71" s="21">
        <f t="shared" si="65"/>
        <v>0.3335458443561336</v>
      </c>
      <c r="BE71" s="4">
        <f t="shared" si="46"/>
        <v>1.2583258198825633</v>
      </c>
      <c r="BF71" s="31">
        <f t="shared" ref="BF71:BF98" si="80">BE71/BE70-1</f>
        <v>2.0063160768691857E-2</v>
      </c>
      <c r="BG71" s="4">
        <f t="shared" si="66"/>
        <v>167.85701130268703</v>
      </c>
      <c r="BH71" s="19">
        <f t="shared" si="67"/>
        <v>-9.2755065548769666E-3</v>
      </c>
      <c r="BJ71" s="1">
        <v>44075</v>
      </c>
      <c r="BK71" s="42">
        <v>166.3000524940669</v>
      </c>
      <c r="BL71" s="42">
        <v>183.08680886614187</v>
      </c>
      <c r="BM71" s="42">
        <v>167.85701130268703</v>
      </c>
      <c r="BN71" s="43">
        <f t="shared" si="68"/>
        <v>-9.1687415800381755E-2</v>
      </c>
      <c r="BO71" s="43">
        <f t="shared" si="69"/>
        <v>-9.2755065548769666E-3</v>
      </c>
    </row>
    <row r="72" spans="2:67" x14ac:dyDescent="0.3">
      <c r="B72">
        <f t="shared" si="70"/>
        <v>2009</v>
      </c>
      <c r="C72">
        <f t="shared" si="71"/>
        <v>8</v>
      </c>
      <c r="D72" s="1">
        <f t="shared" si="72"/>
        <v>40026</v>
      </c>
      <c r="E72">
        <f>_xlfn.XLOOKUP(D72,[1]nairu_estimates_v6!$A$2:$A$265,[1]nairu_estimates_v6!$P$2:$P$265)</f>
        <v>11.460744912883101</v>
      </c>
      <c r="F72">
        <f>_xlfn.XLOOKUP(D72,[1]nairu_estimates_v6!$A$2:$A$265,[1]nairu_estimates_v6!$V$2:$V$265)</f>
        <v>75.207286442142106</v>
      </c>
      <c r="G72">
        <v>20304407.339179311</v>
      </c>
      <c r="H72">
        <f t="shared" si="43"/>
        <v>0</v>
      </c>
      <c r="I72">
        <f t="shared" si="44"/>
        <v>0</v>
      </c>
      <c r="J72">
        <f t="shared" si="47"/>
        <v>0</v>
      </c>
      <c r="L72">
        <v>3.4526836127042798E-2</v>
      </c>
      <c r="M72">
        <v>75.199399999999997</v>
      </c>
      <c r="N72">
        <f t="shared" si="48"/>
        <v>0</v>
      </c>
      <c r="O72">
        <v>17822915.9407336</v>
      </c>
      <c r="Q72">
        <f t="shared" si="73"/>
        <v>2020</v>
      </c>
      <c r="R72">
        <f t="shared" si="74"/>
        <v>12</v>
      </c>
      <c r="S72" s="9">
        <f t="shared" si="75"/>
        <v>44166</v>
      </c>
      <c r="T72" s="13">
        <v>215418.86619999999</v>
      </c>
      <c r="U72" s="14">
        <v>223153.71196938344</v>
      </c>
      <c r="V72" s="32">
        <f t="shared" si="49"/>
        <v>-3.4661515155278599E-2</v>
      </c>
      <c r="W72" s="41">
        <f t="shared" si="50"/>
        <v>184.39392391330088</v>
      </c>
      <c r="X72" s="15">
        <f t="shared" si="76"/>
        <v>178.00255112503871</v>
      </c>
      <c r="Y72" s="17">
        <v>23809046.404469479</v>
      </c>
      <c r="Z72">
        <v>11.693462721038232</v>
      </c>
      <c r="AA72" s="4">
        <f t="shared" si="51"/>
        <v>21024944.438928146</v>
      </c>
      <c r="AB72" s="4">
        <v>20195315.840821799</v>
      </c>
      <c r="AC72" s="4">
        <v>48</v>
      </c>
      <c r="AD72" s="14">
        <f t="shared" si="52"/>
        <v>45817558921.312218</v>
      </c>
      <c r="AE72" s="14">
        <f t="shared" si="53"/>
        <v>44009632280.318863</v>
      </c>
      <c r="AF72" s="14">
        <f t="shared" si="77"/>
        <v>127.31025007197417</v>
      </c>
      <c r="AG72" s="14">
        <f t="shared" si="54"/>
        <v>122.28668272802329</v>
      </c>
      <c r="AH72" s="14">
        <f t="shared" si="55"/>
        <v>2.6168999999999998</v>
      </c>
      <c r="AI72" s="14">
        <f t="shared" si="78"/>
        <v>116.32734708392603</v>
      </c>
      <c r="AJ72" s="14">
        <f t="shared" si="56"/>
        <v>148.09663647463958</v>
      </c>
      <c r="AK72" s="15">
        <f t="shared" si="57"/>
        <v>142.25285385444707</v>
      </c>
      <c r="AL72" s="22">
        <v>77.297343100893258</v>
      </c>
      <c r="AM72">
        <v>79.653333333333322</v>
      </c>
      <c r="AN72" s="14">
        <v>38895.006728637702</v>
      </c>
      <c r="AO72" s="3">
        <f t="shared" si="39"/>
        <v>0.18055524761942929</v>
      </c>
      <c r="AP72" s="32">
        <f t="shared" si="58"/>
        <v>9.3304679236447807E-3</v>
      </c>
      <c r="AQ72" s="14">
        <f t="shared" si="79"/>
        <v>16.763800914833801</v>
      </c>
      <c r="AR72" s="4">
        <f t="shared" si="40"/>
        <v>3611238.9862760198</v>
      </c>
      <c r="AS72" s="4">
        <f t="shared" si="45"/>
        <v>2791391.7894149949</v>
      </c>
      <c r="AT72" s="4">
        <f t="shared" si="59"/>
        <v>2876472.2272017254</v>
      </c>
      <c r="AU72" s="4">
        <f t="shared" si="60"/>
        <v>119.36541679987593</v>
      </c>
      <c r="AV72" s="24">
        <f t="shared" si="61"/>
        <v>123.00362407570135</v>
      </c>
      <c r="AW72" s="22">
        <v>103421</v>
      </c>
      <c r="AX72">
        <v>26087</v>
      </c>
      <c r="AY72">
        <v>88411</v>
      </c>
      <c r="AZ72">
        <v>57313</v>
      </c>
      <c r="BA72">
        <f t="shared" si="62"/>
        <v>0.53912277409399889</v>
      </c>
      <c r="BB72">
        <f t="shared" si="63"/>
        <v>0.3212235495872573</v>
      </c>
      <c r="BC72">
        <f t="shared" si="64"/>
        <v>0.6787764504127427</v>
      </c>
      <c r="BD72" s="21">
        <f t="shared" si="65"/>
        <v>0.3335458443561336</v>
      </c>
      <c r="BE72" s="4">
        <f t="shared" si="46"/>
        <v>1.3134887302036313</v>
      </c>
      <c r="BF72" s="31">
        <f t="shared" si="80"/>
        <v>4.3838336184038651E-2</v>
      </c>
      <c r="BG72" s="4">
        <f t="shared" si="66"/>
        <v>181.02118991357037</v>
      </c>
      <c r="BH72" s="19">
        <f t="shared" si="67"/>
        <v>-1.6675610131459906E-2</v>
      </c>
      <c r="BJ72" s="1">
        <v>44166</v>
      </c>
      <c r="BK72" s="42">
        <v>178.00255112503871</v>
      </c>
      <c r="BL72" s="42">
        <v>184.39392391330088</v>
      </c>
      <c r="BM72" s="42">
        <v>181.02118991357037</v>
      </c>
      <c r="BN72" s="43">
        <f t="shared" si="68"/>
        <v>-3.4661515155278599E-2</v>
      </c>
      <c r="BO72" s="43">
        <f t="shared" si="69"/>
        <v>-1.6675610131459906E-2</v>
      </c>
    </row>
    <row r="73" spans="2:67" x14ac:dyDescent="0.3">
      <c r="B73">
        <f t="shared" si="70"/>
        <v>2009</v>
      </c>
      <c r="C73">
        <f t="shared" si="71"/>
        <v>9</v>
      </c>
      <c r="D73" s="1">
        <f t="shared" si="72"/>
        <v>40057</v>
      </c>
      <c r="E73">
        <f>_xlfn.XLOOKUP(D73,[1]nairu_estimates_v6!$A$2:$A$265,[1]nairu_estimates_v6!$P$2:$P$265)</f>
        <v>11.468640136889499</v>
      </c>
      <c r="F73">
        <f>_xlfn.XLOOKUP(D73,[1]nairu_estimates_v6!$A$2:$A$265,[1]nairu_estimates_v6!$V$2:$V$265)</f>
        <v>75.007412721223702</v>
      </c>
      <c r="G73">
        <v>20342019.88391174</v>
      </c>
      <c r="H73">
        <f t="shared" si="43"/>
        <v>11.462537516147167</v>
      </c>
      <c r="I73">
        <f t="shared" si="44"/>
        <v>75.209737680818918</v>
      </c>
      <c r="J73">
        <f t="shared" si="47"/>
        <v>20406192.205137715</v>
      </c>
      <c r="L73">
        <v>3.4526836127042798E-2</v>
      </c>
      <c r="M73">
        <v>76.346400000000003</v>
      </c>
      <c r="N73">
        <f t="shared" si="48"/>
        <v>75.1571</v>
      </c>
      <c r="O73">
        <v>17714527.431606598</v>
      </c>
      <c r="Q73">
        <f t="shared" si="73"/>
        <v>2021</v>
      </c>
      <c r="R73">
        <f t="shared" si="74"/>
        <v>3</v>
      </c>
      <c r="S73" s="9">
        <f t="shared" si="75"/>
        <v>44256</v>
      </c>
      <c r="T73" s="13">
        <v>221803.88310000001</v>
      </c>
      <c r="U73" s="14">
        <v>224850.23373628611</v>
      </c>
      <c r="V73" s="32">
        <f t="shared" si="49"/>
        <v>-1.3548354323077993E-2</v>
      </c>
      <c r="W73" s="41">
        <f t="shared" si="50"/>
        <v>185.79577514330163</v>
      </c>
      <c r="X73" s="15">
        <f t="shared" si="76"/>
        <v>183.27854814992924</v>
      </c>
      <c r="Y73" s="17">
        <v>23497558.25629878</v>
      </c>
      <c r="Z73">
        <v>12.3923568655881</v>
      </c>
      <c r="AA73" s="4">
        <f t="shared" si="51"/>
        <v>20585656.982478775</v>
      </c>
      <c r="AB73" s="4">
        <v>20195897.19588</v>
      </c>
      <c r="AC73" s="4">
        <v>48</v>
      </c>
      <c r="AD73" s="14">
        <f t="shared" si="52"/>
        <v>44860263696.217743</v>
      </c>
      <c r="AE73" s="14">
        <f t="shared" si="53"/>
        <v>44010899169.261696</v>
      </c>
      <c r="AF73" s="14">
        <f t="shared" si="77"/>
        <v>124.65027652976097</v>
      </c>
      <c r="AG73" s="14">
        <f t="shared" si="54"/>
        <v>122.2902029493516</v>
      </c>
      <c r="AH73" s="14">
        <f t="shared" si="55"/>
        <v>2.6383000000000001</v>
      </c>
      <c r="AI73" s="14">
        <f t="shared" si="78"/>
        <v>117.27862731152206</v>
      </c>
      <c r="AJ73" s="14">
        <f t="shared" si="56"/>
        <v>146.18813325412003</v>
      </c>
      <c r="AK73" s="15">
        <f t="shared" si="57"/>
        <v>143.42027135547403</v>
      </c>
      <c r="AL73" s="22">
        <v>78.21423839542966</v>
      </c>
      <c r="AM73">
        <v>76.589999999999989</v>
      </c>
      <c r="AN73" s="14">
        <v>43844.827039534801</v>
      </c>
      <c r="AO73" s="3">
        <f t="shared" si="39"/>
        <v>0.19767384784588021</v>
      </c>
      <c r="AP73" s="32">
        <f t="shared" si="58"/>
        <v>9.3035376053745011E-3</v>
      </c>
      <c r="AQ73" s="14">
        <f t="shared" si="79"/>
        <v>16.304671464422135</v>
      </c>
      <c r="AR73" s="4">
        <f t="shared" si="40"/>
        <v>3616439.4434785936</v>
      </c>
      <c r="AS73" s="4">
        <f t="shared" si="45"/>
        <v>2828570.567748697</v>
      </c>
      <c r="AT73" s="4">
        <f t="shared" si="59"/>
        <v>2769830.9697602545</v>
      </c>
      <c r="AU73" s="4">
        <f t="shared" si="60"/>
        <v>120.9552546681182</v>
      </c>
      <c r="AV73" s="24">
        <f t="shared" si="61"/>
        <v>118.44343363921956</v>
      </c>
      <c r="AW73" s="22">
        <v>90056</v>
      </c>
      <c r="AX73">
        <v>39563</v>
      </c>
      <c r="AY73">
        <v>88351</v>
      </c>
      <c r="AZ73">
        <v>55772</v>
      </c>
      <c r="BA73">
        <f t="shared" si="62"/>
        <v>0.50477839995067453</v>
      </c>
      <c r="BB73">
        <f t="shared" si="63"/>
        <v>0.32275281104105324</v>
      </c>
      <c r="BC73">
        <f t="shared" si="64"/>
        <v>0.67724718895894676</v>
      </c>
      <c r="BD73" s="21">
        <f t="shared" si="65"/>
        <v>0.3335458443561336</v>
      </c>
      <c r="BE73" s="4">
        <f t="shared" si="46"/>
        <v>1.3621301500253185</v>
      </c>
      <c r="BF73" s="31">
        <f t="shared" si="80"/>
        <v>3.7032232331484227E-2</v>
      </c>
      <c r="BG73" s="4">
        <f t="shared" si="66"/>
        <v>186.93219802704442</v>
      </c>
      <c r="BH73" s="19">
        <f t="shared" si="67"/>
        <v>-1.9545321328680809E-2</v>
      </c>
      <c r="BJ73" s="1">
        <v>44256</v>
      </c>
      <c r="BK73" s="42">
        <v>183.27854814992924</v>
      </c>
      <c r="BL73" s="42">
        <v>185.79577514330163</v>
      </c>
      <c r="BM73" s="42">
        <v>186.93219802704442</v>
      </c>
      <c r="BN73" s="43">
        <f t="shared" si="68"/>
        <v>-1.3548354323078104E-2</v>
      </c>
      <c r="BO73" s="43">
        <f t="shared" si="69"/>
        <v>-1.9545321328680809E-2</v>
      </c>
    </row>
    <row r="74" spans="2:67" x14ac:dyDescent="0.3">
      <c r="B74">
        <f t="shared" si="70"/>
        <v>2009</v>
      </c>
      <c r="C74">
        <f t="shared" si="71"/>
        <v>10</v>
      </c>
      <c r="D74" s="1">
        <f t="shared" si="72"/>
        <v>40087</v>
      </c>
      <c r="E74">
        <f>_xlfn.XLOOKUP(D74,[1]nairu_estimates_v6!$A$2:$A$265,[1]nairu_estimates_v6!$P$2:$P$265)</f>
        <v>11.483682910777199</v>
      </c>
      <c r="F74">
        <f>_xlfn.XLOOKUP(D74,[1]nairu_estimates_v6!$A$2:$A$265,[1]nairu_estimates_v6!$V$2:$V$265)</f>
        <v>74.873034417481307</v>
      </c>
      <c r="G74">
        <v>20935421.689233802</v>
      </c>
      <c r="H74">
        <f t="shared" si="43"/>
        <v>0</v>
      </c>
      <c r="I74">
        <f t="shared" si="44"/>
        <v>0</v>
      </c>
      <c r="J74">
        <f t="shared" si="47"/>
        <v>0</v>
      </c>
      <c r="L74">
        <v>3.4526836127042798E-2</v>
      </c>
      <c r="M74">
        <v>75.587800000000001</v>
      </c>
      <c r="N74">
        <f t="shared" si="48"/>
        <v>0</v>
      </c>
      <c r="O74">
        <v>18174262.3149895</v>
      </c>
      <c r="Q74">
        <f t="shared" si="73"/>
        <v>2021</v>
      </c>
      <c r="R74">
        <f t="shared" si="74"/>
        <v>6</v>
      </c>
      <c r="S74" s="9">
        <f t="shared" si="75"/>
        <v>44348</v>
      </c>
      <c r="T74" s="13">
        <v>216740.04269999999</v>
      </c>
      <c r="U74" s="14">
        <v>226642.77931678647</v>
      </c>
      <c r="V74" s="32">
        <f t="shared" si="49"/>
        <v>-4.3693148516084301E-2</v>
      </c>
      <c r="W74" s="41">
        <f t="shared" si="50"/>
        <v>187.27697171612516</v>
      </c>
      <c r="X74" s="15">
        <f t="shared" si="76"/>
        <v>179.09425117728998</v>
      </c>
      <c r="Y74" s="17">
        <v>23469000.688900184</v>
      </c>
      <c r="Z74">
        <v>13.027046442128869</v>
      </c>
      <c r="AA74" s="4">
        <f t="shared" si="51"/>
        <v>20411683.069653615</v>
      </c>
      <c r="AB74" s="4">
        <v>20090297.572343599</v>
      </c>
      <c r="AC74" s="4">
        <v>48</v>
      </c>
      <c r="AD74" s="14">
        <f t="shared" si="52"/>
        <v>44481139745.38916</v>
      </c>
      <c r="AE74" s="14">
        <f t="shared" si="53"/>
        <v>43780776469.651169</v>
      </c>
      <c r="AF74" s="14">
        <f t="shared" si="77"/>
        <v>123.59682963899242</v>
      </c>
      <c r="AG74" s="14">
        <f t="shared" si="54"/>
        <v>121.65077607624018</v>
      </c>
      <c r="AH74" s="14">
        <f t="shared" si="55"/>
        <v>2.6383000000000001</v>
      </c>
      <c r="AI74" s="14">
        <f t="shared" si="78"/>
        <v>117.27862731152206</v>
      </c>
      <c r="AJ74" s="14">
        <f t="shared" si="56"/>
        <v>144.95266520117076</v>
      </c>
      <c r="AK74" s="15">
        <f t="shared" si="57"/>
        <v>142.67036029602795</v>
      </c>
      <c r="AL74" s="22">
        <v>78.468127733985924</v>
      </c>
      <c r="AM74">
        <v>80.765100000000004</v>
      </c>
      <c r="AN74" s="14">
        <v>41077.198941674898</v>
      </c>
      <c r="AO74" s="3">
        <f t="shared" ref="AO74:AO96" si="81">AN74/T74</f>
        <v>0.18952288847950338</v>
      </c>
      <c r="AP74" s="32">
        <f t="shared" si="58"/>
        <v>9.3035376053745011E-3</v>
      </c>
      <c r="AQ74" s="14">
        <f t="shared" si="79"/>
        <v>16.73266529331622</v>
      </c>
      <c r="AR74" s="4">
        <f t="shared" si="40"/>
        <v>3626638.5901581654</v>
      </c>
      <c r="AS74" s="4">
        <f t="shared" si="45"/>
        <v>2845755.4013753356</v>
      </c>
      <c r="AT74" s="4">
        <f t="shared" si="59"/>
        <v>2929058.2839798327</v>
      </c>
      <c r="AU74" s="4">
        <f t="shared" si="60"/>
        <v>121.69011203792877</v>
      </c>
      <c r="AV74" s="24">
        <f t="shared" si="61"/>
        <v>125.25230754929437</v>
      </c>
      <c r="AW74" s="22">
        <v>102305</v>
      </c>
      <c r="AX74">
        <v>30355</v>
      </c>
      <c r="AY74">
        <v>91666</v>
      </c>
      <c r="AZ74">
        <v>48350</v>
      </c>
      <c r="BA74">
        <f t="shared" si="62"/>
        <v>0.52742420258698464</v>
      </c>
      <c r="BB74">
        <f t="shared" si="63"/>
        <v>0.33617186697765844</v>
      </c>
      <c r="BC74">
        <f t="shared" si="64"/>
        <v>0.66382813302234156</v>
      </c>
      <c r="BD74" s="21">
        <f t="shared" si="65"/>
        <v>0.3335458443561336</v>
      </c>
      <c r="BE74" s="4">
        <f t="shared" si="46"/>
        <v>1.3110197834914601</v>
      </c>
      <c r="BF74" s="31">
        <f t="shared" si="80"/>
        <v>-3.7522381053608056E-2</v>
      </c>
      <c r="BG74" s="4">
        <f t="shared" si="66"/>
        <v>179.26506694696832</v>
      </c>
      <c r="BH74" s="19">
        <f t="shared" si="67"/>
        <v>-9.5286701747010483E-4</v>
      </c>
      <c r="BJ74" s="1">
        <v>44348</v>
      </c>
      <c r="BK74" s="42">
        <v>179.09425117728998</v>
      </c>
      <c r="BL74" s="42">
        <v>187.27697171612516</v>
      </c>
      <c r="BM74" s="42">
        <v>179.26506694696832</v>
      </c>
      <c r="BN74" s="43">
        <f t="shared" si="68"/>
        <v>-4.3693148516084301E-2</v>
      </c>
      <c r="BO74" s="43">
        <f t="shared" si="69"/>
        <v>-9.5286701747010483E-4</v>
      </c>
    </row>
    <row r="75" spans="2:67" x14ac:dyDescent="0.3">
      <c r="B75">
        <f t="shared" si="70"/>
        <v>2009</v>
      </c>
      <c r="C75">
        <f t="shared" si="71"/>
        <v>11</v>
      </c>
      <c r="D75" s="1">
        <f t="shared" si="72"/>
        <v>40118</v>
      </c>
      <c r="E75">
        <f>_xlfn.XLOOKUP(D75,[1]nairu_estimates_v6!$A$2:$A$265,[1]nairu_estimates_v6!$P$2:$P$265)</f>
        <v>11.506773042316</v>
      </c>
      <c r="F75">
        <f>_xlfn.XLOOKUP(D75,[1]nairu_estimates_v6!$A$2:$A$265,[1]nairu_estimates_v6!$V$2:$V$265)</f>
        <v>74.915030548780393</v>
      </c>
      <c r="G75">
        <v>20852754.724190872</v>
      </c>
      <c r="H75">
        <f t="shared" si="43"/>
        <v>0</v>
      </c>
      <c r="I75">
        <f t="shared" si="44"/>
        <v>0</v>
      </c>
      <c r="J75">
        <f t="shared" si="47"/>
        <v>0</v>
      </c>
      <c r="L75">
        <v>3.4526836127042798E-2</v>
      </c>
      <c r="M75">
        <v>72.738399999999999</v>
      </c>
      <c r="N75">
        <f t="shared" si="48"/>
        <v>0</v>
      </c>
      <c r="O75">
        <v>18231264.159799799</v>
      </c>
      <c r="Q75">
        <f t="shared" si="73"/>
        <v>2021</v>
      </c>
      <c r="R75">
        <f t="shared" si="74"/>
        <v>9</v>
      </c>
      <c r="S75" s="9">
        <f t="shared" si="75"/>
        <v>44440</v>
      </c>
      <c r="T75" s="13">
        <v>228413.18700000001</v>
      </c>
      <c r="U75" s="14">
        <v>228510.81873168368</v>
      </c>
      <c r="V75" s="32">
        <f t="shared" si="49"/>
        <v>-4.2725211972705068E-4</v>
      </c>
      <c r="W75" s="41">
        <f t="shared" si="50"/>
        <v>188.82054952488176</v>
      </c>
      <c r="X75" s="15">
        <f t="shared" si="76"/>
        <v>188.73987554484924</v>
      </c>
      <c r="Y75" s="17">
        <v>23625301.38027991</v>
      </c>
      <c r="Z75">
        <v>13.614414819822768</v>
      </c>
      <c r="AA75" s="4">
        <f t="shared" si="51"/>
        <v>20408854.847935289</v>
      </c>
      <c r="AB75" s="4">
        <v>20606456.609893899</v>
      </c>
      <c r="AC75" s="4">
        <v>48</v>
      </c>
      <c r="AD75" s="14">
        <f t="shared" si="52"/>
        <v>44474976484.620583</v>
      </c>
      <c r="AE75" s="14">
        <f t="shared" si="53"/>
        <v>44905590244.280785</v>
      </c>
      <c r="AF75" s="14">
        <f t="shared" si="77"/>
        <v>123.57970418996851</v>
      </c>
      <c r="AG75" s="14">
        <f t="shared" si="54"/>
        <v>124.7762224401207</v>
      </c>
      <c r="AH75" s="14">
        <f t="shared" si="55"/>
        <v>2.6383000000000001</v>
      </c>
      <c r="AI75" s="14">
        <f t="shared" si="78"/>
        <v>117.27862731152206</v>
      </c>
      <c r="AJ75" s="14">
        <f t="shared" si="56"/>
        <v>144.93258070963458</v>
      </c>
      <c r="AK75" s="15">
        <f t="shared" si="57"/>
        <v>146.33584088894492</v>
      </c>
      <c r="AL75" s="22">
        <v>78.291583741918046</v>
      </c>
      <c r="AM75">
        <v>81.700166666666675</v>
      </c>
      <c r="AN75" s="14">
        <v>42042.8274835919</v>
      </c>
      <c r="AO75" s="3">
        <f t="shared" si="81"/>
        <v>0.18406479956690022</v>
      </c>
      <c r="AP75" s="32">
        <f t="shared" si="58"/>
        <v>9.3035376053745011E-3</v>
      </c>
      <c r="AQ75" s="14">
        <f t="shared" si="79"/>
        <v>15.909655954300053</v>
      </c>
      <c r="AR75" s="4">
        <f t="shared" si="40"/>
        <v>3633975.2205952015</v>
      </c>
      <c r="AS75" s="4">
        <f t="shared" si="45"/>
        <v>2845096.7529928433</v>
      </c>
      <c r="AT75" s="4">
        <f t="shared" si="59"/>
        <v>2968963.8118516477</v>
      </c>
      <c r="AU75" s="4">
        <f t="shared" si="60"/>
        <v>121.66194693441341</v>
      </c>
      <c r="AV75" s="24">
        <f t="shared" si="61"/>
        <v>126.95874660421347</v>
      </c>
      <c r="AW75" s="22">
        <v>100424</v>
      </c>
      <c r="AX75">
        <v>38581</v>
      </c>
      <c r="AY75">
        <v>104983</v>
      </c>
      <c r="AZ75">
        <v>64954</v>
      </c>
      <c r="BA75">
        <f t="shared" si="62"/>
        <v>0.48890252036201298</v>
      </c>
      <c r="BB75">
        <f t="shared" si="63"/>
        <v>0.33981459303040701</v>
      </c>
      <c r="BC75">
        <f t="shared" si="64"/>
        <v>0.66018540696959294</v>
      </c>
      <c r="BD75" s="21">
        <f t="shared" si="65"/>
        <v>0.3335458443561336</v>
      </c>
      <c r="BE75" s="4">
        <f t="shared" si="46"/>
        <v>1.3523489245938511</v>
      </c>
      <c r="BF75" s="31">
        <f t="shared" si="80"/>
        <v>3.152442215046114E-2</v>
      </c>
      <c r="BG75" s="4">
        <f t="shared" si="66"/>
        <v>184.88494330421398</v>
      </c>
      <c r="BH75" s="19">
        <f t="shared" si="67"/>
        <v>2.0850439044634683E-2</v>
      </c>
      <c r="BJ75" s="1">
        <v>44440</v>
      </c>
      <c r="BK75" s="42">
        <v>188.73987554484924</v>
      </c>
      <c r="BL75" s="42">
        <v>188.82054952488176</v>
      </c>
      <c r="BM75" s="42">
        <v>184.88494330421398</v>
      </c>
      <c r="BN75" s="43">
        <f t="shared" si="68"/>
        <v>-4.2725211972693966E-4</v>
      </c>
      <c r="BO75" s="43">
        <f t="shared" si="69"/>
        <v>2.0850439044634683E-2</v>
      </c>
    </row>
    <row r="76" spans="2:67" x14ac:dyDescent="0.3">
      <c r="B76">
        <f t="shared" si="70"/>
        <v>2009</v>
      </c>
      <c r="C76">
        <f t="shared" si="71"/>
        <v>12</v>
      </c>
      <c r="D76" s="1">
        <f t="shared" si="72"/>
        <v>40148</v>
      </c>
      <c r="E76">
        <f>_xlfn.XLOOKUP(D76,[1]nairu_estimates_v6!$A$2:$A$265,[1]nairu_estimates_v6!$P$2:$P$265)</f>
        <v>11.535131591012901</v>
      </c>
      <c r="F76">
        <f>_xlfn.XLOOKUP(D76,[1]nairu_estimates_v6!$A$2:$A$265,[1]nairu_estimates_v6!$V$2:$V$265)</f>
        <v>75.102709565862597</v>
      </c>
      <c r="G76">
        <v>20956001.563940223</v>
      </c>
      <c r="H76">
        <f t="shared" si="43"/>
        <v>11.508529181368701</v>
      </c>
      <c r="I76">
        <f t="shared" si="44"/>
        <v>74.963591510708099</v>
      </c>
      <c r="J76">
        <f t="shared" si="47"/>
        <v>20914725.992454965</v>
      </c>
      <c r="L76">
        <v>3.4526836127042798E-2</v>
      </c>
      <c r="M76">
        <v>75.2</v>
      </c>
      <c r="N76">
        <f t="shared" si="48"/>
        <v>74.508733333333339</v>
      </c>
      <c r="O76">
        <v>18412802.273927003</v>
      </c>
      <c r="Q76">
        <f t="shared" si="73"/>
        <v>2021</v>
      </c>
      <c r="R76">
        <f t="shared" si="74"/>
        <v>12</v>
      </c>
      <c r="S76" s="9">
        <f t="shared" si="75"/>
        <v>44531</v>
      </c>
      <c r="T76" s="13">
        <v>239285.8872</v>
      </c>
      <c r="U76" s="14">
        <v>230427.63279139143</v>
      </c>
      <c r="V76" s="32">
        <f t="shared" si="49"/>
        <v>3.8442674176269565E-2</v>
      </c>
      <c r="W76" s="41">
        <f t="shared" si="50"/>
        <v>190.40443026234485</v>
      </c>
      <c r="X76" s="15">
        <f t="shared" si="76"/>
        <v>197.72408573663844</v>
      </c>
      <c r="Y76" s="17">
        <v>24026684.34118782</v>
      </c>
      <c r="Z76">
        <v>14.091686230524301</v>
      </c>
      <c r="AA76" s="4">
        <f t="shared" si="51"/>
        <v>20640919.372229118</v>
      </c>
      <c r="AB76" s="4">
        <v>21242019.588779896</v>
      </c>
      <c r="AC76" s="4">
        <v>48</v>
      </c>
      <c r="AD76" s="14">
        <f t="shared" si="52"/>
        <v>44980691495.961693</v>
      </c>
      <c r="AE76" s="14">
        <f t="shared" si="53"/>
        <v>46290609087.869148</v>
      </c>
      <c r="AF76" s="14">
        <f t="shared" si="77"/>
        <v>124.98490136927612</v>
      </c>
      <c r="AG76" s="14">
        <f t="shared" si="54"/>
        <v>128.6246835865222</v>
      </c>
      <c r="AH76" s="14">
        <f t="shared" si="55"/>
        <v>2.6383000000000001</v>
      </c>
      <c r="AI76" s="14">
        <f t="shared" si="78"/>
        <v>117.27862731152206</v>
      </c>
      <c r="AJ76" s="14">
        <f t="shared" si="56"/>
        <v>146.58057667254675</v>
      </c>
      <c r="AK76" s="15">
        <f t="shared" si="57"/>
        <v>150.84926329406187</v>
      </c>
      <c r="AL76" s="22">
        <v>79.446294186554496</v>
      </c>
      <c r="AM76">
        <v>80.142233333333323</v>
      </c>
      <c r="AN76" s="14">
        <v>44325.146535198401</v>
      </c>
      <c r="AO76" s="3">
        <f t="shared" si="81"/>
        <v>0.18523928449716948</v>
      </c>
      <c r="AP76" s="32">
        <f t="shared" si="58"/>
        <v>9.3035376053745011E-3</v>
      </c>
      <c r="AQ76" s="14">
        <f t="shared" si="79"/>
        <v>15.221161872838554</v>
      </c>
      <c r="AR76" s="4">
        <f t="shared" si="40"/>
        <v>3642209.2229569871</v>
      </c>
      <c r="AS76" s="4">
        <f t="shared" si="45"/>
        <v>2893600.2541602282</v>
      </c>
      <c r="AT76" s="4">
        <f t="shared" si="59"/>
        <v>2918947.8139503752</v>
      </c>
      <c r="AU76" s="4">
        <f t="shared" si="60"/>
        <v>123.73605228037472</v>
      </c>
      <c r="AV76" s="24">
        <f t="shared" si="61"/>
        <v>124.81996391566858</v>
      </c>
      <c r="AW76" s="22">
        <v>113103</v>
      </c>
      <c r="AX76">
        <v>35824</v>
      </c>
      <c r="AY76">
        <v>120230</v>
      </c>
      <c r="AZ76">
        <v>68117</v>
      </c>
      <c r="BA76">
        <f t="shared" si="62"/>
        <v>0.48472783532547903</v>
      </c>
      <c r="BB76">
        <f t="shared" si="63"/>
        <v>0.35647574375730118</v>
      </c>
      <c r="BC76">
        <f t="shared" si="64"/>
        <v>0.64352425624269882</v>
      </c>
      <c r="BD76" s="21">
        <f t="shared" si="65"/>
        <v>0.3335458443561336</v>
      </c>
      <c r="BE76" s="4">
        <f t="shared" si="46"/>
        <v>1.3962191075316954</v>
      </c>
      <c r="BF76" s="31">
        <f t="shared" si="80"/>
        <v>3.2439988038604595E-2</v>
      </c>
      <c r="BG76" s="4">
        <f t="shared" si="66"/>
        <v>193.41388263957563</v>
      </c>
      <c r="BH76" s="19">
        <f t="shared" si="67"/>
        <v>2.2284869308449862E-2</v>
      </c>
      <c r="BJ76" s="1">
        <v>44531</v>
      </c>
      <c r="BK76" s="42">
        <v>197.72408573663844</v>
      </c>
      <c r="BL76" s="42">
        <v>190.40443026234485</v>
      </c>
      <c r="BM76" s="42">
        <v>193.41388263957563</v>
      </c>
      <c r="BN76" s="43">
        <f t="shared" si="68"/>
        <v>3.8442674176269787E-2</v>
      </c>
      <c r="BO76" s="43">
        <f t="shared" si="69"/>
        <v>2.2284869308449862E-2</v>
      </c>
    </row>
    <row r="77" spans="2:67" x14ac:dyDescent="0.3">
      <c r="B77">
        <f t="shared" si="70"/>
        <v>2010</v>
      </c>
      <c r="C77">
        <f t="shared" si="71"/>
        <v>1</v>
      </c>
      <c r="D77" s="1">
        <f t="shared" si="72"/>
        <v>40179</v>
      </c>
      <c r="E77">
        <f>_xlfn.XLOOKUP(D77,[1]nairu_estimates_v6!$A$2:$A$265,[1]nairu_estimates_v6!$P$2:$P$265)</f>
        <v>11.577971043913999</v>
      </c>
      <c r="F77">
        <f>_xlfn.XLOOKUP(D77,[1]nairu_estimates_v6!$A$2:$A$265,[1]nairu_estimates_v6!$V$2:$V$265)</f>
        <v>75.135941171193494</v>
      </c>
      <c r="G77">
        <v>20905082.003830791</v>
      </c>
      <c r="H77">
        <f t="shared" si="43"/>
        <v>0</v>
      </c>
      <c r="I77">
        <f t="shared" si="44"/>
        <v>0</v>
      </c>
      <c r="J77">
        <f t="shared" si="47"/>
        <v>0</v>
      </c>
      <c r="K77">
        <v>2.3860000000000001</v>
      </c>
      <c r="L77">
        <v>3.4942641854286201E-2</v>
      </c>
      <c r="M77">
        <v>75.589100000000002</v>
      </c>
      <c r="N77">
        <f t="shared" si="48"/>
        <v>0</v>
      </c>
      <c r="O77">
        <v>18320435.199985001</v>
      </c>
      <c r="Q77">
        <f t="shared" si="73"/>
        <v>2022</v>
      </c>
      <c r="R77">
        <f t="shared" si="74"/>
        <v>3</v>
      </c>
      <c r="S77" s="9">
        <f t="shared" si="75"/>
        <v>44621</v>
      </c>
      <c r="T77" s="13">
        <v>239550.09830000001</v>
      </c>
      <c r="U77" s="14">
        <v>232366.44128649108</v>
      </c>
      <c r="V77" s="32">
        <f t="shared" si="49"/>
        <v>3.0915208640872605E-2</v>
      </c>
      <c r="W77" s="41">
        <f t="shared" si="50"/>
        <v>192.00648520005041</v>
      </c>
      <c r="X77" s="15">
        <f t="shared" si="76"/>
        <v>197.94240575041056</v>
      </c>
      <c r="Y77" s="17">
        <v>24627209.563265163</v>
      </c>
      <c r="Z77">
        <v>14.476856080297333</v>
      </c>
      <c r="AA77" s="4">
        <f t="shared" si="51"/>
        <v>21061963.878198046</v>
      </c>
      <c r="AB77" s="4">
        <v>21767068.028074902</v>
      </c>
      <c r="AC77" s="4">
        <v>48</v>
      </c>
      <c r="AD77" s="14">
        <f t="shared" si="52"/>
        <v>45898231683.369186</v>
      </c>
      <c r="AE77" s="14">
        <f t="shared" si="53"/>
        <v>47434794646.780823</v>
      </c>
      <c r="AF77" s="14">
        <f t="shared" si="77"/>
        <v>127.53441019209555</v>
      </c>
      <c r="AG77" s="14">
        <f t="shared" si="54"/>
        <v>131.80395705859775</v>
      </c>
      <c r="AH77" s="14">
        <f t="shared" si="55"/>
        <v>2.6600999999999999</v>
      </c>
      <c r="AI77" s="14">
        <f t="shared" si="78"/>
        <v>118.24768847795164</v>
      </c>
      <c r="AJ77" s="14">
        <f t="shared" si="56"/>
        <v>150.80649206614214</v>
      </c>
      <c r="AK77" s="15">
        <f t="shared" si="57"/>
        <v>155.85513254426382</v>
      </c>
      <c r="AL77" s="22">
        <v>79.799491685662332</v>
      </c>
      <c r="AM77">
        <v>81.180199999999999</v>
      </c>
      <c r="AN77" s="14">
        <v>48038.940896710097</v>
      </c>
      <c r="AO77" s="3">
        <f t="shared" si="81"/>
        <v>0.20053818068798554</v>
      </c>
      <c r="AP77" s="32">
        <f t="shared" si="58"/>
        <v>9.3436759623100052E-3</v>
      </c>
      <c r="AQ77" s="14">
        <f t="shared" si="79"/>
        <v>15.247954248156377</v>
      </c>
      <c r="AR77" s="4">
        <f t="shared" si="40"/>
        <v>3652648.9390197629</v>
      </c>
      <c r="AS77" s="4">
        <f t="shared" si="45"/>
        <v>2914795.2863995093</v>
      </c>
      <c r="AT77" s="4">
        <f t="shared" si="59"/>
        <v>2965227.7139941216</v>
      </c>
      <c r="AU77" s="4">
        <f t="shared" si="60"/>
        <v>124.64239364991026</v>
      </c>
      <c r="AV77" s="24">
        <f t="shared" si="61"/>
        <v>126.79898369323128</v>
      </c>
      <c r="AW77" s="22">
        <v>100446</v>
      </c>
      <c r="AX77">
        <v>56229</v>
      </c>
      <c r="AY77">
        <v>108871</v>
      </c>
      <c r="AZ77">
        <v>71711</v>
      </c>
      <c r="BA77">
        <f t="shared" si="62"/>
        <v>0.47987502209567306</v>
      </c>
      <c r="BB77">
        <f t="shared" si="63"/>
        <v>0.32281316622041945</v>
      </c>
      <c r="BC77">
        <f t="shared" si="64"/>
        <v>0.67718683377958055</v>
      </c>
      <c r="BD77" s="21">
        <f t="shared" si="65"/>
        <v>0.3335458443561336</v>
      </c>
      <c r="BE77" s="4">
        <f t="shared" si="46"/>
        <v>1.3605209165479535</v>
      </c>
      <c r="BF77" s="31">
        <f t="shared" si="80"/>
        <v>-2.5567757088535314E-2</v>
      </c>
      <c r="BG77" s="4">
        <f t="shared" si="66"/>
        <v>192.54086663160399</v>
      </c>
      <c r="BH77" s="19">
        <f t="shared" si="67"/>
        <v>2.8053987775704448E-2</v>
      </c>
      <c r="BJ77" s="1">
        <v>44621</v>
      </c>
      <c r="BK77" s="42">
        <v>197.94240575041056</v>
      </c>
      <c r="BL77" s="42">
        <v>192.00648520005041</v>
      </c>
      <c r="BM77" s="42">
        <v>192.54086663160399</v>
      </c>
      <c r="BN77" s="43">
        <f t="shared" si="68"/>
        <v>3.0915208640872383E-2</v>
      </c>
      <c r="BO77" s="43">
        <f t="shared" si="69"/>
        <v>2.8053987775704448E-2</v>
      </c>
    </row>
    <row r="78" spans="2:67" x14ac:dyDescent="0.3">
      <c r="B78">
        <f t="shared" si="70"/>
        <v>2010</v>
      </c>
      <c r="C78">
        <f t="shared" si="71"/>
        <v>2</v>
      </c>
      <c r="D78" s="1">
        <f t="shared" si="72"/>
        <v>40210</v>
      </c>
      <c r="E78">
        <f>_xlfn.XLOOKUP(D78,[1]nairu_estimates_v6!$A$2:$A$265,[1]nairu_estimates_v6!$P$2:$P$265)</f>
        <v>11.611673396553799</v>
      </c>
      <c r="F78">
        <f>_xlfn.XLOOKUP(D78,[1]nairu_estimates_v6!$A$2:$A$265,[1]nairu_estimates_v6!$V$2:$V$265)</f>
        <v>74.836197718587997</v>
      </c>
      <c r="G78">
        <v>20874702.010382861</v>
      </c>
      <c r="H78">
        <f t="shared" si="43"/>
        <v>0</v>
      </c>
      <c r="I78">
        <f t="shared" si="44"/>
        <v>0</v>
      </c>
      <c r="J78">
        <f t="shared" si="47"/>
        <v>0</v>
      </c>
      <c r="L78">
        <v>3.4942641854286201E-2</v>
      </c>
      <c r="M78">
        <v>76.125100000000003</v>
      </c>
      <c r="N78">
        <f t="shared" si="48"/>
        <v>0</v>
      </c>
      <c r="O78">
        <v>18486699.470701098</v>
      </c>
      <c r="Q78">
        <f t="shared" si="73"/>
        <v>2022</v>
      </c>
      <c r="R78">
        <f t="shared" si="74"/>
        <v>6</v>
      </c>
      <c r="S78" s="9">
        <f t="shared" si="75"/>
        <v>44713</v>
      </c>
      <c r="T78" s="13">
        <v>243436.201</v>
      </c>
      <c r="U78" s="14">
        <v>234306.00041656944</v>
      </c>
      <c r="V78" s="32">
        <f t="shared" si="49"/>
        <v>3.8966994303168079E-2</v>
      </c>
      <c r="W78" s="41">
        <f t="shared" si="50"/>
        <v>193.60916039420573</v>
      </c>
      <c r="X78" s="15">
        <f t="shared" si="76"/>
        <v>201.15352744432789</v>
      </c>
      <c r="Y78" s="17">
        <v>24780285.006777793</v>
      </c>
      <c r="Z78">
        <v>14.672944905016768</v>
      </c>
      <c r="AA78" s="4">
        <f t="shared" si="51"/>
        <v>21144287.440427154</v>
      </c>
      <c r="AB78" s="4">
        <v>22049596.989410397</v>
      </c>
      <c r="AC78" s="4">
        <v>48</v>
      </c>
      <c r="AD78" s="14">
        <f t="shared" si="52"/>
        <v>46077631190.178856</v>
      </c>
      <c r="AE78" s="14">
        <f t="shared" si="53"/>
        <v>48050481759.323135</v>
      </c>
      <c r="AF78" s="14">
        <f t="shared" si="77"/>
        <v>128.03289585157717</v>
      </c>
      <c r="AG78" s="14">
        <f t="shared" si="54"/>
        <v>133.51472651269438</v>
      </c>
      <c r="AH78" s="14">
        <f t="shared" si="55"/>
        <v>2.6600999999999999</v>
      </c>
      <c r="AI78" s="14">
        <f t="shared" si="78"/>
        <v>118.24768847795164</v>
      </c>
      <c r="AJ78" s="14">
        <f t="shared" si="56"/>
        <v>151.39593983587324</v>
      </c>
      <c r="AK78" s="15">
        <f t="shared" si="57"/>
        <v>157.87807787891995</v>
      </c>
      <c r="AL78" s="22">
        <v>80.148011868754836</v>
      </c>
      <c r="AM78">
        <v>81.953166666666661</v>
      </c>
      <c r="AN78" s="14">
        <v>46773.2325425776</v>
      </c>
      <c r="AO78" s="3">
        <f t="shared" si="81"/>
        <v>0.1921375389134404</v>
      </c>
      <c r="AP78" s="32">
        <f t="shared" si="58"/>
        <v>9.3436759623100052E-3</v>
      </c>
      <c r="AQ78" s="14">
        <f t="shared" si="79"/>
        <v>15.061682267323079</v>
      </c>
      <c r="AR78" s="4">
        <f t="shared" si="40"/>
        <v>3666558.7118261969</v>
      </c>
      <c r="AS78" s="4">
        <f t="shared" si="45"/>
        <v>2938673.9115293245</v>
      </c>
      <c r="AT78" s="4">
        <f t="shared" si="59"/>
        <v>3004860.9720341093</v>
      </c>
      <c r="AU78" s="4">
        <f t="shared" si="60"/>
        <v>125.66349074277865</v>
      </c>
      <c r="AV78" s="24">
        <f t="shared" si="61"/>
        <v>128.49377995329755</v>
      </c>
      <c r="AW78" s="22">
        <v>119006</v>
      </c>
      <c r="AX78">
        <v>38613</v>
      </c>
      <c r="AY78">
        <v>127727</v>
      </c>
      <c r="AZ78">
        <v>68748</v>
      </c>
      <c r="BA78">
        <f t="shared" si="62"/>
        <v>0.48232704988793557</v>
      </c>
      <c r="BB78">
        <f t="shared" si="63"/>
        <v>0.36071495139708665</v>
      </c>
      <c r="BC78">
        <f t="shared" si="64"/>
        <v>0.63928504860291335</v>
      </c>
      <c r="BD78" s="21">
        <f t="shared" si="65"/>
        <v>0.3335458443561336</v>
      </c>
      <c r="BE78" s="4">
        <f t="shared" si="46"/>
        <v>1.3647027639177682</v>
      </c>
      <c r="BF78" s="31">
        <f t="shared" si="80"/>
        <v>3.0737104582156949E-3</v>
      </c>
      <c r="BG78" s="4">
        <f t="shared" si="66"/>
        <v>194.163117588223</v>
      </c>
      <c r="BH78" s="19">
        <f t="shared" si="67"/>
        <v>3.6002768924065176E-2</v>
      </c>
      <c r="BJ78" s="1">
        <v>44713</v>
      </c>
      <c r="BK78" s="42">
        <v>201.15352744432789</v>
      </c>
      <c r="BL78" s="42">
        <v>193.60916039420573</v>
      </c>
      <c r="BM78" s="42">
        <v>194.163117588223</v>
      </c>
      <c r="BN78" s="43">
        <f t="shared" si="68"/>
        <v>3.8966994303168079E-2</v>
      </c>
      <c r="BO78" s="43">
        <f t="shared" si="69"/>
        <v>3.6002768924065176E-2</v>
      </c>
    </row>
    <row r="79" spans="2:67" x14ac:dyDescent="0.3">
      <c r="B79">
        <f t="shared" si="70"/>
        <v>2010</v>
      </c>
      <c r="C79">
        <f t="shared" si="71"/>
        <v>3</v>
      </c>
      <c r="D79" s="1">
        <f t="shared" si="72"/>
        <v>40238</v>
      </c>
      <c r="E79">
        <f>_xlfn.XLOOKUP(D79,[1]nairu_estimates_v6!$A$2:$A$265,[1]nairu_estimates_v6!$P$2:$P$265)</f>
        <v>11.6427718107301</v>
      </c>
      <c r="F79">
        <f>_xlfn.XLOOKUP(D79,[1]nairu_estimates_v6!$A$2:$A$265,[1]nairu_estimates_v6!$V$2:$V$265)</f>
        <v>74.8939240953721</v>
      </c>
      <c r="G79">
        <v>20709817.904138159</v>
      </c>
      <c r="H79">
        <f t="shared" si="43"/>
        <v>11.610805417065967</v>
      </c>
      <c r="I79">
        <f t="shared" si="44"/>
        <v>74.95535432838453</v>
      </c>
      <c r="J79">
        <f t="shared" si="47"/>
        <v>20829867.30611727</v>
      </c>
      <c r="L79">
        <v>3.4942641854286201E-2</v>
      </c>
      <c r="M79">
        <v>77.2</v>
      </c>
      <c r="N79">
        <f t="shared" si="48"/>
        <v>76.304733333333331</v>
      </c>
      <c r="O79">
        <v>18228363.088932499</v>
      </c>
      <c r="Q79">
        <f t="shared" si="73"/>
        <v>2022</v>
      </c>
      <c r="R79">
        <f t="shared" si="74"/>
        <v>9</v>
      </c>
      <c r="S79" s="9">
        <f t="shared" si="75"/>
        <v>44805</v>
      </c>
      <c r="T79" s="13">
        <v>245182.76269999999</v>
      </c>
      <c r="U79" s="14">
        <v>236229.55616684674</v>
      </c>
      <c r="V79" s="32">
        <f t="shared" si="49"/>
        <v>3.7900450216439729E-2</v>
      </c>
      <c r="W79" s="41">
        <f t="shared" si="50"/>
        <v>195.19861185136227</v>
      </c>
      <c r="X79" s="15">
        <f t="shared" si="76"/>
        <v>202.59672712215297</v>
      </c>
      <c r="Y79" s="17">
        <v>24936192.861770023</v>
      </c>
      <c r="Z79">
        <v>14.443456453975934</v>
      </c>
      <c r="AA79" s="4">
        <f t="shared" si="51"/>
        <v>21334544.704500813</v>
      </c>
      <c r="AB79" s="4">
        <v>22298342.477814998</v>
      </c>
      <c r="AC79" s="4">
        <v>48</v>
      </c>
      <c r="AD79" s="14">
        <f t="shared" si="52"/>
        <v>46492239820.048172</v>
      </c>
      <c r="AE79" s="14">
        <f t="shared" si="53"/>
        <v>48592547927.654442</v>
      </c>
      <c r="AF79" s="14">
        <f t="shared" si="77"/>
        <v>129.1849416958639</v>
      </c>
      <c r="AG79" s="14">
        <f t="shared" si="54"/>
        <v>135.02093027104684</v>
      </c>
      <c r="AH79" s="14">
        <f t="shared" si="55"/>
        <v>2.6600999999999999</v>
      </c>
      <c r="AI79" s="14">
        <f t="shared" si="78"/>
        <v>118.24768847795164</v>
      </c>
      <c r="AJ79" s="14">
        <f t="shared" si="56"/>
        <v>152.75820741694861</v>
      </c>
      <c r="AK79" s="15">
        <f t="shared" si="57"/>
        <v>159.65912900693976</v>
      </c>
      <c r="AL79" s="22">
        <v>80.671511222911207</v>
      </c>
      <c r="AM79">
        <v>79.122066666666669</v>
      </c>
      <c r="AN79" s="14">
        <v>47955.817613838699</v>
      </c>
      <c r="AO79" s="3">
        <f t="shared" si="81"/>
        <v>0.19559212517935584</v>
      </c>
      <c r="AP79" s="32">
        <f t="shared" si="58"/>
        <v>9.3436759623100052E-3</v>
      </c>
      <c r="AQ79" s="14">
        <f t="shared" si="79"/>
        <v>15.005430101831077</v>
      </c>
      <c r="AR79" s="4">
        <f t="shared" si="40"/>
        <v>3679072.8078686856</v>
      </c>
      <c r="AS79" s="4">
        <f t="shared" si="45"/>
        <v>2967963.6330988612</v>
      </c>
      <c r="AT79" s="4">
        <f t="shared" si="59"/>
        <v>2910958.4397570668</v>
      </c>
      <c r="AU79" s="4">
        <f t="shared" si="60"/>
        <v>126.91597698865702</v>
      </c>
      <c r="AV79" s="24">
        <f t="shared" si="61"/>
        <v>124.47832252223515</v>
      </c>
      <c r="AW79" s="22">
        <v>113846</v>
      </c>
      <c r="AX79">
        <v>49499</v>
      </c>
      <c r="AY79">
        <v>131143</v>
      </c>
      <c r="AZ79">
        <v>90890</v>
      </c>
      <c r="BA79">
        <f t="shared" si="62"/>
        <v>0.46469841503087894</v>
      </c>
      <c r="BB79">
        <f t="shared" si="63"/>
        <v>0.34029705899143181</v>
      </c>
      <c r="BC79">
        <f t="shared" si="64"/>
        <v>0.65970294100856819</v>
      </c>
      <c r="BD79" s="21">
        <f t="shared" si="65"/>
        <v>0.3335458443561336</v>
      </c>
      <c r="BE79" s="4">
        <f t="shared" si="46"/>
        <v>1.378780030848864</v>
      </c>
      <c r="BF79" s="31">
        <f t="shared" si="80"/>
        <v>1.031526227050561E-2</v>
      </c>
      <c r="BG79" s="4">
        <f t="shared" si="66"/>
        <v>197.99444916236419</v>
      </c>
      <c r="BH79" s="19">
        <f t="shared" si="67"/>
        <v>2.3244479727887235E-2</v>
      </c>
      <c r="BJ79" s="1">
        <v>44805</v>
      </c>
      <c r="BK79" s="42">
        <v>202.59672712215297</v>
      </c>
      <c r="BL79" s="42">
        <v>195.19861185136227</v>
      </c>
      <c r="BM79" s="42">
        <v>197.99444916236419</v>
      </c>
      <c r="BN79" s="43">
        <f t="shared" si="68"/>
        <v>3.7900450216439729E-2</v>
      </c>
      <c r="BO79" s="43">
        <f t="shared" si="69"/>
        <v>2.3244479727887235E-2</v>
      </c>
    </row>
    <row r="80" spans="2:67" x14ac:dyDescent="0.3">
      <c r="B80">
        <f t="shared" si="70"/>
        <v>2010</v>
      </c>
      <c r="C80">
        <f t="shared" si="71"/>
        <v>4</v>
      </c>
      <c r="D80" s="1">
        <f t="shared" si="72"/>
        <v>40269</v>
      </c>
      <c r="E80">
        <f>_xlfn.XLOOKUP(D80,[1]nairu_estimates_v6!$A$2:$A$265,[1]nairu_estimates_v6!$P$2:$P$265)</f>
        <v>11.6773661374729</v>
      </c>
      <c r="F80">
        <f>_xlfn.XLOOKUP(D80,[1]nairu_estimates_v6!$A$2:$A$265,[1]nairu_estimates_v6!$V$2:$V$265)</f>
        <v>74.983230433520106</v>
      </c>
      <c r="G80">
        <v>21092997.030125327</v>
      </c>
      <c r="H80">
        <f t="shared" si="43"/>
        <v>0</v>
      </c>
      <c r="I80">
        <f t="shared" si="44"/>
        <v>0</v>
      </c>
      <c r="J80">
        <f t="shared" si="47"/>
        <v>0</v>
      </c>
      <c r="L80">
        <v>3.4942641854286201E-2</v>
      </c>
      <c r="M80">
        <v>76.2</v>
      </c>
      <c r="N80">
        <f t="shared" si="48"/>
        <v>0</v>
      </c>
      <c r="O80">
        <v>18507541.345748</v>
      </c>
      <c r="Q80">
        <f t="shared" si="73"/>
        <v>2022</v>
      </c>
      <c r="R80">
        <f t="shared" si="74"/>
        <v>12</v>
      </c>
      <c r="S80" s="9">
        <f t="shared" si="75"/>
        <v>44896</v>
      </c>
      <c r="T80" s="13">
        <v>244485.9381</v>
      </c>
      <c r="U80" s="14">
        <v>238126.06089790791</v>
      </c>
      <c r="V80" s="32">
        <f t="shared" si="49"/>
        <v>2.6708026740587476E-2</v>
      </c>
      <c r="W80" s="41">
        <f t="shared" si="50"/>
        <v>196.76571080747772</v>
      </c>
      <c r="X80" s="15">
        <f t="shared" si="76"/>
        <v>202.02093467335453</v>
      </c>
      <c r="Y80" s="17">
        <v>24910376.901520312</v>
      </c>
      <c r="Z80">
        <v>13.992173003218502</v>
      </c>
      <c r="AA80" s="4">
        <f t="shared" si="51"/>
        <v>21424873.869705811</v>
      </c>
      <c r="AB80" s="4">
        <v>22250973.162482101</v>
      </c>
      <c r="AC80" s="4">
        <v>48</v>
      </c>
      <c r="AD80" s="14">
        <f t="shared" si="52"/>
        <v>46689085136.8629</v>
      </c>
      <c r="AE80" s="14">
        <f t="shared" si="53"/>
        <v>48489320715.681</v>
      </c>
      <c r="AF80" s="14">
        <f t="shared" si="77"/>
        <v>129.73190288496215</v>
      </c>
      <c r="AG80" s="14">
        <f t="shared" si="54"/>
        <v>134.73409957818646</v>
      </c>
      <c r="AH80" s="14">
        <f t="shared" si="55"/>
        <v>2.6600999999999999</v>
      </c>
      <c r="AI80" s="14">
        <f t="shared" si="78"/>
        <v>118.24768847795164</v>
      </c>
      <c r="AJ80" s="14">
        <f t="shared" si="56"/>
        <v>153.40497637992883</v>
      </c>
      <c r="AK80" s="15">
        <f t="shared" si="57"/>
        <v>159.31995834278709</v>
      </c>
      <c r="AL80" s="22">
        <v>80.461490318403079</v>
      </c>
      <c r="AM80">
        <v>77.943266666666659</v>
      </c>
      <c r="AN80" s="14">
        <v>48217.008946873502</v>
      </c>
      <c r="AO80" s="3">
        <f t="shared" si="81"/>
        <v>0.19721792313123429</v>
      </c>
      <c r="AP80" s="32">
        <f t="shared" si="58"/>
        <v>9.3436759623100052E-3</v>
      </c>
      <c r="AQ80" s="14">
        <f t="shared" si="79"/>
        <v>15.10374212120813</v>
      </c>
      <c r="AR80" s="4">
        <f t="shared" ref="AR80:AR96" si="82">(1-AP79)*AR79+AO79*T79</f>
        <v>3692652.5613240534</v>
      </c>
      <c r="AS80" s="4">
        <f t="shared" si="45"/>
        <v>2971163.2831220166</v>
      </c>
      <c r="AT80" s="4">
        <f t="shared" si="59"/>
        <v>2878174.0329463035</v>
      </c>
      <c r="AU80" s="4">
        <f t="shared" si="60"/>
        <v>127.05280033250861</v>
      </c>
      <c r="AV80" s="24">
        <f t="shared" si="61"/>
        <v>123.07639664484921</v>
      </c>
      <c r="AW80" s="22">
        <v>126395</v>
      </c>
      <c r="AX80">
        <v>43424</v>
      </c>
      <c r="AY80">
        <v>141215</v>
      </c>
      <c r="AZ80">
        <v>83316</v>
      </c>
      <c r="BA80">
        <f t="shared" si="62"/>
        <v>0.47231045177683945</v>
      </c>
      <c r="BB80">
        <f t="shared" si="63"/>
        <v>0.35809560035501459</v>
      </c>
      <c r="BC80">
        <f t="shared" si="64"/>
        <v>0.64190439964498536</v>
      </c>
      <c r="BD80" s="21">
        <f t="shared" si="65"/>
        <v>0.3335458443561336</v>
      </c>
      <c r="BE80" s="4">
        <f t="shared" si="46"/>
        <v>1.3820226175489156</v>
      </c>
      <c r="BF80" s="31">
        <f t="shared" si="80"/>
        <v>2.3517795641812E-3</v>
      </c>
      <c r="BG80" s="4">
        <f t="shared" si="66"/>
        <v>199.09123230310735</v>
      </c>
      <c r="BH80" s="19">
        <f t="shared" si="67"/>
        <v>1.4715376143670911E-2</v>
      </c>
      <c r="BJ80" s="1">
        <v>44896</v>
      </c>
      <c r="BK80" s="42">
        <v>202.02093467335453</v>
      </c>
      <c r="BL80" s="42">
        <v>196.76571080747772</v>
      </c>
      <c r="BM80" s="42">
        <v>199.09123230310735</v>
      </c>
      <c r="BN80" s="43">
        <f t="shared" si="68"/>
        <v>2.6708026740587476E-2</v>
      </c>
      <c r="BO80" s="43">
        <f t="shared" si="69"/>
        <v>1.4715376143670911E-2</v>
      </c>
    </row>
    <row r="81" spans="2:67" x14ac:dyDescent="0.3">
      <c r="B81">
        <f t="shared" si="70"/>
        <v>2010</v>
      </c>
      <c r="C81">
        <f t="shared" si="71"/>
        <v>5</v>
      </c>
      <c r="D81" s="1">
        <f t="shared" si="72"/>
        <v>40299</v>
      </c>
      <c r="E81">
        <f>_xlfn.XLOOKUP(D81,[1]nairu_estimates_v6!$A$2:$A$265,[1]nairu_estimates_v6!$P$2:$P$265)</f>
        <v>11.714774631559701</v>
      </c>
      <c r="F81">
        <f>_xlfn.XLOOKUP(D81,[1]nairu_estimates_v6!$A$2:$A$265,[1]nairu_estimates_v6!$V$2:$V$265)</f>
        <v>75.128900900592896</v>
      </c>
      <c r="G81">
        <v>20877728.463608727</v>
      </c>
      <c r="H81">
        <f t="shared" si="43"/>
        <v>0</v>
      </c>
      <c r="I81">
        <f t="shared" si="44"/>
        <v>0</v>
      </c>
      <c r="J81">
        <f t="shared" si="47"/>
        <v>0</v>
      </c>
      <c r="L81">
        <v>3.4942641854286201E-2</v>
      </c>
      <c r="M81">
        <v>75.5</v>
      </c>
      <c r="N81">
        <f t="shared" si="48"/>
        <v>0</v>
      </c>
      <c r="O81">
        <v>18326349.8141899</v>
      </c>
      <c r="Q81">
        <f t="shared" si="73"/>
        <v>2023</v>
      </c>
      <c r="R81">
        <f t="shared" si="74"/>
        <v>3</v>
      </c>
      <c r="S81" s="9">
        <f t="shared" si="75"/>
        <v>44986</v>
      </c>
      <c r="T81" s="13">
        <v>246017.7267</v>
      </c>
      <c r="U81" s="14">
        <v>239990.06272442103</v>
      </c>
      <c r="V81" s="32">
        <f t="shared" si="49"/>
        <v>2.5116306513492948E-2</v>
      </c>
      <c r="W81" s="41">
        <f t="shared" si="50"/>
        <v>198.30595232055401</v>
      </c>
      <c r="X81" s="15">
        <f t="shared" si="76"/>
        <v>203.28666540248713</v>
      </c>
      <c r="Y81" s="17">
        <v>25136065.660947427</v>
      </c>
      <c r="Z81">
        <v>13.493370153639367</v>
      </c>
      <c r="AA81" s="4">
        <f t="shared" si="51"/>
        <v>21744363.279253956</v>
      </c>
      <c r="AB81" s="4">
        <v>22871134.087953303</v>
      </c>
      <c r="AC81" s="4">
        <v>48</v>
      </c>
      <c r="AD81" s="14">
        <f t="shared" si="52"/>
        <v>47385316458.150215</v>
      </c>
      <c r="AE81" s="14">
        <f t="shared" si="53"/>
        <v>49840775404.467842</v>
      </c>
      <c r="AF81" s="14">
        <f t="shared" si="77"/>
        <v>131.66647525651203</v>
      </c>
      <c r="AG81" s="14">
        <f t="shared" si="54"/>
        <v>138.48929820598508</v>
      </c>
      <c r="AH81" s="14">
        <f t="shared" si="55"/>
        <v>2.6825000000000001</v>
      </c>
      <c r="AI81" s="14">
        <f t="shared" si="78"/>
        <v>119.24342105263158</v>
      </c>
      <c r="AJ81" s="14">
        <f t="shared" si="56"/>
        <v>157.00360947528162</v>
      </c>
      <c r="AK81" s="15">
        <f>AG81*AI81/100</f>
        <v>165.13937697259735</v>
      </c>
      <c r="AL81" s="22">
        <v>79.704649967662732</v>
      </c>
      <c r="AM81">
        <v>78.819433333333336</v>
      </c>
      <c r="AN81" s="14">
        <v>45189.081162406103</v>
      </c>
      <c r="AO81" s="3">
        <f t="shared" si="81"/>
        <v>0.18368221578403074</v>
      </c>
      <c r="AP81" s="32">
        <f t="shared" si="58"/>
        <v>9.3715476331330816E-3</v>
      </c>
      <c r="AQ81" s="14">
        <f t="shared" si="79"/>
        <v>15.065445368561408</v>
      </c>
      <c r="AR81" s="4">
        <f t="shared" si="82"/>
        <v>3706366.6212965213</v>
      </c>
      <c r="AS81" s="4">
        <f t="shared" si="45"/>
        <v>2954146.5420226799</v>
      </c>
      <c r="AT81" s="4">
        <f t="shared" si="59"/>
        <v>2921337.1681617307</v>
      </c>
      <c r="AU81" s="4">
        <f t="shared" si="60"/>
        <v>126.3251309305994</v>
      </c>
      <c r="AV81" s="24">
        <f t="shared" si="61"/>
        <v>124.92213741291913</v>
      </c>
      <c r="AW81" s="22">
        <v>112870</v>
      </c>
      <c r="AX81">
        <v>64900</v>
      </c>
      <c r="AY81">
        <v>126664</v>
      </c>
      <c r="AZ81">
        <v>81998</v>
      </c>
      <c r="BA81">
        <f t="shared" si="62"/>
        <v>0.47120659280102201</v>
      </c>
      <c r="BB81">
        <f t="shared" si="63"/>
        <v>0.32777823782709509</v>
      </c>
      <c r="BC81">
        <f t="shared" si="64"/>
        <v>0.67222176217290497</v>
      </c>
      <c r="BD81" s="21">
        <f t="shared" si="65"/>
        <v>0.3335458443561336</v>
      </c>
      <c r="BE81" s="4">
        <f t="shared" si="46"/>
        <v>1.3511008091715049</v>
      </c>
      <c r="BF81" s="31">
        <f t="shared" si="80"/>
        <v>-2.2374314272983531E-2</v>
      </c>
      <c r="BG81" s="4">
        <f t="shared" si="66"/>
        <v>197.28952736369399</v>
      </c>
      <c r="BH81" s="19">
        <f t="shared" si="67"/>
        <v>3.0397650189194714E-2</v>
      </c>
      <c r="BJ81" s="1">
        <v>44986</v>
      </c>
      <c r="BK81" s="42">
        <v>203.28666540248713</v>
      </c>
      <c r="BL81" s="42">
        <v>198.30595232055401</v>
      </c>
      <c r="BM81" s="42">
        <v>197.28952736369399</v>
      </c>
      <c r="BN81" s="43">
        <f t="shared" si="68"/>
        <v>2.5116306513492725E-2</v>
      </c>
      <c r="BO81" s="43">
        <f t="shared" si="69"/>
        <v>3.0397650189194714E-2</v>
      </c>
    </row>
    <row r="82" spans="2:67" x14ac:dyDescent="0.3">
      <c r="B82">
        <f t="shared" si="70"/>
        <v>2010</v>
      </c>
      <c r="C82">
        <f t="shared" si="71"/>
        <v>6</v>
      </c>
      <c r="D82" s="1">
        <f t="shared" si="72"/>
        <v>40330</v>
      </c>
      <c r="E82">
        <f>_xlfn.XLOOKUP(D82,[1]nairu_estimates_v6!$A$2:$A$265,[1]nairu_estimates_v6!$P$2:$P$265)</f>
        <v>11.754419476284699</v>
      </c>
      <c r="F82">
        <f>_xlfn.XLOOKUP(D82,[1]nairu_estimates_v6!$A$2:$A$265,[1]nairu_estimates_v6!$V$2:$V$265)</f>
        <v>75.395090782481304</v>
      </c>
      <c r="G82">
        <v>21118989.986729253</v>
      </c>
      <c r="H82">
        <f t="shared" si="43"/>
        <v>11.715520081772434</v>
      </c>
      <c r="I82">
        <f t="shared" si="44"/>
        <v>75.169074038864764</v>
      </c>
      <c r="J82">
        <f t="shared" si="47"/>
        <v>21029905.160154436</v>
      </c>
      <c r="L82">
        <v>3.4942641854286201E-2</v>
      </c>
      <c r="M82">
        <v>77.599999999999994</v>
      </c>
      <c r="N82">
        <f t="shared" si="48"/>
        <v>76.433333333333323</v>
      </c>
      <c r="O82">
        <v>18534526.1093463</v>
      </c>
      <c r="Q82">
        <f t="shared" si="73"/>
        <v>2023</v>
      </c>
      <c r="R82">
        <f t="shared" si="74"/>
        <v>6</v>
      </c>
      <c r="S82" s="9">
        <f t="shared" si="75"/>
        <v>45078</v>
      </c>
      <c r="T82" s="13">
        <v>244468.86689999999</v>
      </c>
      <c r="U82" s="14">
        <v>241820.0846843055</v>
      </c>
      <c r="V82" s="32">
        <f t="shared" si="49"/>
        <v>1.095352447317377E-2</v>
      </c>
      <c r="W82" s="41">
        <f t="shared" si="50"/>
        <v>199.81811596350926</v>
      </c>
      <c r="X82" s="15">
        <f t="shared" si="76"/>
        <v>202.00682858689899</v>
      </c>
      <c r="Y82" s="17">
        <v>25362986.111261457</v>
      </c>
      <c r="Z82">
        <v>12.979279644827132</v>
      </c>
      <c r="AA82" s="4">
        <f t="shared" si="51"/>
        <v>22071053.217602167</v>
      </c>
      <c r="AB82" s="4">
        <v>23069710.619935699</v>
      </c>
      <c r="AC82" s="4">
        <v>48</v>
      </c>
      <c r="AD82" s="14">
        <f t="shared" si="52"/>
        <v>48097239171.798645</v>
      </c>
      <c r="AE82" s="14">
        <f t="shared" si="53"/>
        <v>50273513382.963882</v>
      </c>
      <c r="AF82" s="14">
        <f t="shared" si="77"/>
        <v>133.64464827228002</v>
      </c>
      <c r="AG82" s="14">
        <f t="shared" si="54"/>
        <v>139.69171888388692</v>
      </c>
      <c r="AH82" s="14">
        <f t="shared" si="55"/>
        <v>2.6825000000000001</v>
      </c>
      <c r="AI82" s="14">
        <f t="shared" si="78"/>
        <v>119.24342105263158</v>
      </c>
      <c r="AJ82" s="14">
        <f t="shared" si="56"/>
        <v>159.36245065362337</v>
      </c>
      <c r="AK82" s="15">
        <f t="shared" si="57"/>
        <v>166.57318452437173</v>
      </c>
      <c r="AL82" s="22">
        <v>79.254541423512137</v>
      </c>
      <c r="AM82">
        <v>78.969000000000008</v>
      </c>
      <c r="AN82" s="14">
        <v>41757.351869697603</v>
      </c>
      <c r="AO82" s="3">
        <f t="shared" si="81"/>
        <v>0.17080846489454402</v>
      </c>
      <c r="AP82" s="32">
        <f t="shared" si="58"/>
        <v>9.3715476331330816E-3</v>
      </c>
      <c r="AQ82" s="14">
        <f t="shared" si="79"/>
        <v>15.203659092680946</v>
      </c>
      <c r="AR82" s="4">
        <f t="shared" si="82"/>
        <v>3716821.3111215928</v>
      </c>
      <c r="AS82" s="4">
        <f t="shared" si="45"/>
        <v>2945749.6856607897</v>
      </c>
      <c r="AT82" s="4">
        <f t="shared" si="59"/>
        <v>2935136.621179611</v>
      </c>
      <c r="AU82" s="4">
        <f t="shared" si="60"/>
        <v>125.96606479619059</v>
      </c>
      <c r="AV82" s="24">
        <f t="shared" si="61"/>
        <v>125.51222923282621</v>
      </c>
      <c r="AW82" s="22">
        <v>135546</v>
      </c>
      <c r="AX82">
        <v>42433</v>
      </c>
      <c r="AY82">
        <v>130788</v>
      </c>
      <c r="AZ82">
        <v>73819</v>
      </c>
      <c r="BA82">
        <f t="shared" si="62"/>
        <v>0.50893239316046768</v>
      </c>
      <c r="BB82">
        <f t="shared" si="63"/>
        <v>0.34185255079903604</v>
      </c>
      <c r="BC82">
        <f t="shared" si="64"/>
        <v>0.65814744920096402</v>
      </c>
      <c r="BD82" s="21">
        <f t="shared" si="65"/>
        <v>0.3335458443561336</v>
      </c>
      <c r="BE82" s="3">
        <f t="shared" si="46"/>
        <v>1.3327850073469998</v>
      </c>
      <c r="BF82" s="31">
        <f t="shared" si="80"/>
        <v>-1.35562066872984E-2</v>
      </c>
      <c r="BG82" s="4">
        <f t="shared" si="66"/>
        <v>196.3723096758406</v>
      </c>
      <c r="BH82" s="19">
        <f t="shared" si="67"/>
        <v>2.8693041907789985E-2</v>
      </c>
      <c r="BJ82" s="1">
        <v>45078</v>
      </c>
      <c r="BK82" s="42">
        <v>202.00682858689899</v>
      </c>
      <c r="BL82" s="42">
        <v>199.81811596350926</v>
      </c>
      <c r="BM82" s="42">
        <v>196.3723096758406</v>
      </c>
      <c r="BN82" s="43">
        <f t="shared" si="68"/>
        <v>1.0953524473173548E-2</v>
      </c>
      <c r="BO82" s="43">
        <f t="shared" si="69"/>
        <v>2.8693041907789985E-2</v>
      </c>
    </row>
    <row r="83" spans="2:67" x14ac:dyDescent="0.3">
      <c r="B83">
        <f t="shared" si="70"/>
        <v>2010</v>
      </c>
      <c r="C83">
        <f t="shared" si="71"/>
        <v>7</v>
      </c>
      <c r="D83" s="1">
        <f t="shared" si="72"/>
        <v>40360</v>
      </c>
      <c r="E83">
        <f>_xlfn.XLOOKUP(D83,[1]nairu_estimates_v6!$A$2:$A$265,[1]nairu_estimates_v6!$P$2:$P$265)</f>
        <v>11.7918767094876</v>
      </c>
      <c r="F83">
        <f>_xlfn.XLOOKUP(D83,[1]nairu_estimates_v6!$A$2:$A$265,[1]nairu_estimates_v6!$V$2:$V$265)</f>
        <v>75.499670659685904</v>
      </c>
      <c r="G83">
        <v>21087131.226802129</v>
      </c>
      <c r="H83">
        <f t="shared" si="43"/>
        <v>0</v>
      </c>
      <c r="I83">
        <f t="shared" si="44"/>
        <v>0</v>
      </c>
      <c r="J83">
        <f t="shared" si="47"/>
        <v>0</v>
      </c>
      <c r="L83">
        <v>3.4942641854286201E-2</v>
      </c>
      <c r="M83">
        <v>77.7</v>
      </c>
      <c r="N83">
        <f t="shared" si="48"/>
        <v>0</v>
      </c>
      <c r="O83">
        <v>18521645.472634599</v>
      </c>
      <c r="Q83">
        <f t="shared" si="73"/>
        <v>2023</v>
      </c>
      <c r="R83">
        <f t="shared" si="74"/>
        <v>9</v>
      </c>
      <c r="S83" s="9">
        <f t="shared" si="75"/>
        <v>45170</v>
      </c>
      <c r="T83" s="13">
        <v>244178.59659999999</v>
      </c>
      <c r="U83" s="14">
        <v>243618.4171054654</v>
      </c>
      <c r="V83" s="32">
        <f t="shared" si="49"/>
        <v>2.2994135713971797E-3</v>
      </c>
      <c r="W83" s="41">
        <f t="shared" si="50"/>
        <v>201.3040942549377</v>
      </c>
      <c r="X83" s="15">
        <f t="shared" si="76"/>
        <v>201.76697562124528</v>
      </c>
      <c r="Y83" s="17">
        <v>25557973.965184983</v>
      </c>
      <c r="Z83">
        <v>12.442342348851833</v>
      </c>
      <c r="AA83" s="4">
        <f t="shared" si="51"/>
        <v>22377963.347006246</v>
      </c>
      <c r="AB83" s="4">
        <v>23006951.419500001</v>
      </c>
      <c r="AC83" s="4">
        <v>47</v>
      </c>
      <c r="AD83" s="14">
        <f t="shared" si="52"/>
        <v>47750098189.841927</v>
      </c>
      <c r="AE83" s="14">
        <f t="shared" si="53"/>
        <v>49092232938.9291</v>
      </c>
      <c r="AF83" s="14">
        <f t="shared" si="77"/>
        <v>132.68007036233416</v>
      </c>
      <c r="AG83" s="14">
        <f t="shared" si="54"/>
        <v>136.40937228411539</v>
      </c>
      <c r="AH83" s="14">
        <f t="shared" si="55"/>
        <v>2.6825000000000001</v>
      </c>
      <c r="AI83" s="14">
        <f t="shared" si="78"/>
        <v>119.24342105263158</v>
      </c>
      <c r="AJ83" s="14">
        <f t="shared" si="56"/>
        <v>158.21225495508597</v>
      </c>
      <c r="AK83" s="15">
        <f t="shared" si="57"/>
        <v>162.65920214799945</v>
      </c>
      <c r="AL83" s="22">
        <v>79.176465331040859</v>
      </c>
      <c r="AM83">
        <v>80.203566666666674</v>
      </c>
      <c r="AN83" s="14">
        <v>40432.950085475801</v>
      </c>
      <c r="AO83" s="3">
        <f t="shared" si="81"/>
        <v>0.1655876094320865</v>
      </c>
      <c r="AP83" s="32">
        <f t="shared" si="58"/>
        <v>9.3715476331330816E-3</v>
      </c>
      <c r="AQ83" s="14">
        <f t="shared" si="79"/>
        <v>15.250092951964612</v>
      </c>
      <c r="AR83" s="4">
        <f t="shared" si="82"/>
        <v>3723746.2950302702</v>
      </c>
      <c r="AS83" s="4">
        <f t="shared" si="45"/>
        <v>2948330.6943005603</v>
      </c>
      <c r="AT83" s="4">
        <f t="shared" si="59"/>
        <v>2986577.3422321333</v>
      </c>
      <c r="AU83" s="4">
        <f t="shared" si="60"/>
        <v>126.0764338146919</v>
      </c>
      <c r="AV83" s="24">
        <f t="shared" si="61"/>
        <v>127.71193589249484</v>
      </c>
      <c r="AW83" s="22">
        <v>129082</v>
      </c>
      <c r="AX83">
        <v>50176</v>
      </c>
      <c r="AY83">
        <v>131649</v>
      </c>
      <c r="AZ83">
        <v>91088</v>
      </c>
      <c r="BA83">
        <f t="shared" si="62"/>
        <v>0.49507730189352245</v>
      </c>
      <c r="BB83">
        <f t="shared" si="63"/>
        <v>0.32748914787497357</v>
      </c>
      <c r="BC83">
        <f t="shared" si="64"/>
        <v>0.67251085212502648</v>
      </c>
      <c r="BD83" s="21">
        <f t="shared" si="65"/>
        <v>0.3335458443561336</v>
      </c>
      <c r="BE83" s="4">
        <f t="shared" si="46"/>
        <v>1.3446507136542523</v>
      </c>
      <c r="BF83" s="31">
        <f t="shared" si="80"/>
        <v>8.9029410158747435E-3</v>
      </c>
      <c r="BG83" s="4">
        <f t="shared" si="66"/>
        <v>197.22407025117434</v>
      </c>
      <c r="BH83" s="19">
        <f t="shared" si="67"/>
        <v>2.3034233926342518E-2</v>
      </c>
      <c r="BJ83" s="1">
        <v>45170</v>
      </c>
      <c r="BK83" s="42">
        <v>201.76697562124528</v>
      </c>
      <c r="BL83" s="42">
        <v>201.3040942549377</v>
      </c>
      <c r="BM83" s="42">
        <v>197.22407025117434</v>
      </c>
      <c r="BN83" s="43">
        <f t="shared" si="68"/>
        <v>2.2994135713969577E-3</v>
      </c>
      <c r="BO83" s="43">
        <f t="shared" si="69"/>
        <v>2.3034233926342518E-2</v>
      </c>
    </row>
    <row r="84" spans="2:67" x14ac:dyDescent="0.3">
      <c r="B84">
        <f t="shared" si="70"/>
        <v>2010</v>
      </c>
      <c r="C84">
        <f t="shared" si="71"/>
        <v>8</v>
      </c>
      <c r="D84" s="1">
        <f t="shared" si="72"/>
        <v>40391</v>
      </c>
      <c r="E84">
        <f>_xlfn.XLOOKUP(D84,[1]nairu_estimates_v6!$A$2:$A$265,[1]nairu_estimates_v6!$P$2:$P$265)</f>
        <v>11.8276108065755</v>
      </c>
      <c r="F84">
        <f>_xlfn.XLOOKUP(D84,[1]nairu_estimates_v6!$A$2:$A$265,[1]nairu_estimates_v6!$V$2:$V$265)</f>
        <v>75.499822024492403</v>
      </c>
      <c r="G84">
        <v>21254830.985213213</v>
      </c>
      <c r="H84">
        <f t="shared" si="43"/>
        <v>0</v>
      </c>
      <c r="I84">
        <f t="shared" si="44"/>
        <v>0</v>
      </c>
      <c r="J84">
        <f t="shared" si="47"/>
        <v>0</v>
      </c>
      <c r="L84">
        <v>3.4942641854286201E-2</v>
      </c>
      <c r="M84">
        <v>78.599999999999994</v>
      </c>
      <c r="N84">
        <f t="shared" si="48"/>
        <v>0</v>
      </c>
      <c r="O84">
        <v>18754025.0936951</v>
      </c>
      <c r="Q84">
        <f t="shared" si="73"/>
        <v>2023</v>
      </c>
      <c r="R84">
        <f t="shared" si="74"/>
        <v>12</v>
      </c>
      <c r="S84" s="9">
        <f t="shared" si="75"/>
        <v>45261</v>
      </c>
      <c r="T84" s="13">
        <v>246177.80979999999</v>
      </c>
      <c r="U84" s="14">
        <v>245389.00580468963</v>
      </c>
      <c r="V84" s="32">
        <f t="shared" si="49"/>
        <v>3.2145042224840381E-3</v>
      </c>
      <c r="W84" s="41">
        <f t="shared" si="50"/>
        <v>202.76714765882323</v>
      </c>
      <c r="X84" s="15">
        <f t="shared" si="76"/>
        <v>203.41894351115363</v>
      </c>
      <c r="Y84" s="17">
        <v>25401767.595939457</v>
      </c>
      <c r="Z84">
        <v>11.945026650175434</v>
      </c>
      <c r="AA84" s="4">
        <f t="shared" si="51"/>
        <v>22367519.686988864</v>
      </c>
      <c r="AB84" s="4">
        <v>22694977.599482</v>
      </c>
      <c r="AC84" s="4">
        <v>47</v>
      </c>
      <c r="AD84" s="14">
        <f t="shared" si="52"/>
        <v>47727813508.096832</v>
      </c>
      <c r="AE84" s="14">
        <f t="shared" si="53"/>
        <v>48426543201.774689</v>
      </c>
      <c r="AF84" s="14">
        <f t="shared" si="77"/>
        <v>132.61814937674401</v>
      </c>
      <c r="AG84" s="14">
        <f t="shared" si="54"/>
        <v>134.55966381202015</v>
      </c>
      <c r="AH84" s="14">
        <f t="shared" si="55"/>
        <v>2.6825000000000001</v>
      </c>
      <c r="AI84" s="14">
        <f t="shared" si="78"/>
        <v>119.24342105263158</v>
      </c>
      <c r="AJ84" s="14">
        <f t="shared" si="56"/>
        <v>158.13841825351875</v>
      </c>
      <c r="AK84" s="15">
        <f t="shared" si="57"/>
        <v>160.45354648637272</v>
      </c>
      <c r="AL84" s="22">
        <v>79.369349373375499</v>
      </c>
      <c r="AM84">
        <v>78.382033333333325</v>
      </c>
      <c r="AN84" s="14">
        <v>39128.616882420501</v>
      </c>
      <c r="AO84" s="3">
        <f t="shared" si="81"/>
        <v>0.15894453246703841</v>
      </c>
      <c r="AP84" s="32">
        <f t="shared" si="58"/>
        <v>9.3715476331330816E-3</v>
      </c>
      <c r="AQ84" s="14">
        <f t="shared" si="79"/>
        <v>15.148733276845357</v>
      </c>
      <c r="AR84" s="4">
        <f t="shared" si="82"/>
        <v>3729281.9793381668</v>
      </c>
      <c r="AS84" s="4">
        <f t="shared" si="45"/>
        <v>2959906.8432992427</v>
      </c>
      <c r="AT84" s="4">
        <f t="shared" si="59"/>
        <v>2923087.0441388343</v>
      </c>
      <c r="AU84" s="4">
        <f t="shared" si="60"/>
        <v>126.57145277097203</v>
      </c>
      <c r="AV84" s="24">
        <f t="shared" si="61"/>
        <v>124.99696555999155</v>
      </c>
      <c r="AW84" s="22">
        <v>146332</v>
      </c>
      <c r="AX84">
        <v>43849</v>
      </c>
      <c r="AY84">
        <v>138743</v>
      </c>
      <c r="AZ84">
        <v>87263</v>
      </c>
      <c r="BA84">
        <f t="shared" si="62"/>
        <v>0.51331053231605717</v>
      </c>
      <c r="BB84">
        <f t="shared" si="63"/>
        <v>0.33336697205823346</v>
      </c>
      <c r="BC84">
        <f t="shared" si="64"/>
        <v>0.66663302794176649</v>
      </c>
      <c r="BD84" s="21">
        <f t="shared" si="65"/>
        <v>0.3335458443561336</v>
      </c>
      <c r="BE84" s="4">
        <f t="shared" si="46"/>
        <v>1.3778916574454305</v>
      </c>
      <c r="BF84" s="31">
        <f t="shared" si="80"/>
        <v>2.4720876175227557E-2</v>
      </c>
      <c r="BG84" s="4">
        <f t="shared" si="66"/>
        <v>202.30100293231479</v>
      </c>
      <c r="BH84" s="19">
        <f t="shared" si="67"/>
        <v>5.5261247479474473E-3</v>
      </c>
      <c r="BJ84" s="1">
        <v>45261</v>
      </c>
      <c r="BK84" s="42">
        <v>203.41894351115363</v>
      </c>
      <c r="BL84" s="42">
        <v>202.76714765882323</v>
      </c>
      <c r="BM84" s="42">
        <v>202.30100293231479</v>
      </c>
      <c r="BN84" s="43">
        <f t="shared" si="68"/>
        <v>3.2145042224842602E-3</v>
      </c>
      <c r="BO84" s="43">
        <f t="shared" si="69"/>
        <v>5.5261247479474473E-3</v>
      </c>
    </row>
    <row r="85" spans="2:67" x14ac:dyDescent="0.3">
      <c r="B85">
        <f t="shared" si="70"/>
        <v>2010</v>
      </c>
      <c r="C85">
        <f t="shared" si="71"/>
        <v>9</v>
      </c>
      <c r="D85" s="1">
        <f t="shared" si="72"/>
        <v>40422</v>
      </c>
      <c r="E85">
        <f>_xlfn.XLOOKUP(D85,[1]nairu_estimates_v6!$A$2:$A$265,[1]nairu_estimates_v6!$P$2:$P$265)</f>
        <v>11.8589434981645</v>
      </c>
      <c r="F85">
        <f>_xlfn.XLOOKUP(D85,[1]nairu_estimates_v6!$A$2:$A$265,[1]nairu_estimates_v6!$V$2:$V$265)</f>
        <v>75.769296125606999</v>
      </c>
      <c r="G85">
        <v>21408129.12368416</v>
      </c>
      <c r="H85">
        <f t="shared" si="43"/>
        <v>11.826143671409199</v>
      </c>
      <c r="I85">
        <f t="shared" si="44"/>
        <v>75.589596269928435</v>
      </c>
      <c r="J85">
        <f t="shared" si="47"/>
        <v>21250030.44523317</v>
      </c>
      <c r="L85">
        <v>3.4942641854286201E-2</v>
      </c>
      <c r="M85">
        <v>75.5</v>
      </c>
      <c r="N85">
        <f t="shared" si="48"/>
        <v>77.266666666666666</v>
      </c>
      <c r="O85">
        <v>18961197.985178702</v>
      </c>
      <c r="Q85">
        <f t="shared" si="73"/>
        <v>2024</v>
      </c>
      <c r="R85">
        <f t="shared" si="74"/>
        <v>3</v>
      </c>
      <c r="S85" s="9">
        <f t="shared" si="75"/>
        <v>45352</v>
      </c>
      <c r="T85" s="13">
        <v>246721.9338</v>
      </c>
      <c r="U85" s="14">
        <v>247136.14671095123</v>
      </c>
      <c r="V85" s="32">
        <f t="shared" si="49"/>
        <v>-1.6760515062804737E-3</v>
      </c>
      <c r="W85" s="41">
        <f t="shared" si="50"/>
        <v>204.21082594000376</v>
      </c>
      <c r="X85" s="15">
        <f t="shared" si="76"/>
        <v>203.86855807758826</v>
      </c>
      <c r="Y85" s="17">
        <v>25421666.731585208</v>
      </c>
      <c r="Z85">
        <v>11.518474196904533</v>
      </c>
      <c r="AA85" s="4">
        <f t="shared" si="51"/>
        <v>22493478.608684503</v>
      </c>
      <c r="AB85" s="4">
        <v>22703265.618170898</v>
      </c>
      <c r="AC85" s="4">
        <v>47</v>
      </c>
      <c r="AD85" s="14">
        <f t="shared" si="52"/>
        <v>47996584655.210991</v>
      </c>
      <c r="AE85" s="14">
        <f t="shared" si="53"/>
        <v>48444228176.053062</v>
      </c>
      <c r="AF85" s="14">
        <f t="shared" si="77"/>
        <v>133.36496615958487</v>
      </c>
      <c r="AG85" s="14">
        <f t="shared" si="54"/>
        <v>134.60880389173855</v>
      </c>
      <c r="AH85" s="18">
        <f t="shared" si="55"/>
        <v>2.7427999999999955</v>
      </c>
      <c r="AI85" s="18">
        <f t="shared" si="78"/>
        <v>121.92389758179212</v>
      </c>
      <c r="AJ85" s="14">
        <f t="shared" si="56"/>
        <v>162.60376475040397</v>
      </c>
      <c r="AK85" s="15">
        <f t="shared" si="57"/>
        <v>164.1203001930387</v>
      </c>
      <c r="AL85" s="22">
        <v>79.30276415406631</v>
      </c>
      <c r="AM85">
        <v>77.909300000000002</v>
      </c>
      <c r="AN85" s="14">
        <v>41515.342405101997</v>
      </c>
      <c r="AO85" s="3">
        <f t="shared" si="81"/>
        <v>0.16826774079500992</v>
      </c>
      <c r="AP85" s="33">
        <f t="shared" si="58"/>
        <v>8.8964047827320147E-3</v>
      </c>
      <c r="AQ85" s="14">
        <f t="shared" si="79"/>
        <v>15.132264063479203</v>
      </c>
      <c r="AR85" s="4">
        <f t="shared" si="82"/>
        <v>3733461.4525138349</v>
      </c>
      <c r="AS85" s="4">
        <f t="shared" si="45"/>
        <v>2960738.1304700249</v>
      </c>
      <c r="AT85" s="4">
        <f t="shared" si="59"/>
        <v>2908713.6834233613</v>
      </c>
      <c r="AU85" s="4">
        <f t="shared" si="60"/>
        <v>126.60700024947258</v>
      </c>
      <c r="AV85" s="24">
        <f t="shared" si="61"/>
        <v>124.38233231534159</v>
      </c>
      <c r="AW85" s="22">
        <v>127487</v>
      </c>
      <c r="AX85">
        <v>67290</v>
      </c>
      <c r="AY85">
        <v>124779</v>
      </c>
      <c r="AZ85">
        <v>83034</v>
      </c>
      <c r="BA85">
        <f t="shared" si="62"/>
        <v>0.50536735033654956</v>
      </c>
      <c r="BB85">
        <f t="shared" si="63"/>
        <v>0.30994063439230979</v>
      </c>
      <c r="BC85">
        <f t="shared" si="64"/>
        <v>0.69005936560769021</v>
      </c>
      <c r="BD85" s="21">
        <f t="shared" si="65"/>
        <v>0.3335458443561336</v>
      </c>
      <c r="BE85" s="4">
        <f t="shared" si="46"/>
        <v>1.3625362681505455</v>
      </c>
      <c r="BF85" s="31">
        <f t="shared" si="80"/>
        <v>-1.1144119504543193E-2</v>
      </c>
      <c r="BG85" s="4">
        <f t="shared" si="66"/>
        <v>203.81271817828059</v>
      </c>
      <c r="BH85" s="19">
        <f t="shared" si="67"/>
        <v>2.7397652024263586E-4</v>
      </c>
      <c r="BJ85" s="1">
        <v>45352</v>
      </c>
      <c r="BK85" s="42">
        <v>203.86855807758826</v>
      </c>
      <c r="BL85" s="42">
        <v>204.21082594000376</v>
      </c>
      <c r="BM85" s="42">
        <v>203.81271817828059</v>
      </c>
      <c r="BN85" s="43">
        <f t="shared" si="68"/>
        <v>-1.6760515062803627E-3</v>
      </c>
      <c r="BO85" s="43">
        <f t="shared" si="69"/>
        <v>2.7397652024263586E-4</v>
      </c>
    </row>
    <row r="86" spans="2:67" x14ac:dyDescent="0.3">
      <c r="B86">
        <f t="shared" si="70"/>
        <v>2010</v>
      </c>
      <c r="C86">
        <f t="shared" si="71"/>
        <v>10</v>
      </c>
      <c r="D86" s="1">
        <f t="shared" si="72"/>
        <v>40452</v>
      </c>
      <c r="E86">
        <f>_xlfn.XLOOKUP(D86,[1]nairu_estimates_v6!$A$2:$A$265,[1]nairu_estimates_v6!$P$2:$P$265)</f>
        <v>11.8862035340312</v>
      </c>
      <c r="F86">
        <f>_xlfn.XLOOKUP(D86,[1]nairu_estimates_v6!$A$2:$A$265,[1]nairu_estimates_v6!$V$2:$V$265)</f>
        <v>76.017341253956303</v>
      </c>
      <c r="G86">
        <v>21197169.198008198</v>
      </c>
      <c r="H86">
        <f t="shared" si="43"/>
        <v>0</v>
      </c>
      <c r="I86">
        <f t="shared" si="44"/>
        <v>0</v>
      </c>
      <c r="J86">
        <f t="shared" si="47"/>
        <v>0</v>
      </c>
      <c r="L86">
        <v>3.4942641854286201E-2</v>
      </c>
      <c r="M86">
        <v>76.3</v>
      </c>
      <c r="N86">
        <f t="shared" si="48"/>
        <v>0</v>
      </c>
      <c r="O86">
        <v>18690144.187400099</v>
      </c>
      <c r="Q86">
        <f t="shared" si="73"/>
        <v>2024</v>
      </c>
      <c r="R86">
        <f t="shared" si="74"/>
        <v>6</v>
      </c>
      <c r="S86" s="9">
        <f t="shared" si="75"/>
        <v>45444</v>
      </c>
      <c r="T86" s="13">
        <v>248617.80790000001</v>
      </c>
      <c r="U86" s="14">
        <v>248864.62875572027</v>
      </c>
      <c r="V86" s="32">
        <f t="shared" si="49"/>
        <v>-9.9178761141882621E-4</v>
      </c>
      <c r="W86" s="41">
        <f t="shared" si="50"/>
        <v>205.63908623572487</v>
      </c>
      <c r="X86" s="15">
        <f t="shared" si="76"/>
        <v>205.4351359375728</v>
      </c>
      <c r="Y86" s="17">
        <v>25604239.050097447</v>
      </c>
      <c r="Z86">
        <v>11.185279391095433</v>
      </c>
      <c r="AA86" s="4">
        <f t="shared" si="51"/>
        <v>22740333.376380086</v>
      </c>
      <c r="AB86" s="4">
        <v>22910728.640696898</v>
      </c>
      <c r="AC86" s="4">
        <v>47</v>
      </c>
      <c r="AD86" s="14">
        <f t="shared" si="52"/>
        <v>48523323358.519829</v>
      </c>
      <c r="AE86" s="14">
        <f t="shared" si="53"/>
        <v>48886912773.519035</v>
      </c>
      <c r="AF86" s="14">
        <f t="shared" si="77"/>
        <v>134.828580494779</v>
      </c>
      <c r="AG86" s="14">
        <f t="shared" si="54"/>
        <v>135.8388625883006</v>
      </c>
      <c r="AH86" s="18">
        <f t="shared" si="55"/>
        <v>2.7427999999999955</v>
      </c>
      <c r="AI86" s="18">
        <f t="shared" si="78"/>
        <v>121.92389758179212</v>
      </c>
      <c r="AJ86" s="14">
        <f t="shared" si="56"/>
        <v>164.38826039343851</v>
      </c>
      <c r="AK86" s="15">
        <f t="shared" si="57"/>
        <v>165.62003569843094</v>
      </c>
      <c r="AL86" s="22">
        <v>78.852066968394695</v>
      </c>
      <c r="AM86">
        <v>78.766833333333338</v>
      </c>
      <c r="AN86" s="14">
        <v>41285.189277913203</v>
      </c>
      <c r="AO86" s="3">
        <f t="shared" si="81"/>
        <v>0.16605885807873863</v>
      </c>
      <c r="AP86" s="33">
        <f t="shared" si="58"/>
        <v>8.8964047827320147E-3</v>
      </c>
      <c r="AQ86" s="14">
        <f t="shared" si="79"/>
        <v>15.050259038973078</v>
      </c>
      <c r="AR86" s="4">
        <f t="shared" si="82"/>
        <v>3741762.4105966473</v>
      </c>
      <c r="AS86" s="4">
        <f t="shared" si="45"/>
        <v>2950457.0018018875</v>
      </c>
      <c r="AT86" s="4">
        <f t="shared" si="59"/>
        <v>2947267.7616839772</v>
      </c>
      <c r="AU86" s="4">
        <f t="shared" si="60"/>
        <v>126.16735891596326</v>
      </c>
      <c r="AV86" s="24">
        <f t="shared" si="61"/>
        <v>126.03098072018551</v>
      </c>
      <c r="AW86" s="22">
        <v>147357</v>
      </c>
      <c r="AX86">
        <v>43182</v>
      </c>
      <c r="AY86">
        <v>134192</v>
      </c>
      <c r="AZ86">
        <v>85774</v>
      </c>
      <c r="BA86">
        <f t="shared" si="62"/>
        <v>0.52337958934324047</v>
      </c>
      <c r="BB86">
        <f t="shared" si="63"/>
        <v>0.32689492210813509</v>
      </c>
      <c r="BC86">
        <f t="shared" si="64"/>
        <v>0.67310507789186491</v>
      </c>
      <c r="BD86" s="21">
        <f t="shared" si="65"/>
        <v>0.3335458443561336</v>
      </c>
      <c r="BE86" s="4">
        <f t="shared" si="46"/>
        <v>1.3587271304041253</v>
      </c>
      <c r="BF86" s="31">
        <f t="shared" si="80"/>
        <v>-2.7956230123625803E-3</v>
      </c>
      <c r="BG86" s="4">
        <f t="shared" si="66"/>
        <v>204.48935031372963</v>
      </c>
      <c r="BH86" s="19">
        <f t="shared" si="67"/>
        <v>4.6251094367122381E-3</v>
      </c>
      <c r="BJ86" s="1">
        <v>45444</v>
      </c>
      <c r="BK86" s="42">
        <v>205.4351359375728</v>
      </c>
      <c r="BL86" s="42">
        <v>205.63908623572487</v>
      </c>
      <c r="BM86" s="42">
        <v>204.48935031372963</v>
      </c>
      <c r="BN86" s="43">
        <f t="shared" si="68"/>
        <v>-9.9178761141882621E-4</v>
      </c>
      <c r="BO86" s="43">
        <f t="shared" si="69"/>
        <v>4.6251094367122381E-3</v>
      </c>
    </row>
    <row r="87" spans="2:67" x14ac:dyDescent="0.3">
      <c r="B87">
        <f t="shared" si="70"/>
        <v>2010</v>
      </c>
      <c r="C87">
        <f t="shared" si="71"/>
        <v>11</v>
      </c>
      <c r="D87" s="1">
        <f t="shared" si="72"/>
        <v>40483</v>
      </c>
      <c r="E87">
        <f>_xlfn.XLOOKUP(D87,[1]nairu_estimates_v6!$A$2:$A$265,[1]nairu_estimates_v6!$P$2:$P$265)</f>
        <v>11.9119002619192</v>
      </c>
      <c r="F87">
        <f>_xlfn.XLOOKUP(D87,[1]nairu_estimates_v6!$A$2:$A$265,[1]nairu_estimates_v6!$V$2:$V$265)</f>
        <v>76.348223290750596</v>
      </c>
      <c r="G87">
        <v>21384994.359734882</v>
      </c>
      <c r="H87">
        <f t="shared" si="43"/>
        <v>0</v>
      </c>
      <c r="I87">
        <f t="shared" si="44"/>
        <v>0</v>
      </c>
      <c r="J87">
        <f t="shared" si="47"/>
        <v>0</v>
      </c>
      <c r="L87">
        <v>3.4942641854286201E-2</v>
      </c>
      <c r="M87">
        <v>75.3</v>
      </c>
      <c r="N87">
        <f t="shared" si="48"/>
        <v>0</v>
      </c>
      <c r="O87">
        <v>18798269.595352203</v>
      </c>
      <c r="Q87">
        <f t="shared" si="73"/>
        <v>2024</v>
      </c>
      <c r="R87">
        <f t="shared" si="74"/>
        <v>9</v>
      </c>
      <c r="S87" s="9">
        <f t="shared" si="75"/>
        <v>45536</v>
      </c>
      <c r="T87" s="13">
        <v>248237.3609</v>
      </c>
      <c r="U87" s="14">
        <v>250578.98198739754</v>
      </c>
      <c r="V87" s="32">
        <f t="shared" si="49"/>
        <v>-9.3448423679656223E-3</v>
      </c>
      <c r="W87" s="41">
        <f t="shared" si="50"/>
        <v>207.05567176581806</v>
      </c>
      <c r="X87" s="15">
        <f t="shared" si="76"/>
        <v>205.12076915177326</v>
      </c>
      <c r="Y87" s="17">
        <v>25748627.145114034</v>
      </c>
      <c r="Z87">
        <v>10.934969935870834</v>
      </c>
      <c r="AA87" s="4">
        <f t="shared" si="51"/>
        <v>22933022.507896338</v>
      </c>
      <c r="AB87" s="4">
        <v>23116476.6327032</v>
      </c>
      <c r="AC87" s="4">
        <v>46</v>
      </c>
      <c r="AD87" s="14">
        <f t="shared" si="52"/>
        <v>47893324205.490707</v>
      </c>
      <c r="AE87" s="14">
        <f t="shared" si="53"/>
        <v>48276449799.737366</v>
      </c>
      <c r="AF87" s="14">
        <f t="shared" si="77"/>
        <v>133.07804311117428</v>
      </c>
      <c r="AG87" s="14">
        <f t="shared" si="54"/>
        <v>134.14260910641389</v>
      </c>
      <c r="AH87" s="18">
        <f t="shared" si="55"/>
        <v>2.7427999999999955</v>
      </c>
      <c r="AI87" s="18">
        <f t="shared" si="78"/>
        <v>121.92389758179212</v>
      </c>
      <c r="AJ87" s="14">
        <f t="shared" si="56"/>
        <v>162.2539369867213</v>
      </c>
      <c r="AK87" s="15">
        <f t="shared" si="57"/>
        <v>163.55189734044782</v>
      </c>
      <c r="AL87" s="22">
        <v>78.710640155372133</v>
      </c>
      <c r="AM87">
        <v>78.689800000000005</v>
      </c>
      <c r="AN87" s="14">
        <v>41381.2901677958</v>
      </c>
      <c r="AO87" s="3">
        <f t="shared" si="81"/>
        <v>0.16670049189116964</v>
      </c>
      <c r="AP87" s="33">
        <f t="shared" si="58"/>
        <v>8.8964047827320147E-3</v>
      </c>
      <c r="AQ87" s="14">
        <f t="shared" si="79"/>
        <v>15.10553992869605</v>
      </c>
      <c r="AR87" s="4">
        <f t="shared" si="82"/>
        <v>3749759.3668690817</v>
      </c>
      <c r="AS87" s="4">
        <f t="shared" si="45"/>
        <v>2951459.6019486832</v>
      </c>
      <c r="AT87" s="4">
        <f t="shared" si="59"/>
        <v>2950678.1462705471</v>
      </c>
      <c r="AU87" s="4">
        <f t="shared" si="60"/>
        <v>126.21023207510189</v>
      </c>
      <c r="AV87" s="24">
        <f t="shared" si="61"/>
        <v>126.17681548948141</v>
      </c>
      <c r="AW87" s="22">
        <v>140599</v>
      </c>
      <c r="AX87">
        <v>52892</v>
      </c>
      <c r="AY87">
        <v>139171</v>
      </c>
      <c r="AZ87">
        <v>104184</v>
      </c>
      <c r="BA87">
        <f t="shared" si="62"/>
        <v>0.50255209636487119</v>
      </c>
      <c r="BB87">
        <f t="shared" si="63"/>
        <v>0.31858137650339019</v>
      </c>
      <c r="BC87">
        <f t="shared" si="64"/>
        <v>0.68141862349660975</v>
      </c>
      <c r="BD87" s="21">
        <f t="shared" si="65"/>
        <v>0.3335458443561336</v>
      </c>
      <c r="BE87" s="4">
        <f t="shared" si="46"/>
        <v>1.3675293921925389</v>
      </c>
      <c r="BF87" s="31">
        <f t="shared" si="80"/>
        <v>6.4783145868261283E-3</v>
      </c>
      <c r="BG87" s="4">
        <f t="shared" si="66"/>
        <v>204.05246006758341</v>
      </c>
      <c r="BH87" s="19">
        <f t="shared" si="67"/>
        <v>5.2354628992761221E-3</v>
      </c>
      <c r="BJ87" s="1">
        <v>45536</v>
      </c>
      <c r="BK87" s="42">
        <v>205.12076915177326</v>
      </c>
      <c r="BL87" s="42">
        <v>207.05567176581806</v>
      </c>
      <c r="BM87" s="42">
        <v>204.05246006758341</v>
      </c>
      <c r="BN87" s="43">
        <f t="shared" si="68"/>
        <v>-9.3448423679656223E-3</v>
      </c>
      <c r="BO87" s="43">
        <f t="shared" si="69"/>
        <v>5.2354628992761221E-3</v>
      </c>
    </row>
    <row r="88" spans="2:67" x14ac:dyDescent="0.3">
      <c r="B88">
        <f t="shared" si="70"/>
        <v>2010</v>
      </c>
      <c r="C88">
        <f t="shared" si="71"/>
        <v>12</v>
      </c>
      <c r="D88" s="1">
        <f t="shared" si="72"/>
        <v>40513</v>
      </c>
      <c r="E88">
        <f>_xlfn.XLOOKUP(D88,[1]nairu_estimates_v6!$A$2:$A$265,[1]nairu_estimates_v6!$P$2:$P$265)</f>
        <v>11.934142011562701</v>
      </c>
      <c r="F88">
        <f>_xlfn.XLOOKUP(D88,[1]nairu_estimates_v6!$A$2:$A$265,[1]nairu_estimates_v6!$V$2:$V$265)</f>
        <v>76.237589215755094</v>
      </c>
      <c r="G88">
        <v>21336991.707742188</v>
      </c>
      <c r="H88">
        <f t="shared" si="43"/>
        <v>11.910748602504368</v>
      </c>
      <c r="I88">
        <f t="shared" si="44"/>
        <v>76.201051253487336</v>
      </c>
      <c r="J88">
        <f t="shared" si="47"/>
        <v>21306385.088495091</v>
      </c>
      <c r="L88">
        <v>3.4942641854286201E-2</v>
      </c>
      <c r="M88">
        <v>76.7</v>
      </c>
      <c r="N88">
        <f t="shared" si="48"/>
        <v>76.100000000000009</v>
      </c>
      <c r="O88">
        <v>18768114.636836398</v>
      </c>
      <c r="Q88">
        <f t="shared" si="73"/>
        <v>2024</v>
      </c>
      <c r="R88">
        <f t="shared" si="74"/>
        <v>12</v>
      </c>
      <c r="S88" s="9">
        <f t="shared" si="75"/>
        <v>45627</v>
      </c>
      <c r="T88" s="13">
        <v>251912.89730000001</v>
      </c>
      <c r="U88" s="14">
        <v>252283.58219134898</v>
      </c>
      <c r="V88" s="32">
        <f t="shared" si="49"/>
        <v>-1.469318328720326E-3</v>
      </c>
      <c r="W88" s="41">
        <f t="shared" si="50"/>
        <v>208.46419828117871</v>
      </c>
      <c r="X88" s="15">
        <f t="shared" si="76"/>
        <v>208.15789801376218</v>
      </c>
      <c r="Y88" s="17">
        <v>25787710.060805541</v>
      </c>
      <c r="Z88">
        <v>10.726586869631733</v>
      </c>
      <c r="AA88" s="4">
        <f t="shared" si="51"/>
        <v>23021568.939444475</v>
      </c>
      <c r="AB88" s="4">
        <v>23492513.817662701</v>
      </c>
      <c r="AC88" s="4">
        <v>46</v>
      </c>
      <c r="AD88" s="14">
        <f t="shared" si="52"/>
        <v>48078244573.135841</v>
      </c>
      <c r="AE88" s="14">
        <f t="shared" si="53"/>
        <v>49061765856.806786</v>
      </c>
      <c r="AF88" s="14">
        <f t="shared" si="77"/>
        <v>133.59186922506078</v>
      </c>
      <c r="AG88" s="14">
        <f t="shared" si="54"/>
        <v>136.32471539851795</v>
      </c>
      <c r="AH88" s="18">
        <f t="shared" si="55"/>
        <v>2.7427999999999955</v>
      </c>
      <c r="AI88" s="18">
        <f t="shared" si="78"/>
        <v>121.92389758179212</v>
      </c>
      <c r="AJ88" s="14">
        <f t="shared" si="56"/>
        <v>162.88041381156475</v>
      </c>
      <c r="AK88" s="15">
        <f t="shared" si="57"/>
        <v>166.21240638115862</v>
      </c>
      <c r="AL88" s="22">
        <v>78.70992641943667</v>
      </c>
      <c r="AM88">
        <v>77.517933333333332</v>
      </c>
      <c r="AN88" s="14">
        <v>43441.178149189</v>
      </c>
      <c r="AO88" s="3">
        <f t="shared" si="81"/>
        <v>0.17244523251802954</v>
      </c>
      <c r="AP88" s="33">
        <f t="shared" si="58"/>
        <v>8.8964047827320147E-3</v>
      </c>
      <c r="AQ88" s="14">
        <f t="shared" si="79"/>
        <v>14.916986466938503</v>
      </c>
      <c r="AR88" s="4">
        <f t="shared" si="82"/>
        <v>3757781.2798713692</v>
      </c>
      <c r="AS88" s="4">
        <f t="shared" si="45"/>
        <v>2957746.8803901202</v>
      </c>
      <c r="AT88" s="4">
        <f t="shared" si="59"/>
        <v>2912954.3873431683</v>
      </c>
      <c r="AU88" s="4">
        <f t="shared" si="60"/>
        <v>126.47908849810381</v>
      </c>
      <c r="AV88" s="24">
        <f t="shared" si="61"/>
        <v>124.56367317649625</v>
      </c>
      <c r="AW88" s="22">
        <v>161840</v>
      </c>
      <c r="AX88">
        <v>48906</v>
      </c>
      <c r="AY88">
        <v>146855</v>
      </c>
      <c r="AZ88">
        <v>105774</v>
      </c>
      <c r="BA88">
        <f t="shared" si="62"/>
        <v>0.52427153015112005</v>
      </c>
      <c r="BB88">
        <f t="shared" si="63"/>
        <v>0.31692473698408419</v>
      </c>
      <c r="BC88">
        <f t="shared" si="64"/>
        <v>0.68307526301591581</v>
      </c>
      <c r="BD88" s="21">
        <f t="shared" si="65"/>
        <v>0.3335458443561336</v>
      </c>
      <c r="BE88" s="4">
        <f t="shared" si="46"/>
        <v>1.3788385652438422</v>
      </c>
      <c r="BF88" s="31">
        <f t="shared" si="80"/>
        <v>8.2697842663341792E-3</v>
      </c>
      <c r="BG88" s="4">
        <f t="shared" si="66"/>
        <v>206.4154635420449</v>
      </c>
      <c r="BH88" s="19">
        <f t="shared" si="67"/>
        <v>8.4413950477231214E-3</v>
      </c>
      <c r="BJ88" s="1">
        <v>45627</v>
      </c>
      <c r="BK88" s="42">
        <v>208.15789801376218</v>
      </c>
      <c r="BL88" s="42">
        <v>208.46419828117871</v>
      </c>
      <c r="BM88" s="42">
        <v>206.4154635420449</v>
      </c>
      <c r="BN88" s="43">
        <f t="shared" si="68"/>
        <v>-1.469318328720326E-3</v>
      </c>
      <c r="BO88" s="43">
        <f t="shared" si="69"/>
        <v>8.4413950477231214E-3</v>
      </c>
    </row>
    <row r="89" spans="2:67" x14ac:dyDescent="0.3">
      <c r="B89">
        <f t="shared" si="70"/>
        <v>2011</v>
      </c>
      <c r="C89">
        <f t="shared" si="71"/>
        <v>1</v>
      </c>
      <c r="D89" s="1">
        <f t="shared" si="72"/>
        <v>40544</v>
      </c>
      <c r="E89">
        <f>_xlfn.XLOOKUP(D89,[1]nairu_estimates_v6!$A$2:$A$265,[1]nairu_estimates_v6!$P$2:$P$265)</f>
        <v>11.9550058036655</v>
      </c>
      <c r="F89">
        <f>_xlfn.XLOOKUP(D89,[1]nairu_estimates_v6!$A$2:$A$265,[1]nairu_estimates_v6!$V$2:$V$265)</f>
        <v>76.245872522907007</v>
      </c>
      <c r="G89">
        <v>21444008.173039109</v>
      </c>
      <c r="H89">
        <f t="shared" si="43"/>
        <v>0</v>
      </c>
      <c r="I89">
        <f t="shared" si="44"/>
        <v>0</v>
      </c>
      <c r="J89">
        <f t="shared" si="47"/>
        <v>0</v>
      </c>
      <c r="K89">
        <v>2.4106999999999998</v>
      </c>
      <c r="L89">
        <v>3.5686161369085298E-2</v>
      </c>
      <c r="M89">
        <v>77.099999999999994</v>
      </c>
      <c r="N89">
        <f t="shared" si="48"/>
        <v>0</v>
      </c>
      <c r="O89">
        <v>18963255.156327199</v>
      </c>
      <c r="Q89">
        <f t="shared" si="73"/>
        <v>2025</v>
      </c>
      <c r="R89">
        <f t="shared" si="74"/>
        <v>3</v>
      </c>
      <c r="S89" s="9">
        <f t="shared" si="75"/>
        <v>45717</v>
      </c>
      <c r="T89" s="13">
        <v>253089.41190000001</v>
      </c>
      <c r="U89" s="14">
        <v>253981.34163976091</v>
      </c>
      <c r="V89" s="32">
        <f t="shared" si="49"/>
        <v>-3.5117923781424754E-3</v>
      </c>
      <c r="W89" s="41">
        <f t="shared" si="50"/>
        <v>209.86707221856813</v>
      </c>
      <c r="X89" s="15">
        <f t="shared" si="76"/>
        <v>209.13006263392791</v>
      </c>
      <c r="Y89" s="17">
        <v>26156116.618600726</v>
      </c>
      <c r="Z89">
        <v>10.5344002706262</v>
      </c>
      <c r="AA89" s="4">
        <f t="shared" si="51"/>
        <v>23400726.598745547</v>
      </c>
      <c r="AB89" s="4">
        <v>23751717.870451</v>
      </c>
      <c r="AC89" s="4">
        <v>46</v>
      </c>
      <c r="AD89" s="14">
        <f t="shared" si="52"/>
        <v>48870077428.820198</v>
      </c>
      <c r="AE89" s="14">
        <f t="shared" si="53"/>
        <v>49603087600.649864</v>
      </c>
      <c r="AF89" s="14">
        <f t="shared" si="77"/>
        <v>135.79208331864686</v>
      </c>
      <c r="AG89" s="14">
        <f t="shared" si="54"/>
        <v>137.82885067330238</v>
      </c>
      <c r="AH89" s="18">
        <f t="shared" si="55"/>
        <v>2.7659999999999982</v>
      </c>
      <c r="AI89" s="18">
        <f t="shared" si="78"/>
        <v>122.95519203413932</v>
      </c>
      <c r="AJ89" s="14">
        <f t="shared" si="56"/>
        <v>166.96341681160069</v>
      </c>
      <c r="AK89" s="15">
        <f t="shared" si="57"/>
        <v>169.46772802380605</v>
      </c>
      <c r="AL89" s="22">
        <v>78.416476427489329</v>
      </c>
      <c r="AM89">
        <v>79.156566666666677</v>
      </c>
      <c r="AN89" s="14">
        <v>41695.697501601397</v>
      </c>
      <c r="AO89" s="3">
        <f t="shared" si="81"/>
        <v>0.16474690580132245</v>
      </c>
      <c r="AP89" s="33">
        <f t="shared" si="58"/>
        <v>8.9215148564800728E-3</v>
      </c>
      <c r="AQ89" s="14">
        <f t="shared" si="79"/>
        <v>14.887196135089876</v>
      </c>
      <c r="AR89" s="4">
        <f t="shared" si="82"/>
        <v>3767791.7146698497</v>
      </c>
      <c r="AS89" s="4">
        <f t="shared" si="45"/>
        <v>2954569.5017709788</v>
      </c>
      <c r="AT89" s="4">
        <f t="shared" si="59"/>
        <v>2982454.560483783</v>
      </c>
      <c r="AU89" s="4">
        <f t="shared" si="60"/>
        <v>126.34321752340114</v>
      </c>
      <c r="AV89" s="24">
        <f t="shared" si="61"/>
        <v>127.5356376159029</v>
      </c>
      <c r="AW89" s="22">
        <v>137702</v>
      </c>
      <c r="AX89">
        <v>76248</v>
      </c>
      <c r="AY89">
        <v>132828</v>
      </c>
      <c r="AZ89">
        <v>97634</v>
      </c>
      <c r="BA89">
        <f t="shared" si="62"/>
        <v>0.50900824307840165</v>
      </c>
      <c r="BB89">
        <f t="shared" si="63"/>
        <v>0.2988848185917572</v>
      </c>
      <c r="BC89">
        <f t="shared" si="64"/>
        <v>0.7011151814082428</v>
      </c>
      <c r="BD89" s="21">
        <f t="shared" si="65"/>
        <v>0.3335458443561336</v>
      </c>
      <c r="BE89" s="4">
        <f t="shared" si="46"/>
        <v>1.356773999832033</v>
      </c>
      <c r="BF89" s="31">
        <f t="shared" si="80"/>
        <v>-1.6002283347729795E-2</v>
      </c>
      <c r="BG89" s="4">
        <f t="shared" si="66"/>
        <v>206.41756185261096</v>
      </c>
      <c r="BH89" s="19">
        <f t="shared" si="67"/>
        <v>1.3140843041512973E-2</v>
      </c>
      <c r="BJ89" s="1">
        <v>45717</v>
      </c>
      <c r="BK89" s="42">
        <v>209.13006263392791</v>
      </c>
      <c r="BL89" s="42">
        <v>209.86707221856813</v>
      </c>
      <c r="BM89" s="42">
        <v>206.41756185261096</v>
      </c>
      <c r="BN89" s="43">
        <f t="shared" si="68"/>
        <v>-3.5117923781423643E-3</v>
      </c>
      <c r="BO89" s="43">
        <f t="shared" si="69"/>
        <v>1.3140843041512973E-2</v>
      </c>
    </row>
    <row r="90" spans="2:67" x14ac:dyDescent="0.3">
      <c r="B90">
        <f t="shared" si="70"/>
        <v>2011</v>
      </c>
      <c r="C90">
        <f t="shared" si="71"/>
        <v>2</v>
      </c>
      <c r="D90" s="1">
        <f t="shared" si="72"/>
        <v>40575</v>
      </c>
      <c r="E90">
        <f>_xlfn.XLOOKUP(D90,[1]nairu_estimates_v6!$A$2:$A$265,[1]nairu_estimates_v6!$P$2:$P$265)</f>
        <v>11.9707285437267</v>
      </c>
      <c r="F90">
        <f>_xlfn.XLOOKUP(D90,[1]nairu_estimates_v6!$A$2:$A$265,[1]nairu_estimates_v6!$V$2:$V$265)</f>
        <v>76.124302187068594</v>
      </c>
      <c r="G90">
        <v>21186597.930924211</v>
      </c>
      <c r="H90">
        <f t="shared" si="43"/>
        <v>0</v>
      </c>
      <c r="I90">
        <f t="shared" si="44"/>
        <v>0</v>
      </c>
      <c r="J90">
        <f t="shared" si="47"/>
        <v>0</v>
      </c>
      <c r="L90">
        <v>3.5686161369085298E-2</v>
      </c>
      <c r="M90">
        <v>75.900000000000006</v>
      </c>
      <c r="N90">
        <f t="shared" si="48"/>
        <v>0</v>
      </c>
      <c r="O90">
        <v>18698767.698860101</v>
      </c>
      <c r="Q90">
        <f t="shared" si="73"/>
        <v>2025</v>
      </c>
      <c r="R90">
        <f t="shared" si="74"/>
        <v>6</v>
      </c>
      <c r="S90" s="9">
        <f t="shared" si="75"/>
        <v>45809</v>
      </c>
      <c r="T90" s="13">
        <v>253990.27040000001</v>
      </c>
      <c r="U90" s="14">
        <v>255674.94092676253</v>
      </c>
      <c r="V90" s="32">
        <f t="shared" si="49"/>
        <v>-6.5891108477662552E-3</v>
      </c>
      <c r="W90" s="41">
        <f t="shared" si="50"/>
        <v>211.26650857708071</v>
      </c>
      <c r="X90" s="15">
        <f t="shared" si="76"/>
        <v>209.87445013364575</v>
      </c>
      <c r="Y90" s="17">
        <v>25936120.652860876</v>
      </c>
      <c r="Z90">
        <v>10.3535569075858</v>
      </c>
      <c r="AA90" s="4">
        <f t="shared" si="51"/>
        <v>23250809.64144681</v>
      </c>
      <c r="AB90" s="4">
        <v>23717925.032896601</v>
      </c>
      <c r="AC90" s="4">
        <v>46</v>
      </c>
      <c r="AD90" s="14">
        <f t="shared" si="52"/>
        <v>48556990855.197517</v>
      </c>
      <c r="AE90" s="14">
        <f t="shared" si="53"/>
        <v>49532514638.701263</v>
      </c>
      <c r="AF90" s="14">
        <f t="shared" si="77"/>
        <v>134.92213016268462</v>
      </c>
      <c r="AG90" s="14">
        <f t="shared" si="54"/>
        <v>137.63275420623773</v>
      </c>
      <c r="AH90" s="18">
        <f t="shared" si="55"/>
        <v>2.7659999999999982</v>
      </c>
      <c r="AI90" s="18">
        <f t="shared" si="78"/>
        <v>122.95519203413932</v>
      </c>
      <c r="AJ90" s="14">
        <f t="shared" si="56"/>
        <v>165.89376423808028</v>
      </c>
      <c r="AK90" s="15">
        <f t="shared" si="57"/>
        <v>169.22661723615457</v>
      </c>
      <c r="AL90" s="22">
        <v>78.458649232047904</v>
      </c>
      <c r="AM90">
        <v>79.786799999999999</v>
      </c>
      <c r="AN90" s="14">
        <v>42849.841872136501</v>
      </c>
      <c r="AO90" s="3">
        <f t="shared" si="81"/>
        <v>0.16870662724463362</v>
      </c>
      <c r="AP90" s="33">
        <f t="shared" si="58"/>
        <v>8.9215148564800728E-3</v>
      </c>
      <c r="AQ90" s="14">
        <f t="shared" si="79"/>
        <v>14.866211199611767</v>
      </c>
      <c r="AR90" s="4">
        <f t="shared" si="82"/>
        <v>3775873.0024129013</v>
      </c>
      <c r="AS90" s="4">
        <f t="shared" si="45"/>
        <v>2962498.9544107341</v>
      </c>
      <c r="AT90" s="4">
        <f t="shared" si="59"/>
        <v>3012648.2406891771</v>
      </c>
      <c r="AU90" s="4">
        <f t="shared" si="60"/>
        <v>126.68229655305525</v>
      </c>
      <c r="AV90" s="24">
        <f t="shared" si="61"/>
        <v>128.82677891541726</v>
      </c>
      <c r="AW90" s="22">
        <v>161424</v>
      </c>
      <c r="AX90">
        <v>47734</v>
      </c>
      <c r="AY90">
        <v>138843</v>
      </c>
      <c r="AZ90">
        <v>94048</v>
      </c>
      <c r="BA90">
        <f t="shared" si="62"/>
        <v>0.53760153463417559</v>
      </c>
      <c r="BB90">
        <f t="shared" si="63"/>
        <v>0.31408961449975004</v>
      </c>
      <c r="BC90">
        <f t="shared" si="64"/>
        <v>0.68591038550024996</v>
      </c>
      <c r="BD90" s="21">
        <f t="shared" si="65"/>
        <v>0.3335458443561336</v>
      </c>
      <c r="BE90" s="4">
        <f t="shared" si="46"/>
        <v>1.3583246468581314</v>
      </c>
      <c r="BF90" s="31">
        <f t="shared" si="80"/>
        <v>1.1428926455625543E-3</v>
      </c>
      <c r="BG90" s="4">
        <f t="shared" si="66"/>
        <v>205.95422711945059</v>
      </c>
      <c r="BH90" s="19">
        <f t="shared" si="67"/>
        <v>1.9034438229429851E-2</v>
      </c>
      <c r="BJ90" s="1">
        <v>45809</v>
      </c>
      <c r="BK90" s="42">
        <v>209.87445013364575</v>
      </c>
      <c r="BL90" s="42">
        <v>211.26650857708071</v>
      </c>
      <c r="BM90" s="42">
        <v>205.95422711945059</v>
      </c>
      <c r="BN90" s="43">
        <f t="shared" si="68"/>
        <v>-6.5891108477663662E-3</v>
      </c>
      <c r="BO90" s="43">
        <f t="shared" si="69"/>
        <v>1.9034438229429851E-2</v>
      </c>
    </row>
    <row r="91" spans="2:67" x14ac:dyDescent="0.3">
      <c r="B91">
        <f t="shared" si="70"/>
        <v>2011</v>
      </c>
      <c r="C91">
        <f t="shared" si="71"/>
        <v>3</v>
      </c>
      <c r="D91" s="1">
        <f t="shared" si="72"/>
        <v>40603</v>
      </c>
      <c r="E91">
        <f>_xlfn.XLOOKUP(D91,[1]nairu_estimates_v6!$A$2:$A$265,[1]nairu_estimates_v6!$P$2:$P$265)</f>
        <v>11.985644864312199</v>
      </c>
      <c r="F91">
        <f>_xlfn.XLOOKUP(D91,[1]nairu_estimates_v6!$A$2:$A$265,[1]nairu_estimates_v6!$V$2:$V$265)</f>
        <v>76.197753587695402</v>
      </c>
      <c r="G91">
        <v>21388580.384368591</v>
      </c>
      <c r="H91">
        <f t="shared" si="43"/>
        <v>11.970459737234799</v>
      </c>
      <c r="I91">
        <f t="shared" si="44"/>
        <v>76.18930943255701</v>
      </c>
      <c r="J91">
        <f t="shared" si="47"/>
        <v>21339728.829443969</v>
      </c>
      <c r="L91">
        <v>3.5686161369085298E-2</v>
      </c>
      <c r="M91">
        <v>78.3</v>
      </c>
      <c r="N91">
        <f t="shared" si="48"/>
        <v>77.100000000000009</v>
      </c>
      <c r="O91">
        <v>19030268.4942903</v>
      </c>
      <c r="Q91">
        <f t="shared" si="73"/>
        <v>2025</v>
      </c>
      <c r="R91">
        <f t="shared" si="74"/>
        <v>9</v>
      </c>
      <c r="S91" s="9">
        <f t="shared" si="75"/>
        <v>45901</v>
      </c>
      <c r="T91" s="13">
        <v>257201.0399</v>
      </c>
      <c r="U91" s="14">
        <v>257366.50319039563</v>
      </c>
      <c r="V91" s="32">
        <f t="shared" si="49"/>
        <v>-6.4290919115150835E-4</v>
      </c>
      <c r="W91" s="41">
        <f t="shared" si="50"/>
        <v>212.66426172482028</v>
      </c>
      <c r="X91" s="15">
        <f t="shared" si="76"/>
        <v>212.52753791632793</v>
      </c>
      <c r="Y91" s="17">
        <v>26123153.970338404</v>
      </c>
      <c r="Z91">
        <v>10.184899743430799</v>
      </c>
      <c r="AA91" s="4">
        <f t="shared" si="51"/>
        <v>23462536.928637374</v>
      </c>
      <c r="AB91" s="4">
        <v>23834414.1963346</v>
      </c>
      <c r="AC91" s="4">
        <v>44</v>
      </c>
      <c r="AD91" s="14">
        <f t="shared" si="52"/>
        <v>46868763768.646019</v>
      </c>
      <c r="AE91" s="14">
        <f t="shared" si="53"/>
        <v>47611625798.598</v>
      </c>
      <c r="AF91" s="14">
        <f t="shared" si="77"/>
        <v>130.23116413072572</v>
      </c>
      <c r="AG91" s="14">
        <f t="shared" si="54"/>
        <v>132.29530619828071</v>
      </c>
      <c r="AH91" s="18">
        <f t="shared" si="55"/>
        <v>2.7659999999999982</v>
      </c>
      <c r="AI91" s="18">
        <f t="shared" si="78"/>
        <v>122.95519203413932</v>
      </c>
      <c r="AJ91" s="14">
        <f t="shared" si="56"/>
        <v>160.12597794522898</v>
      </c>
      <c r="AK91" s="15">
        <f t="shared" si="57"/>
        <v>162.66394778824866</v>
      </c>
      <c r="AL91" s="22">
        <v>78.878331668631404</v>
      </c>
      <c r="AM91">
        <v>79.37166666666667</v>
      </c>
      <c r="AN91" s="14">
        <v>43270.656020891001</v>
      </c>
      <c r="AO91" s="3">
        <f t="shared" si="81"/>
        <v>0.16823670712107025</v>
      </c>
      <c r="AP91" s="33">
        <f t="shared" si="58"/>
        <v>8.9215148564800728E-3</v>
      </c>
      <c r="AQ91" s="14">
        <f t="shared" si="79"/>
        <v>14.716255963309692</v>
      </c>
      <c r="AR91" s="4">
        <f t="shared" si="82"/>
        <v>3785036.337197829</v>
      </c>
      <c r="AS91" s="4">
        <f t="shared" si="45"/>
        <v>2985573.5158331217</v>
      </c>
      <c r="AT91" s="4">
        <f t="shared" si="59"/>
        <v>3004246.4247728707</v>
      </c>
      <c r="AU91" s="4">
        <f t="shared" si="60"/>
        <v>127.66901029639361</v>
      </c>
      <c r="AV91" s="24">
        <f t="shared" si="61"/>
        <v>128.46750070068271</v>
      </c>
      <c r="AW91" s="22">
        <v>156835</v>
      </c>
      <c r="AX91">
        <v>60443</v>
      </c>
      <c r="AY91">
        <v>145239</v>
      </c>
      <c r="AZ91">
        <v>115143</v>
      </c>
      <c r="BA91">
        <f t="shared" si="62"/>
        <v>0.51919397233790399</v>
      </c>
      <c r="BB91">
        <f t="shared" si="63"/>
        <v>0.30406355985428968</v>
      </c>
      <c r="BC91">
        <f t="shared" si="64"/>
        <v>0.69593644014571032</v>
      </c>
      <c r="BD91" s="21">
        <f t="shared" si="65"/>
        <v>0.3335458443561336</v>
      </c>
      <c r="BE91" s="4">
        <f t="shared" si="46"/>
        <v>1.4135516953382405</v>
      </c>
      <c r="BF91" s="31">
        <f t="shared" si="80"/>
        <v>4.0658209808569712E-2</v>
      </c>
      <c r="BG91" s="4">
        <f t="shared" si="66"/>
        <v>209.87489107799621</v>
      </c>
      <c r="BH91" s="19">
        <f t="shared" si="67"/>
        <v>1.263918148906118E-2</v>
      </c>
      <c r="BJ91" s="1">
        <v>45901</v>
      </c>
      <c r="BK91" s="42">
        <v>212.52753791632793</v>
      </c>
      <c r="BL91" s="42">
        <v>212.66426172482028</v>
      </c>
      <c r="BM91" s="42">
        <v>209.87489107799621</v>
      </c>
      <c r="BN91" s="43">
        <f t="shared" si="68"/>
        <v>-6.4290919115150835E-4</v>
      </c>
      <c r="BO91" s="43">
        <f t="shared" si="69"/>
        <v>1.263918148906118E-2</v>
      </c>
    </row>
    <row r="92" spans="2:67" x14ac:dyDescent="0.3">
      <c r="B92">
        <f t="shared" si="70"/>
        <v>2011</v>
      </c>
      <c r="C92">
        <f t="shared" si="71"/>
        <v>4</v>
      </c>
      <c r="D92" s="1">
        <f t="shared" si="72"/>
        <v>40634</v>
      </c>
      <c r="E92">
        <f>_xlfn.XLOOKUP(D92,[1]nairu_estimates_v6!$A$2:$A$265,[1]nairu_estimates_v6!$P$2:$P$265)</f>
        <v>11.9924107567969</v>
      </c>
      <c r="F92">
        <f>_xlfn.XLOOKUP(D92,[1]nairu_estimates_v6!$A$2:$A$265,[1]nairu_estimates_v6!$V$2:$V$265)</f>
        <v>76.312988326665902</v>
      </c>
      <c r="G92">
        <v>21229438.763458569</v>
      </c>
      <c r="H92">
        <f t="shared" si="43"/>
        <v>0</v>
      </c>
      <c r="I92">
        <f t="shared" si="44"/>
        <v>0</v>
      </c>
      <c r="J92">
        <f t="shared" si="47"/>
        <v>0</v>
      </c>
      <c r="L92">
        <v>3.5686161369085298E-2</v>
      </c>
      <c r="M92">
        <v>77.2</v>
      </c>
      <c r="N92">
        <f t="shared" si="48"/>
        <v>0</v>
      </c>
      <c r="O92">
        <v>18870241.749592599</v>
      </c>
      <c r="Q92">
        <f t="shared" si="73"/>
        <v>2025</v>
      </c>
      <c r="R92">
        <f t="shared" si="74"/>
        <v>12</v>
      </c>
      <c r="S92" s="9">
        <f t="shared" si="75"/>
        <v>45992</v>
      </c>
      <c r="T92" s="13">
        <v>257510.21160000001</v>
      </c>
      <c r="U92" s="14">
        <v>259057.09864962273</v>
      </c>
      <c r="V92" s="32">
        <f t="shared" si="49"/>
        <v>-5.9712204671715785E-3</v>
      </c>
      <c r="W92" s="41">
        <f t="shared" si="50"/>
        <v>214.06121599336348</v>
      </c>
      <c r="X92" s="15">
        <f t="shared" si="76"/>
        <v>212.78300927919625</v>
      </c>
      <c r="Y92" s="17">
        <v>26398122.091533337</v>
      </c>
      <c r="Z92">
        <v>10.035141817871216</v>
      </c>
      <c r="AA92" s="4">
        <f t="shared" si="51"/>
        <v>23749033.102393176</v>
      </c>
      <c r="AB92" s="4">
        <v>24116227.228494298</v>
      </c>
      <c r="AC92" s="4">
        <v>44</v>
      </c>
      <c r="AD92" s="14">
        <f t="shared" si="52"/>
        <v>47441068525.340607</v>
      </c>
      <c r="AE92" s="14">
        <f t="shared" si="53"/>
        <v>48174575511.640205</v>
      </c>
      <c r="AF92" s="14">
        <f t="shared" si="77"/>
        <v>131.82138987403295</v>
      </c>
      <c r="AG92" s="14">
        <f t="shared" si="54"/>
        <v>133.85953769451638</v>
      </c>
      <c r="AH92" s="18">
        <f t="shared" si="55"/>
        <v>2.7659999999999982</v>
      </c>
      <c r="AI92" s="18">
        <f t="shared" si="78"/>
        <v>122.95519203413932</v>
      </c>
      <c r="AJ92" s="14">
        <f t="shared" si="56"/>
        <v>162.0812430616887</v>
      </c>
      <c r="AK92" s="15">
        <f t="shared" si="57"/>
        <v>164.5872516283037</v>
      </c>
      <c r="AL92" s="22">
        <v>79.0694504732448</v>
      </c>
      <c r="AM92">
        <v>77.472899999999996</v>
      </c>
      <c r="AN92" s="14">
        <v>42048.610553569903</v>
      </c>
      <c r="AO92" s="3">
        <f t="shared" si="81"/>
        <v>0.16328909945864803</v>
      </c>
      <c r="AP92" s="33">
        <f t="shared" si="58"/>
        <v>8.9215148564800728E-3</v>
      </c>
      <c r="AQ92" s="14">
        <f t="shared" si="79"/>
        <v>14.735488397634063</v>
      </c>
      <c r="AR92" s="4">
        <f t="shared" si="82"/>
        <v>3794538.7353040925</v>
      </c>
      <c r="AS92" s="4">
        <f t="shared" si="45"/>
        <v>3000320.9259993588</v>
      </c>
      <c r="AT92" s="4">
        <f t="shared" si="59"/>
        <v>2939739.199863404</v>
      </c>
      <c r="AU92" s="4">
        <f t="shared" si="60"/>
        <v>128.29963863308458</v>
      </c>
      <c r="AV92" s="24">
        <f t="shared" si="61"/>
        <v>125.70904457241004</v>
      </c>
      <c r="AW92" s="22">
        <v>176309</v>
      </c>
      <c r="AX92">
        <v>51670</v>
      </c>
      <c r="AY92">
        <v>151287</v>
      </c>
      <c r="AZ92">
        <v>110558</v>
      </c>
      <c r="BA92">
        <f t="shared" si="62"/>
        <v>0.53819033199428568</v>
      </c>
      <c r="BB92">
        <f t="shared" si="63"/>
        <v>0.30885991703142351</v>
      </c>
      <c r="BC92">
        <f t="shared" si="64"/>
        <v>0.69114008296857654</v>
      </c>
      <c r="BD92" s="21">
        <f t="shared" si="65"/>
        <v>0.3335458443561336</v>
      </c>
      <c r="BE92" s="4">
        <f t="shared" si="46"/>
        <v>1.4144106334637956</v>
      </c>
      <c r="BF92" s="31">
        <f t="shared" si="80"/>
        <v>6.0764535770974071E-4</v>
      </c>
      <c r="BG92" s="4">
        <f>BE92*AU92^BD92*AJ92^(1-BD92)</f>
        <v>212.05617566346891</v>
      </c>
      <c r="BH92" s="19">
        <f t="shared" si="67"/>
        <v>3.4275522203173203E-3</v>
      </c>
      <c r="BJ92" s="1">
        <v>45992</v>
      </c>
      <c r="BK92" s="42">
        <v>212.78300927919625</v>
      </c>
      <c r="BL92" s="42">
        <v>214.06121599336348</v>
      </c>
      <c r="BM92" s="42">
        <v>212.05617566346891</v>
      </c>
      <c r="BN92" s="43">
        <f t="shared" si="68"/>
        <v>-5.9712204671716895E-3</v>
      </c>
      <c r="BO92" s="43">
        <f t="shared" si="69"/>
        <v>3.4275522203173203E-3</v>
      </c>
    </row>
    <row r="93" spans="2:67" x14ac:dyDescent="0.3">
      <c r="B93">
        <f t="shared" si="70"/>
        <v>2011</v>
      </c>
      <c r="C93">
        <f t="shared" si="71"/>
        <v>5</v>
      </c>
      <c r="D93" s="1">
        <f t="shared" si="72"/>
        <v>40664</v>
      </c>
      <c r="E93">
        <f>_xlfn.XLOOKUP(D93,[1]nairu_estimates_v6!$A$2:$A$265,[1]nairu_estimates_v6!$P$2:$P$265)</f>
        <v>11.9930462277652</v>
      </c>
      <c r="F93">
        <f>_xlfn.XLOOKUP(D93,[1]nairu_estimates_v6!$A$2:$A$265,[1]nairu_estimates_v6!$V$2:$V$265)</f>
        <v>76.260902811667506</v>
      </c>
      <c r="G93">
        <v>21519015.193752557</v>
      </c>
      <c r="H93">
        <f t="shared" si="43"/>
        <v>0</v>
      </c>
      <c r="I93">
        <f t="shared" si="44"/>
        <v>0</v>
      </c>
      <c r="J93">
        <f t="shared" si="47"/>
        <v>0</v>
      </c>
      <c r="L93">
        <v>3.5686161369085298E-2</v>
      </c>
      <c r="M93">
        <v>76.7</v>
      </c>
      <c r="N93">
        <f t="shared" si="48"/>
        <v>0</v>
      </c>
      <c r="O93">
        <v>19036958.405409701</v>
      </c>
      <c r="Q93">
        <f t="shared" si="73"/>
        <v>2026</v>
      </c>
      <c r="R93">
        <f t="shared" si="74"/>
        <v>3</v>
      </c>
      <c r="S93" s="9">
        <f t="shared" si="75"/>
        <v>46082</v>
      </c>
      <c r="T93" s="16"/>
      <c r="U93" s="1"/>
      <c r="V93" s="32" t="e">
        <f t="shared" si="49"/>
        <v>#DIV/0!</v>
      </c>
      <c r="W93" s="41">
        <f t="shared" si="50"/>
        <v>0</v>
      </c>
      <c r="X93" s="15">
        <f t="shared" si="76"/>
        <v>0</v>
      </c>
      <c r="Y93" s="17">
        <v>26510141.392200474</v>
      </c>
      <c r="Z93" t="e">
        <v>#N/A</v>
      </c>
      <c r="AA93" s="4" t="e">
        <f t="shared" si="51"/>
        <v>#N/A</v>
      </c>
      <c r="AB93" s="4">
        <v>24391141.014392599</v>
      </c>
      <c r="AC93" s="4">
        <v>44</v>
      </c>
      <c r="AD93" s="14" t="e">
        <f t="shared" si="52"/>
        <v>#N/A</v>
      </c>
      <c r="AE93" s="14">
        <f t="shared" si="53"/>
        <v>48723743290.350655</v>
      </c>
      <c r="AF93" s="14" t="e">
        <f t="shared" si="77"/>
        <v>#N/A</v>
      </c>
      <c r="AG93" s="14">
        <f t="shared" si="54"/>
        <v>135.3854742324967</v>
      </c>
      <c r="AH93" s="18">
        <f t="shared" si="55"/>
        <v>2.789200000000001</v>
      </c>
      <c r="AI93" s="18">
        <f t="shared" si="78"/>
        <v>123.98648648648654</v>
      </c>
      <c r="AJ93" s="14" t="e">
        <f t="shared" si="56"/>
        <v>#N/A</v>
      </c>
      <c r="AK93" s="15">
        <f t="shared" si="57"/>
        <v>167.85969271394023</v>
      </c>
      <c r="AL93" s="22" t="e">
        <v>#N/A</v>
      </c>
      <c r="AM93" t="e">
        <v>#DIV/0!</v>
      </c>
      <c r="AO93" s="3" t="e">
        <f t="shared" si="81"/>
        <v>#DIV/0!</v>
      </c>
      <c r="AP93" s="33">
        <f t="shared" si="58"/>
        <v>8.9466230555468318E-3</v>
      </c>
      <c r="AQ93" s="14" t="e">
        <f t="shared" si="79"/>
        <v>#DIV/0!</v>
      </c>
      <c r="AR93" s="4">
        <f t="shared" si="82"/>
        <v>3802734.3121571583</v>
      </c>
      <c r="AS93" t="e">
        <f t="shared" si="45"/>
        <v>#N/A</v>
      </c>
      <c r="AT93" s="4" t="e">
        <f t="shared" si="59"/>
        <v>#DIV/0!</v>
      </c>
      <c r="AU93" s="4" t="e">
        <f t="shared" si="60"/>
        <v>#N/A</v>
      </c>
      <c r="AV93" s="24" t="e">
        <f t="shared" si="61"/>
        <v>#DIV/0!</v>
      </c>
      <c r="AW93" s="22"/>
      <c r="BA93" t="e">
        <f t="shared" si="62"/>
        <v>#DIV/0!</v>
      </c>
      <c r="BB93" t="e">
        <f t="shared" si="63"/>
        <v>#DIV/0!</v>
      </c>
      <c r="BC93" t="e">
        <f t="shared" si="64"/>
        <v>#DIV/0!</v>
      </c>
      <c r="BD93" s="21">
        <f t="shared" si="65"/>
        <v>0.3335458443561336</v>
      </c>
      <c r="BE93" s="4" t="e">
        <f t="shared" si="46"/>
        <v>#DIV/0!</v>
      </c>
      <c r="BF93" s="31" t="e">
        <f t="shared" si="80"/>
        <v>#DIV/0!</v>
      </c>
      <c r="BG93" s="4" t="e">
        <f t="shared" si="66"/>
        <v>#DIV/0!</v>
      </c>
      <c r="BH93" s="19" t="e">
        <f t="shared" si="67"/>
        <v>#DIV/0!</v>
      </c>
      <c r="BJ93" s="1">
        <v>46082</v>
      </c>
      <c r="BK93" s="42"/>
      <c r="BL93" s="42"/>
      <c r="BM93" s="42"/>
      <c r="BN93" s="43" t="e">
        <f t="shared" si="68"/>
        <v>#DIV/0!</v>
      </c>
      <c r="BO93" s="43" t="e">
        <f t="shared" si="69"/>
        <v>#DIV/0!</v>
      </c>
    </row>
    <row r="94" spans="2:67" x14ac:dyDescent="0.3">
      <c r="B94">
        <f t="shared" si="70"/>
        <v>2011</v>
      </c>
      <c r="C94">
        <f t="shared" si="71"/>
        <v>6</v>
      </c>
      <c r="D94" s="1">
        <f t="shared" si="72"/>
        <v>40695</v>
      </c>
      <c r="E94">
        <f>_xlfn.XLOOKUP(D94,[1]nairu_estimates_v6!$A$2:$A$265,[1]nairu_estimates_v6!$P$2:$P$265)</f>
        <v>11.9929414986404</v>
      </c>
      <c r="F94">
        <f>_xlfn.XLOOKUP(D94,[1]nairu_estimates_v6!$A$2:$A$265,[1]nairu_estimates_v6!$V$2:$V$265)</f>
        <v>76.521007782316701</v>
      </c>
      <c r="G94">
        <v>21441315.69319623</v>
      </c>
      <c r="H94">
        <f t="shared" si="43"/>
        <v>11.992799494400833</v>
      </c>
      <c r="I94">
        <f t="shared" si="44"/>
        <v>76.364966306883375</v>
      </c>
      <c r="J94">
        <f t="shared" si="47"/>
        <v>21396589.883469116</v>
      </c>
      <c r="L94">
        <v>3.5686161369085298E-2</v>
      </c>
      <c r="M94">
        <v>78.3</v>
      </c>
      <c r="N94">
        <f t="shared" si="48"/>
        <v>77.399999999999991</v>
      </c>
      <c r="O94">
        <v>19012294.395537399</v>
      </c>
      <c r="Q94">
        <f t="shared" si="73"/>
        <v>2026</v>
      </c>
      <c r="R94">
        <f t="shared" si="74"/>
        <v>6</v>
      </c>
      <c r="S94" s="9">
        <f t="shared" si="75"/>
        <v>46174</v>
      </c>
      <c r="T94" s="16"/>
      <c r="U94" s="1"/>
      <c r="V94" s="32" t="e">
        <f t="shared" si="49"/>
        <v>#DIV/0!</v>
      </c>
      <c r="W94" s="41">
        <f t="shared" si="50"/>
        <v>0</v>
      </c>
      <c r="X94" s="15">
        <f t="shared" si="76"/>
        <v>0</v>
      </c>
      <c r="Y94" s="17" t="e">
        <v>#DIV/0!</v>
      </c>
      <c r="Z94" t="e">
        <v>#N/A</v>
      </c>
      <c r="AA94" s="4" t="e">
        <f t="shared" si="51"/>
        <v>#DIV/0!</v>
      </c>
      <c r="AB94" s="4">
        <v>0</v>
      </c>
      <c r="AC94" s="4">
        <v>44</v>
      </c>
      <c r="AD94" s="14" t="e">
        <f t="shared" si="52"/>
        <v>#DIV/0!</v>
      </c>
      <c r="AE94" s="14">
        <f t="shared" si="53"/>
        <v>0</v>
      </c>
      <c r="AF94" s="14" t="e">
        <f t="shared" si="77"/>
        <v>#DIV/0!</v>
      </c>
      <c r="AG94" s="14">
        <f t="shared" si="54"/>
        <v>0</v>
      </c>
      <c r="AH94" s="18">
        <f t="shared" si="55"/>
        <v>2.789200000000001</v>
      </c>
      <c r="AI94" s="18">
        <f t="shared" si="78"/>
        <v>123.98648648648654</v>
      </c>
      <c r="AJ94" s="14" t="e">
        <f t="shared" si="56"/>
        <v>#DIV/0!</v>
      </c>
      <c r="AK94" s="15">
        <f t="shared" si="57"/>
        <v>0</v>
      </c>
      <c r="AL94" s="22" t="e">
        <v>#N/A</v>
      </c>
      <c r="AM94" t="e">
        <v>#DIV/0!</v>
      </c>
      <c r="AO94" s="3" t="e">
        <f t="shared" si="81"/>
        <v>#DIV/0!</v>
      </c>
      <c r="AP94" s="33">
        <f t="shared" si="58"/>
        <v>8.9466230555468318E-3</v>
      </c>
      <c r="AQ94" s="14" t="e">
        <f t="shared" si="79"/>
        <v>#DIV/0!</v>
      </c>
      <c r="AR94" s="4" t="e">
        <f t="shared" si="82"/>
        <v>#DIV/0!</v>
      </c>
      <c r="AS94" t="e">
        <f t="shared" si="45"/>
        <v>#DIV/0!</v>
      </c>
      <c r="AT94" s="4" t="e">
        <f t="shared" si="59"/>
        <v>#DIV/0!</v>
      </c>
      <c r="AU94" s="4" t="e">
        <f t="shared" si="60"/>
        <v>#DIV/0!</v>
      </c>
      <c r="AV94" s="24" t="e">
        <f t="shared" si="61"/>
        <v>#DIV/0!</v>
      </c>
      <c r="AW94" s="22"/>
      <c r="BA94" t="e">
        <f t="shared" si="62"/>
        <v>#DIV/0!</v>
      </c>
      <c r="BB94" t="e">
        <f t="shared" si="63"/>
        <v>#DIV/0!</v>
      </c>
      <c r="BC94" t="e">
        <f t="shared" si="64"/>
        <v>#DIV/0!</v>
      </c>
      <c r="BD94" s="21">
        <f t="shared" si="65"/>
        <v>0.3335458443561336</v>
      </c>
      <c r="BE94" s="4" t="e">
        <f t="shared" si="46"/>
        <v>#DIV/0!</v>
      </c>
      <c r="BF94" s="31" t="e">
        <f t="shared" si="80"/>
        <v>#DIV/0!</v>
      </c>
      <c r="BG94" s="4" t="e">
        <f t="shared" si="66"/>
        <v>#DIV/0!</v>
      </c>
      <c r="BH94" s="19" t="e">
        <f t="shared" si="67"/>
        <v>#DIV/0!</v>
      </c>
      <c r="BJ94" s="1">
        <v>46174</v>
      </c>
      <c r="BK94" s="42"/>
      <c r="BL94" s="42"/>
      <c r="BM94" s="42"/>
      <c r="BN94" s="43" t="e">
        <f t="shared" si="68"/>
        <v>#DIV/0!</v>
      </c>
      <c r="BO94" s="43" t="e">
        <f t="shared" si="69"/>
        <v>#DIV/0!</v>
      </c>
    </row>
    <row r="95" spans="2:67" x14ac:dyDescent="0.3">
      <c r="B95">
        <f t="shared" si="70"/>
        <v>2011</v>
      </c>
      <c r="C95">
        <f t="shared" si="71"/>
        <v>7</v>
      </c>
      <c r="D95" s="1">
        <f t="shared" si="72"/>
        <v>40725</v>
      </c>
      <c r="E95">
        <f>_xlfn.XLOOKUP(D95,[1]nairu_estimates_v6!$A$2:$A$265,[1]nairu_estimates_v6!$P$2:$P$265)</f>
        <v>11.9898328622404</v>
      </c>
      <c r="F95">
        <f>_xlfn.XLOOKUP(D95,[1]nairu_estimates_v6!$A$2:$A$265,[1]nairu_estimates_v6!$V$2:$V$265)</f>
        <v>76.607582301229499</v>
      </c>
      <c r="G95">
        <v>21592394.066459052</v>
      </c>
      <c r="H95">
        <f t="shared" si="43"/>
        <v>0</v>
      </c>
      <c r="I95">
        <f t="shared" si="44"/>
        <v>0</v>
      </c>
      <c r="J95">
        <f t="shared" si="47"/>
        <v>0</v>
      </c>
      <c r="L95">
        <v>3.5686161369085298E-2</v>
      </c>
      <c r="M95">
        <v>78</v>
      </c>
      <c r="N95">
        <f t="shared" si="48"/>
        <v>0</v>
      </c>
      <c r="O95">
        <v>19196532.8827525</v>
      </c>
      <c r="Q95">
        <f t="shared" si="73"/>
        <v>2026</v>
      </c>
      <c r="R95">
        <f t="shared" si="74"/>
        <v>9</v>
      </c>
      <c r="S95" s="9">
        <f t="shared" si="75"/>
        <v>46266</v>
      </c>
      <c r="T95" s="16"/>
      <c r="U95" s="1"/>
      <c r="V95" s="32" t="e">
        <f t="shared" si="49"/>
        <v>#DIV/0!</v>
      </c>
      <c r="W95" s="41">
        <f t="shared" si="50"/>
        <v>0</v>
      </c>
      <c r="X95" s="15">
        <f t="shared" si="76"/>
        <v>0</v>
      </c>
      <c r="Y95" s="17" t="e">
        <v>#DIV/0!</v>
      </c>
      <c r="Z95" t="e">
        <v>#N/A</v>
      </c>
      <c r="AA95" s="4" t="e">
        <f t="shared" si="51"/>
        <v>#DIV/0!</v>
      </c>
      <c r="AB95" s="4">
        <v>0</v>
      </c>
      <c r="AC95" s="4">
        <v>42</v>
      </c>
      <c r="AD95" s="14" t="e">
        <f t="shared" si="52"/>
        <v>#DIV/0!</v>
      </c>
      <c r="AE95" s="14">
        <f t="shared" si="53"/>
        <v>0</v>
      </c>
      <c r="AF95" s="14" t="e">
        <f t="shared" si="77"/>
        <v>#DIV/0!</v>
      </c>
      <c r="AG95" s="14">
        <f t="shared" si="54"/>
        <v>0</v>
      </c>
      <c r="AH95" s="18">
        <f t="shared" si="55"/>
        <v>2.789200000000001</v>
      </c>
      <c r="AI95" s="18">
        <f t="shared" si="78"/>
        <v>123.98648648648654</v>
      </c>
      <c r="AJ95" s="14" t="e">
        <f t="shared" si="56"/>
        <v>#DIV/0!</v>
      </c>
      <c r="AK95" s="15">
        <f t="shared" si="57"/>
        <v>0</v>
      </c>
      <c r="AL95" s="22" t="e">
        <v>#N/A</v>
      </c>
      <c r="AM95" t="e">
        <v>#DIV/0!</v>
      </c>
      <c r="AO95" s="3" t="e">
        <f t="shared" si="81"/>
        <v>#DIV/0!</v>
      </c>
      <c r="AP95" s="33">
        <f t="shared" si="58"/>
        <v>8.9466230555468318E-3</v>
      </c>
      <c r="AQ95" s="14" t="e">
        <f t="shared" si="79"/>
        <v>#DIV/0!</v>
      </c>
      <c r="AR95" s="4" t="e">
        <f t="shared" si="82"/>
        <v>#DIV/0!</v>
      </c>
      <c r="AS95" t="e">
        <f t="shared" si="45"/>
        <v>#DIV/0!</v>
      </c>
      <c r="AT95" s="4" t="e">
        <f t="shared" si="59"/>
        <v>#DIV/0!</v>
      </c>
      <c r="AU95" s="4" t="e">
        <f t="shared" si="60"/>
        <v>#DIV/0!</v>
      </c>
      <c r="AV95" s="24" t="e">
        <f t="shared" si="61"/>
        <v>#DIV/0!</v>
      </c>
      <c r="AW95" s="22"/>
      <c r="BA95" t="e">
        <f t="shared" si="62"/>
        <v>#DIV/0!</v>
      </c>
      <c r="BB95" t="e">
        <f t="shared" si="63"/>
        <v>#DIV/0!</v>
      </c>
      <c r="BC95" t="e">
        <f t="shared" si="64"/>
        <v>#DIV/0!</v>
      </c>
      <c r="BD95" s="21">
        <f t="shared" si="65"/>
        <v>0.3335458443561336</v>
      </c>
      <c r="BE95" s="4" t="e">
        <f t="shared" si="46"/>
        <v>#DIV/0!</v>
      </c>
      <c r="BF95" s="31" t="e">
        <f t="shared" si="80"/>
        <v>#DIV/0!</v>
      </c>
      <c r="BG95" s="4" t="e">
        <f t="shared" si="66"/>
        <v>#DIV/0!</v>
      </c>
      <c r="BH95" s="19" t="e">
        <f t="shared" si="67"/>
        <v>#DIV/0!</v>
      </c>
      <c r="BJ95" s="1">
        <v>46266</v>
      </c>
      <c r="BK95" s="42"/>
      <c r="BL95" s="42"/>
      <c r="BM95" s="42"/>
      <c r="BN95" s="43" t="e">
        <f t="shared" si="68"/>
        <v>#DIV/0!</v>
      </c>
      <c r="BO95" s="43" t="e">
        <f t="shared" si="69"/>
        <v>#DIV/0!</v>
      </c>
    </row>
    <row r="96" spans="2:67" x14ac:dyDescent="0.3">
      <c r="B96">
        <f t="shared" si="70"/>
        <v>2011</v>
      </c>
      <c r="C96">
        <f t="shared" si="71"/>
        <v>8</v>
      </c>
      <c r="D96" s="1">
        <f t="shared" si="72"/>
        <v>40756</v>
      </c>
      <c r="E96">
        <f>_xlfn.XLOOKUP(D96,[1]nairu_estimates_v6!$A$2:$A$265,[1]nairu_estimates_v6!$P$2:$P$265)</f>
        <v>11.9798937761123</v>
      </c>
      <c r="F96">
        <f>_xlfn.XLOOKUP(D96,[1]nairu_estimates_v6!$A$2:$A$265,[1]nairu_estimates_v6!$V$2:$V$265)</f>
        <v>76.623034571162194</v>
      </c>
      <c r="G96">
        <v>21475964.065022603</v>
      </c>
      <c r="H96">
        <f t="shared" si="43"/>
        <v>0</v>
      </c>
      <c r="I96">
        <f t="shared" si="44"/>
        <v>0</v>
      </c>
      <c r="J96">
        <f t="shared" si="47"/>
        <v>0</v>
      </c>
      <c r="L96">
        <v>3.5686161369085298E-2</v>
      </c>
      <c r="M96">
        <v>79.7</v>
      </c>
      <c r="N96">
        <f t="shared" si="48"/>
        <v>0</v>
      </c>
      <c r="O96">
        <v>19157923.991192602</v>
      </c>
      <c r="Q96">
        <f t="shared" si="73"/>
        <v>2026</v>
      </c>
      <c r="R96">
        <f t="shared" si="74"/>
        <v>12</v>
      </c>
      <c r="S96" s="9">
        <f t="shared" si="75"/>
        <v>46357</v>
      </c>
      <c r="T96" s="16"/>
      <c r="U96" s="1"/>
      <c r="V96" s="32" t="e">
        <f t="shared" si="49"/>
        <v>#DIV/0!</v>
      </c>
      <c r="W96" s="41">
        <f t="shared" si="50"/>
        <v>0</v>
      </c>
      <c r="X96" s="15">
        <f t="shared" si="76"/>
        <v>0</v>
      </c>
      <c r="Y96" s="17" t="e">
        <v>#DIV/0!</v>
      </c>
      <c r="Z96" t="e">
        <v>#N/A</v>
      </c>
      <c r="AA96" s="4" t="e">
        <f t="shared" si="51"/>
        <v>#DIV/0!</v>
      </c>
      <c r="AB96" s="4">
        <v>0</v>
      </c>
      <c r="AC96" s="4">
        <v>42</v>
      </c>
      <c r="AD96" s="14" t="e">
        <f t="shared" si="52"/>
        <v>#DIV/0!</v>
      </c>
      <c r="AE96" s="14">
        <f t="shared" si="53"/>
        <v>0</v>
      </c>
      <c r="AF96" s="14" t="e">
        <f t="shared" si="77"/>
        <v>#DIV/0!</v>
      </c>
      <c r="AG96" s="14">
        <f t="shared" si="54"/>
        <v>0</v>
      </c>
      <c r="AH96" s="18">
        <f t="shared" si="55"/>
        <v>2.789200000000001</v>
      </c>
      <c r="AI96" s="18">
        <f t="shared" si="78"/>
        <v>123.98648648648654</v>
      </c>
      <c r="AJ96" s="14" t="e">
        <f t="shared" si="56"/>
        <v>#DIV/0!</v>
      </c>
      <c r="AK96" s="15">
        <f t="shared" si="57"/>
        <v>0</v>
      </c>
      <c r="AL96" s="22" t="e">
        <v>#N/A</v>
      </c>
      <c r="AM96" t="e">
        <v>#DIV/0!</v>
      </c>
      <c r="AO96" s="3" t="e">
        <f t="shared" si="81"/>
        <v>#DIV/0!</v>
      </c>
      <c r="AP96" s="33">
        <f t="shared" si="58"/>
        <v>8.9466230555468318E-3</v>
      </c>
      <c r="AQ96" s="14" t="e">
        <f t="shared" si="79"/>
        <v>#DIV/0!</v>
      </c>
      <c r="AR96" s="4" t="e">
        <f t="shared" si="82"/>
        <v>#DIV/0!</v>
      </c>
      <c r="AS96" t="e">
        <f t="shared" si="45"/>
        <v>#DIV/0!</v>
      </c>
      <c r="AT96" s="4" t="e">
        <f t="shared" si="59"/>
        <v>#DIV/0!</v>
      </c>
      <c r="AU96" s="4" t="e">
        <f t="shared" si="60"/>
        <v>#DIV/0!</v>
      </c>
      <c r="AV96" s="24" t="e">
        <f t="shared" si="61"/>
        <v>#DIV/0!</v>
      </c>
      <c r="AW96" s="22"/>
      <c r="BA96" t="e">
        <f t="shared" si="62"/>
        <v>#DIV/0!</v>
      </c>
      <c r="BB96" t="e">
        <f t="shared" si="63"/>
        <v>#DIV/0!</v>
      </c>
      <c r="BC96" t="e">
        <f t="shared" si="64"/>
        <v>#DIV/0!</v>
      </c>
      <c r="BD96" s="21">
        <f t="shared" si="65"/>
        <v>0.3335458443561336</v>
      </c>
      <c r="BE96" s="4" t="e">
        <f t="shared" si="46"/>
        <v>#DIV/0!</v>
      </c>
      <c r="BF96" s="31" t="e">
        <f t="shared" si="80"/>
        <v>#DIV/0!</v>
      </c>
      <c r="BG96" s="4" t="e">
        <f t="shared" si="66"/>
        <v>#DIV/0!</v>
      </c>
      <c r="BH96" s="19" t="e">
        <f t="shared" si="67"/>
        <v>#DIV/0!</v>
      </c>
      <c r="BJ96" s="1">
        <v>46357</v>
      </c>
      <c r="BK96" s="42"/>
      <c r="BL96" s="42"/>
      <c r="BM96" s="42"/>
      <c r="BN96" s="43" t="e">
        <f t="shared" si="68"/>
        <v>#DIV/0!</v>
      </c>
      <c r="BO96" s="43" t="e">
        <f t="shared" si="69"/>
        <v>#DIV/0!</v>
      </c>
    </row>
    <row r="97" spans="2:60" ht="14.4" customHeight="1" x14ac:dyDescent="0.3">
      <c r="B97">
        <f t="shared" si="70"/>
        <v>2011</v>
      </c>
      <c r="C97">
        <f t="shared" si="71"/>
        <v>9</v>
      </c>
      <c r="D97" s="1">
        <f t="shared" si="72"/>
        <v>40787</v>
      </c>
      <c r="E97">
        <f>_xlfn.XLOOKUP(D97,[1]nairu_estimates_v6!$A$2:$A$265,[1]nairu_estimates_v6!$P$2:$P$265)</f>
        <v>11.9652000735535</v>
      </c>
      <c r="F97">
        <f>_xlfn.XLOOKUP(D97,[1]nairu_estimates_v6!$A$2:$A$265,[1]nairu_estimates_v6!$V$2:$V$265)</f>
        <v>76.837978648525507</v>
      </c>
      <c r="G97">
        <v>21783316.299494602</v>
      </c>
      <c r="H97">
        <f t="shared" si="43"/>
        <v>11.978308903968733</v>
      </c>
      <c r="I97">
        <f t="shared" si="44"/>
        <v>76.689531840305733</v>
      </c>
      <c r="J97">
        <f t="shared" si="47"/>
        <v>21617224.810325418</v>
      </c>
      <c r="L97">
        <v>3.5686161369085298E-2</v>
      </c>
      <c r="M97">
        <v>76.400000000000006</v>
      </c>
      <c r="N97">
        <f t="shared" si="48"/>
        <v>78.033333333333331</v>
      </c>
      <c r="O97">
        <v>19490256.7059827</v>
      </c>
      <c r="S97" s="1"/>
      <c r="T97" s="1"/>
      <c r="U97" s="1"/>
      <c r="V97" s="32"/>
      <c r="W97" s="41"/>
      <c r="X97" s="1"/>
      <c r="Y97" s="1"/>
      <c r="AE97" s="14">
        <f t="shared" si="53"/>
        <v>0</v>
      </c>
      <c r="AH97" s="38" t="s">
        <v>25</v>
      </c>
      <c r="AI97" s="38"/>
      <c r="AJ97" s="7"/>
      <c r="AO97" s="3"/>
      <c r="AP97" s="38" t="s">
        <v>25</v>
      </c>
      <c r="AQ97" s="14"/>
      <c r="AR97" s="4"/>
      <c r="AT97" s="4"/>
      <c r="AU97" s="4"/>
      <c r="AV97" s="4"/>
      <c r="BE97" s="4"/>
      <c r="BF97" s="30" t="e">
        <f t="shared" si="80"/>
        <v>#DIV/0!</v>
      </c>
      <c r="BG97" s="4"/>
      <c r="BH97" s="19"/>
    </row>
    <row r="98" spans="2:60" x14ac:dyDescent="0.3">
      <c r="B98">
        <f t="shared" si="70"/>
        <v>2011</v>
      </c>
      <c r="C98">
        <f t="shared" si="71"/>
        <v>10</v>
      </c>
      <c r="D98" s="1">
        <f t="shared" si="72"/>
        <v>40817</v>
      </c>
      <c r="E98">
        <f>_xlfn.XLOOKUP(D98,[1]nairu_estimates_v6!$A$2:$A$265,[1]nairu_estimates_v6!$P$2:$P$265)</f>
        <v>11.939837244205</v>
      </c>
      <c r="F98">
        <f>_xlfn.XLOOKUP(D98,[1]nairu_estimates_v6!$A$2:$A$265,[1]nairu_estimates_v6!$V$2:$V$265)</f>
        <v>76.986475680405306</v>
      </c>
      <c r="G98">
        <v>22108480.22137779</v>
      </c>
      <c r="H98">
        <f t="shared" si="43"/>
        <v>0</v>
      </c>
      <c r="I98">
        <f t="shared" si="44"/>
        <v>0</v>
      </c>
      <c r="J98">
        <f t="shared" si="47"/>
        <v>0</v>
      </c>
      <c r="L98">
        <v>3.5686161369085298E-2</v>
      </c>
      <c r="M98">
        <v>75</v>
      </c>
      <c r="N98">
        <f t="shared" si="48"/>
        <v>0</v>
      </c>
      <c r="O98">
        <v>19749717.050949499</v>
      </c>
      <c r="S98" s="1"/>
      <c r="T98" s="1"/>
      <c r="U98" s="1"/>
      <c r="V98" s="32"/>
      <c r="W98" s="41"/>
      <c r="X98" s="1"/>
      <c r="Y98" s="1"/>
      <c r="AE98" s="14">
        <f t="shared" si="53"/>
        <v>0</v>
      </c>
      <c r="AH98" s="38"/>
      <c r="AI98" s="38"/>
      <c r="AJ98" s="7"/>
      <c r="AO98" s="3"/>
      <c r="AP98" s="38"/>
      <c r="AQ98" s="14"/>
      <c r="AR98" s="4"/>
      <c r="AT98" s="4"/>
      <c r="AU98" s="4"/>
      <c r="AV98" s="4"/>
      <c r="BE98" s="4"/>
      <c r="BF98" s="30" t="e">
        <f t="shared" si="80"/>
        <v>#DIV/0!</v>
      </c>
      <c r="BG98" s="4"/>
      <c r="BH98" s="19"/>
    </row>
    <row r="99" spans="2:60" x14ac:dyDescent="0.3">
      <c r="B99">
        <f t="shared" si="70"/>
        <v>2011</v>
      </c>
      <c r="C99">
        <f t="shared" si="71"/>
        <v>11</v>
      </c>
      <c r="D99" s="1">
        <f t="shared" si="72"/>
        <v>40848</v>
      </c>
      <c r="E99">
        <f>_xlfn.XLOOKUP(D99,[1]nairu_estimates_v6!$A$2:$A$265,[1]nairu_estimates_v6!$P$2:$P$265)</f>
        <v>11.9054039959248</v>
      </c>
      <c r="F99">
        <f>_xlfn.XLOOKUP(D99,[1]nairu_estimates_v6!$A$2:$A$265,[1]nairu_estimates_v6!$V$2:$V$265)</f>
        <v>77.333156170221898</v>
      </c>
      <c r="G99">
        <v>22062982.983271319</v>
      </c>
      <c r="H99">
        <f t="shared" si="43"/>
        <v>0</v>
      </c>
      <c r="I99">
        <f t="shared" si="44"/>
        <v>0</v>
      </c>
      <c r="J99">
        <f t="shared" si="47"/>
        <v>0</v>
      </c>
      <c r="L99">
        <v>3.5686161369085298E-2</v>
      </c>
      <c r="M99">
        <v>75.099999999999994</v>
      </c>
      <c r="N99">
        <f t="shared" si="48"/>
        <v>0</v>
      </c>
      <c r="O99">
        <v>19736137.492739998</v>
      </c>
      <c r="S99" s="1"/>
      <c r="T99" s="1"/>
      <c r="U99" s="1"/>
      <c r="V99" s="1"/>
      <c r="W99" s="1"/>
      <c r="X99" s="1"/>
      <c r="Y99" s="1"/>
      <c r="AE99" s="14"/>
      <c r="AQ99" s="14"/>
      <c r="AT99" s="4"/>
      <c r="AU99" s="4"/>
      <c r="BF99" s="30"/>
      <c r="BH99" s="19"/>
    </row>
    <row r="100" spans="2:60" x14ac:dyDescent="0.3">
      <c r="B100">
        <f t="shared" si="70"/>
        <v>2011</v>
      </c>
      <c r="C100">
        <f t="shared" si="71"/>
        <v>12</v>
      </c>
      <c r="D100" s="1">
        <f t="shared" si="72"/>
        <v>40878</v>
      </c>
      <c r="E100">
        <f>_xlfn.XLOOKUP(D100,[1]nairu_estimates_v6!$A$2:$A$265,[1]nairu_estimates_v6!$P$2:$P$265)</f>
        <v>11.864659310969101</v>
      </c>
      <c r="F100">
        <f>_xlfn.XLOOKUP(D100,[1]nairu_estimates_v6!$A$2:$A$265,[1]nairu_estimates_v6!$V$2:$V$265)</f>
        <v>77.211932773860696</v>
      </c>
      <c r="G100">
        <v>21923830.22563538</v>
      </c>
      <c r="H100">
        <f t="shared" si="43"/>
        <v>11.903300183699635</v>
      </c>
      <c r="I100">
        <f t="shared" si="44"/>
        <v>77.177188208162633</v>
      </c>
      <c r="J100">
        <f t="shared" si="47"/>
        <v>22031764.476761494</v>
      </c>
      <c r="L100">
        <v>3.5686161369085298E-2</v>
      </c>
      <c r="M100">
        <v>77.8</v>
      </c>
      <c r="N100">
        <f t="shared" si="48"/>
        <v>75.966666666666654</v>
      </c>
      <c r="O100">
        <v>19574003.976365399</v>
      </c>
      <c r="S100" s="1"/>
      <c r="T100" s="1"/>
      <c r="U100" s="1"/>
      <c r="V100" s="1"/>
      <c r="W100" s="1"/>
      <c r="X100" s="1"/>
      <c r="Y100" s="1"/>
      <c r="AE100" s="14"/>
      <c r="AQ100" s="14"/>
      <c r="AT100" s="4"/>
      <c r="AU100" s="4"/>
      <c r="BF100" s="30"/>
      <c r="BH100" s="19"/>
    </row>
    <row r="101" spans="2:60" x14ac:dyDescent="0.3">
      <c r="B101">
        <f t="shared" si="70"/>
        <v>2012</v>
      </c>
      <c r="C101">
        <f t="shared" si="71"/>
        <v>1</v>
      </c>
      <c r="D101" s="1">
        <f t="shared" si="72"/>
        <v>40909</v>
      </c>
      <c r="E101">
        <f>_xlfn.XLOOKUP(D101,[1]nairu_estimates_v6!$A$2:$A$265,[1]nairu_estimates_v6!$P$2:$P$265)</f>
        <v>11.8211193860454</v>
      </c>
      <c r="F101">
        <f>_xlfn.XLOOKUP(D101,[1]nairu_estimates_v6!$A$2:$A$265,[1]nairu_estimates_v6!$V$2:$V$265)</f>
        <v>76.928174728338703</v>
      </c>
      <c r="G101">
        <v>22010298.319032449</v>
      </c>
      <c r="H101">
        <f t="shared" si="43"/>
        <v>0</v>
      </c>
      <c r="I101">
        <f t="shared" si="44"/>
        <v>0</v>
      </c>
      <c r="J101">
        <f t="shared" si="47"/>
        <v>0</v>
      </c>
      <c r="K101">
        <v>2.4357000000000002</v>
      </c>
      <c r="L101">
        <v>3.65020483732224E-2</v>
      </c>
      <c r="M101">
        <v>76.400000000000006</v>
      </c>
      <c r="N101">
        <f t="shared" si="48"/>
        <v>0</v>
      </c>
      <c r="O101">
        <v>19666935.1416061</v>
      </c>
      <c r="S101" s="1"/>
      <c r="T101" s="1"/>
      <c r="U101" s="1"/>
      <c r="V101" s="1"/>
      <c r="W101" s="1"/>
      <c r="X101" s="1"/>
      <c r="Y101" s="1"/>
      <c r="AE101" s="14"/>
      <c r="AQ101" s="14"/>
      <c r="AT101" s="4"/>
      <c r="AU101" s="4"/>
      <c r="BF101" s="30"/>
      <c r="BH101" s="19"/>
    </row>
    <row r="102" spans="2:60" x14ac:dyDescent="0.3">
      <c r="B102">
        <f t="shared" si="70"/>
        <v>2012</v>
      </c>
      <c r="C102">
        <f t="shared" si="71"/>
        <v>2</v>
      </c>
      <c r="D102" s="1">
        <f t="shared" si="72"/>
        <v>40940</v>
      </c>
      <c r="E102">
        <f>_xlfn.XLOOKUP(D102,[1]nairu_estimates_v6!$A$2:$A$265,[1]nairu_estimates_v6!$P$2:$P$265)</f>
        <v>11.7723854229385</v>
      </c>
      <c r="F102">
        <f>_xlfn.XLOOKUP(D102,[1]nairu_estimates_v6!$A$2:$A$265,[1]nairu_estimates_v6!$V$2:$V$265)</f>
        <v>76.694185766504503</v>
      </c>
      <c r="G102">
        <v>22115453.05233765</v>
      </c>
      <c r="H102">
        <f t="shared" si="43"/>
        <v>0</v>
      </c>
      <c r="I102">
        <f t="shared" si="44"/>
        <v>0</v>
      </c>
      <c r="J102">
        <f t="shared" si="47"/>
        <v>0</v>
      </c>
      <c r="L102">
        <v>3.65020483732224E-2</v>
      </c>
      <c r="M102">
        <v>75</v>
      </c>
      <c r="N102">
        <f t="shared" si="48"/>
        <v>0</v>
      </c>
      <c r="O102">
        <v>19760147.898567297</v>
      </c>
      <c r="S102" s="1"/>
      <c r="T102" s="1"/>
      <c r="U102" s="1"/>
      <c r="V102" s="1"/>
      <c r="W102" s="1"/>
      <c r="X102" s="1"/>
      <c r="Y102" s="1"/>
      <c r="AE102" s="14"/>
      <c r="AQ102" s="14"/>
      <c r="AT102" s="4"/>
      <c r="AU102" s="4"/>
      <c r="BF102" s="30"/>
      <c r="BH102" s="19"/>
    </row>
    <row r="103" spans="2:60" x14ac:dyDescent="0.3">
      <c r="B103">
        <f t="shared" si="70"/>
        <v>2012</v>
      </c>
      <c r="C103">
        <f t="shared" si="71"/>
        <v>3</v>
      </c>
      <c r="D103" s="1">
        <f t="shared" si="72"/>
        <v>40969</v>
      </c>
      <c r="E103">
        <f>_xlfn.XLOOKUP(D103,[1]nairu_estimates_v6!$A$2:$A$265,[1]nairu_estimates_v6!$P$2:$P$265)</f>
        <v>11.7258611774529</v>
      </c>
      <c r="F103">
        <f>_xlfn.XLOOKUP(D103,[1]nairu_estimates_v6!$A$2:$A$265,[1]nairu_estimates_v6!$V$2:$V$265)</f>
        <v>76.836195409799899</v>
      </c>
      <c r="G103">
        <v>22240975.595084429</v>
      </c>
      <c r="H103">
        <f t="shared" si="43"/>
        <v>11.773121995478933</v>
      </c>
      <c r="I103">
        <f t="shared" si="44"/>
        <v>76.819518634881035</v>
      </c>
      <c r="J103">
        <f t="shared" si="47"/>
        <v>22122242.322151508</v>
      </c>
      <c r="L103">
        <v>3.65020483732224E-2</v>
      </c>
      <c r="M103">
        <v>76</v>
      </c>
      <c r="N103">
        <f t="shared" si="48"/>
        <v>75.8</v>
      </c>
      <c r="O103">
        <v>19896186.002633799</v>
      </c>
      <c r="S103" s="1"/>
      <c r="T103" s="1"/>
      <c r="U103" s="1"/>
      <c r="V103" s="1"/>
      <c r="W103" s="1"/>
      <c r="X103" s="1"/>
      <c r="Y103" s="1"/>
      <c r="AE103" s="14"/>
      <c r="AQ103" s="14"/>
      <c r="AT103" s="4"/>
      <c r="AU103" s="4"/>
      <c r="BF103" s="30"/>
      <c r="BH103" s="19"/>
    </row>
    <row r="104" spans="2:60" x14ac:dyDescent="0.3">
      <c r="B104">
        <f t="shared" si="70"/>
        <v>2012</v>
      </c>
      <c r="C104">
        <f t="shared" si="71"/>
        <v>4</v>
      </c>
      <c r="D104" s="1">
        <f t="shared" si="72"/>
        <v>41000</v>
      </c>
      <c r="E104">
        <f>_xlfn.XLOOKUP(D104,[1]nairu_estimates_v6!$A$2:$A$265,[1]nairu_estimates_v6!$P$2:$P$265)</f>
        <v>11.678019525040201</v>
      </c>
      <c r="F104">
        <f>_xlfn.XLOOKUP(D104,[1]nairu_estimates_v6!$A$2:$A$265,[1]nairu_estimates_v6!$V$2:$V$265)</f>
        <v>76.778127863303197</v>
      </c>
      <c r="G104">
        <v>22082153.347562913</v>
      </c>
      <c r="H104">
        <f t="shared" si="43"/>
        <v>0</v>
      </c>
      <c r="I104">
        <f t="shared" si="44"/>
        <v>0</v>
      </c>
      <c r="J104">
        <f t="shared" si="47"/>
        <v>0</v>
      </c>
      <c r="L104">
        <v>3.65020483732224E-2</v>
      </c>
      <c r="M104">
        <v>77</v>
      </c>
      <c r="N104">
        <f t="shared" si="48"/>
        <v>0</v>
      </c>
      <c r="O104">
        <v>19669356.8136895</v>
      </c>
      <c r="S104" s="1"/>
      <c r="T104" s="1"/>
      <c r="U104" s="1"/>
      <c r="V104" s="1"/>
      <c r="W104" s="1"/>
      <c r="X104" s="1"/>
      <c r="Y104" s="1"/>
      <c r="AE104" s="14"/>
      <c r="AQ104" s="14"/>
      <c r="AT104" s="4"/>
      <c r="AU104" s="4"/>
      <c r="BF104" s="30"/>
      <c r="BH104" s="19"/>
    </row>
    <row r="105" spans="2:60" x14ac:dyDescent="0.3">
      <c r="B105">
        <f t="shared" si="70"/>
        <v>2012</v>
      </c>
      <c r="C105">
        <f t="shared" si="71"/>
        <v>5</v>
      </c>
      <c r="D105" s="1">
        <f t="shared" si="72"/>
        <v>41030</v>
      </c>
      <c r="E105">
        <f>_xlfn.XLOOKUP(D105,[1]nairu_estimates_v6!$A$2:$A$265,[1]nairu_estimates_v6!$P$2:$P$265)</f>
        <v>11.6279459572915</v>
      </c>
      <c r="F105">
        <f>_xlfn.XLOOKUP(D105,[1]nairu_estimates_v6!$A$2:$A$265,[1]nairu_estimates_v6!$V$2:$V$265)</f>
        <v>76.55039368125</v>
      </c>
      <c r="G105">
        <v>22203308.486677743</v>
      </c>
      <c r="H105">
        <f t="shared" si="43"/>
        <v>0</v>
      </c>
      <c r="I105">
        <f t="shared" si="44"/>
        <v>0</v>
      </c>
      <c r="J105">
        <f t="shared" si="47"/>
        <v>0</v>
      </c>
      <c r="L105">
        <v>3.65020483732224E-2</v>
      </c>
      <c r="M105">
        <v>78</v>
      </c>
      <c r="N105">
        <f t="shared" si="48"/>
        <v>0</v>
      </c>
      <c r="O105">
        <v>19772503.3669721</v>
      </c>
      <c r="S105" s="1"/>
      <c r="T105" s="1"/>
      <c r="U105" s="1"/>
      <c r="V105" s="1"/>
      <c r="W105" s="1"/>
      <c r="X105" s="1"/>
      <c r="Y105" s="1"/>
      <c r="AE105" s="14"/>
      <c r="AQ105" s="14"/>
      <c r="AT105" s="4"/>
      <c r="AU105" s="4"/>
      <c r="BF105" s="30"/>
      <c r="BH105" s="19"/>
    </row>
    <row r="106" spans="2:60" x14ac:dyDescent="0.3">
      <c r="B106">
        <f t="shared" si="70"/>
        <v>2012</v>
      </c>
      <c r="C106">
        <f t="shared" si="71"/>
        <v>6</v>
      </c>
      <c r="D106" s="1">
        <f t="shared" si="72"/>
        <v>41061</v>
      </c>
      <c r="E106">
        <f>_xlfn.XLOOKUP(D106,[1]nairu_estimates_v6!$A$2:$A$265,[1]nairu_estimates_v6!$P$2:$P$265)</f>
        <v>11.576834119176601</v>
      </c>
      <c r="F106">
        <f>_xlfn.XLOOKUP(D106,[1]nairu_estimates_v6!$A$2:$A$265,[1]nairu_estimates_v6!$V$2:$V$265)</f>
        <v>76.481850437602404</v>
      </c>
      <c r="G106">
        <v>22410521.669430092</v>
      </c>
      <c r="H106">
        <f t="shared" si="43"/>
        <v>11.627599867169435</v>
      </c>
      <c r="I106">
        <f t="shared" si="44"/>
        <v>76.603457327385215</v>
      </c>
      <c r="J106">
        <f t="shared" si="47"/>
        <v>22231994.501223583</v>
      </c>
      <c r="L106">
        <v>3.65020483732224E-2</v>
      </c>
      <c r="M106">
        <v>77.900000000000006</v>
      </c>
      <c r="N106">
        <f t="shared" si="48"/>
        <v>77.63333333333334</v>
      </c>
      <c r="O106">
        <v>20048440.512552798</v>
      </c>
      <c r="S106" s="1"/>
      <c r="T106" s="1"/>
      <c r="U106" s="1"/>
      <c r="V106" s="1"/>
      <c r="W106" s="1"/>
      <c r="X106" s="1"/>
      <c r="Y106" s="1"/>
      <c r="AE106" s="14"/>
      <c r="AQ106" s="14"/>
      <c r="AT106" s="4"/>
      <c r="AU106" s="4"/>
      <c r="BF106" s="30"/>
      <c r="BH106" s="19"/>
    </row>
    <row r="107" spans="2:60" x14ac:dyDescent="0.3">
      <c r="B107">
        <f t="shared" si="70"/>
        <v>2012</v>
      </c>
      <c r="C107">
        <f t="shared" si="71"/>
        <v>7</v>
      </c>
      <c r="D107" s="1">
        <f t="shared" si="72"/>
        <v>41091</v>
      </c>
      <c r="E107">
        <f>_xlfn.XLOOKUP(D107,[1]nairu_estimates_v6!$A$2:$A$265,[1]nairu_estimates_v6!$P$2:$P$265)</f>
        <v>11.524033321074199</v>
      </c>
      <c r="F107">
        <f>_xlfn.XLOOKUP(D107,[1]nairu_estimates_v6!$A$2:$A$265,[1]nairu_estimates_v6!$V$2:$V$265)</f>
        <v>76.548170091744794</v>
      </c>
      <c r="G107">
        <v>22060381.61062609</v>
      </c>
      <c r="H107">
        <f t="shared" si="43"/>
        <v>0</v>
      </c>
      <c r="I107">
        <f t="shared" si="44"/>
        <v>0</v>
      </c>
      <c r="J107">
        <f t="shared" si="47"/>
        <v>0</v>
      </c>
      <c r="L107">
        <v>3.65020483732224E-2</v>
      </c>
      <c r="M107">
        <v>78</v>
      </c>
      <c r="N107">
        <f t="shared" si="48"/>
        <v>0</v>
      </c>
      <c r="O107">
        <v>19714579.7694753</v>
      </c>
      <c r="S107" s="1"/>
      <c r="T107" s="1"/>
      <c r="U107" s="1"/>
      <c r="V107" s="1"/>
      <c r="W107" s="1"/>
      <c r="X107" s="1"/>
      <c r="Y107" s="1"/>
      <c r="AE107" s="14"/>
      <c r="AQ107" s="14"/>
      <c r="AT107" s="4"/>
      <c r="AU107" s="4"/>
      <c r="BF107" s="30"/>
      <c r="BH107" s="19"/>
    </row>
    <row r="108" spans="2:60" x14ac:dyDescent="0.3">
      <c r="B108">
        <f t="shared" si="70"/>
        <v>2012</v>
      </c>
      <c r="C108">
        <f t="shared" si="71"/>
        <v>8</v>
      </c>
      <c r="D108" s="1">
        <f t="shared" si="72"/>
        <v>41122</v>
      </c>
      <c r="E108">
        <f>_xlfn.XLOOKUP(D108,[1]nairu_estimates_v6!$A$2:$A$265,[1]nairu_estimates_v6!$P$2:$P$265)</f>
        <v>11.469878867021899</v>
      </c>
      <c r="F108">
        <f>_xlfn.XLOOKUP(D108,[1]nairu_estimates_v6!$A$2:$A$265,[1]nairu_estimates_v6!$V$2:$V$265)</f>
        <v>76.733221180426995</v>
      </c>
      <c r="G108">
        <v>22242767.066003501</v>
      </c>
      <c r="H108">
        <f t="shared" si="43"/>
        <v>0</v>
      </c>
      <c r="I108">
        <f t="shared" si="44"/>
        <v>0</v>
      </c>
      <c r="J108">
        <f t="shared" si="47"/>
        <v>0</v>
      </c>
      <c r="L108">
        <v>3.65020483732224E-2</v>
      </c>
      <c r="M108">
        <v>78.900000000000006</v>
      </c>
      <c r="N108">
        <f t="shared" si="48"/>
        <v>0</v>
      </c>
      <c r="O108">
        <v>19953906.228093002</v>
      </c>
      <c r="S108" s="1"/>
      <c r="T108" s="1"/>
      <c r="U108" s="1"/>
      <c r="V108" s="1"/>
      <c r="W108" s="1"/>
      <c r="X108" s="1"/>
      <c r="Y108" s="1"/>
      <c r="AE108" s="14"/>
      <c r="AQ108" s="14"/>
      <c r="AT108" s="4"/>
      <c r="AU108" s="4"/>
      <c r="BF108" s="30"/>
      <c r="BH108" s="19"/>
    </row>
    <row r="109" spans="2:60" x14ac:dyDescent="0.3">
      <c r="B109">
        <f t="shared" si="70"/>
        <v>2012</v>
      </c>
      <c r="C109">
        <f t="shared" si="71"/>
        <v>9</v>
      </c>
      <c r="D109" s="1">
        <f t="shared" si="72"/>
        <v>41153</v>
      </c>
      <c r="E109">
        <f>_xlfn.XLOOKUP(D109,[1]nairu_estimates_v6!$A$2:$A$265,[1]nairu_estimates_v6!$P$2:$P$265)</f>
        <v>11.414770665567501</v>
      </c>
      <c r="F109">
        <f>_xlfn.XLOOKUP(D109,[1]nairu_estimates_v6!$A$2:$A$265,[1]nairu_estimates_v6!$V$2:$V$265)</f>
        <v>76.882916469581701</v>
      </c>
      <c r="G109">
        <v>21952536.47712291</v>
      </c>
      <c r="H109">
        <f t="shared" si="43"/>
        <v>11.469560951221199</v>
      </c>
      <c r="I109">
        <f t="shared" si="44"/>
        <v>76.72143591391783</v>
      </c>
      <c r="J109">
        <f t="shared" si="47"/>
        <v>22085228.384584166</v>
      </c>
      <c r="L109">
        <v>3.65020483732224E-2</v>
      </c>
      <c r="M109">
        <v>78.400000000000006</v>
      </c>
      <c r="N109">
        <f t="shared" si="48"/>
        <v>78.433333333333337</v>
      </c>
      <c r="O109">
        <v>19592951.813421</v>
      </c>
      <c r="S109" s="1"/>
      <c r="T109" s="1"/>
      <c r="U109" s="1"/>
      <c r="V109" s="1"/>
      <c r="W109" s="1"/>
      <c r="X109" s="1"/>
      <c r="Y109" s="1"/>
      <c r="AE109" s="14"/>
      <c r="AQ109" s="14"/>
      <c r="AT109" s="4"/>
      <c r="AU109" s="4"/>
      <c r="BF109" s="30"/>
      <c r="BH109" s="19"/>
    </row>
    <row r="110" spans="2:60" x14ac:dyDescent="0.3">
      <c r="B110">
        <f t="shared" si="70"/>
        <v>2012</v>
      </c>
      <c r="C110">
        <f t="shared" si="71"/>
        <v>10</v>
      </c>
      <c r="D110" s="1">
        <f t="shared" si="72"/>
        <v>41183</v>
      </c>
      <c r="E110">
        <f>_xlfn.XLOOKUP(D110,[1]nairu_estimates_v6!$A$2:$A$265,[1]nairu_estimates_v6!$P$2:$P$265)</f>
        <v>11.3625658308172</v>
      </c>
      <c r="F110">
        <f>_xlfn.XLOOKUP(D110,[1]nairu_estimates_v6!$A$2:$A$265,[1]nairu_estimates_v6!$V$2:$V$265)</f>
        <v>77.027328300221797</v>
      </c>
      <c r="G110">
        <v>21929515.0324113</v>
      </c>
      <c r="H110">
        <f t="shared" si="43"/>
        <v>0</v>
      </c>
      <c r="I110">
        <f t="shared" si="44"/>
        <v>0</v>
      </c>
      <c r="J110">
        <f t="shared" si="47"/>
        <v>0</v>
      </c>
      <c r="L110">
        <v>3.65020483732224E-2</v>
      </c>
      <c r="M110">
        <v>76.7</v>
      </c>
      <c r="N110">
        <f t="shared" si="48"/>
        <v>0</v>
      </c>
      <c r="O110">
        <v>19633059.669976398</v>
      </c>
      <c r="S110" s="1"/>
      <c r="T110" s="1"/>
      <c r="U110" s="1"/>
      <c r="V110" s="1"/>
      <c r="W110" s="1"/>
      <c r="X110" s="1"/>
      <c r="Y110" s="1"/>
      <c r="AE110" s="14"/>
      <c r="AQ110" s="14"/>
      <c r="AT110" s="4"/>
      <c r="AU110" s="4"/>
      <c r="BF110" s="30"/>
      <c r="BH110" s="19"/>
    </row>
    <row r="111" spans="2:60" x14ac:dyDescent="0.3">
      <c r="B111">
        <f t="shared" si="70"/>
        <v>2012</v>
      </c>
      <c r="C111">
        <f t="shared" si="71"/>
        <v>11</v>
      </c>
      <c r="D111" s="1">
        <f t="shared" si="72"/>
        <v>41214</v>
      </c>
      <c r="E111">
        <f>_xlfn.XLOOKUP(D111,[1]nairu_estimates_v6!$A$2:$A$265,[1]nairu_estimates_v6!$P$2:$P$265)</f>
        <v>11.3101833564175</v>
      </c>
      <c r="F111">
        <f>_xlfn.XLOOKUP(D111,[1]nairu_estimates_v6!$A$2:$A$265,[1]nairu_estimates_v6!$V$2:$V$265)</f>
        <v>77.270109125312501</v>
      </c>
      <c r="G111">
        <v>21958970.437012911</v>
      </c>
      <c r="H111">
        <f t="shared" si="43"/>
        <v>0</v>
      </c>
      <c r="I111">
        <f t="shared" si="44"/>
        <v>0</v>
      </c>
      <c r="J111">
        <f t="shared" si="47"/>
        <v>0</v>
      </c>
      <c r="L111">
        <v>3.65020483732224E-2</v>
      </c>
      <c r="M111">
        <v>74.900000000000006</v>
      </c>
      <c r="N111">
        <f t="shared" si="48"/>
        <v>0</v>
      </c>
      <c r="O111">
        <v>19630445.521343701</v>
      </c>
      <c r="S111" s="1"/>
      <c r="T111" s="1"/>
      <c r="U111" s="1"/>
      <c r="V111" s="1"/>
      <c r="W111" s="1"/>
      <c r="X111" s="1"/>
      <c r="Y111" s="1"/>
      <c r="AE111" s="14"/>
      <c r="AQ111" s="14"/>
      <c r="AT111" s="4"/>
      <c r="AU111" s="4"/>
      <c r="BF111" s="30"/>
      <c r="BH111" s="19"/>
    </row>
    <row r="112" spans="2:60" x14ac:dyDescent="0.3">
      <c r="B112">
        <f t="shared" si="70"/>
        <v>2012</v>
      </c>
      <c r="C112">
        <f t="shared" si="71"/>
        <v>12</v>
      </c>
      <c r="D112" s="1">
        <f t="shared" si="72"/>
        <v>41244</v>
      </c>
      <c r="E112">
        <f>_xlfn.XLOOKUP(D112,[1]nairu_estimates_v6!$A$2:$A$265,[1]nairu_estimates_v6!$P$2:$P$265)</f>
        <v>11.257284617027899</v>
      </c>
      <c r="F112">
        <f>_xlfn.XLOOKUP(D112,[1]nairu_estimates_v6!$A$2:$A$265,[1]nairu_estimates_v6!$V$2:$V$265)</f>
        <v>77.416813075685297</v>
      </c>
      <c r="G112">
        <v>22198795.906698108</v>
      </c>
      <c r="H112">
        <f t="shared" si="43"/>
        <v>11.310011268087534</v>
      </c>
      <c r="I112">
        <f t="shared" si="44"/>
        <v>77.238083500406532</v>
      </c>
      <c r="J112">
        <f t="shared" si="47"/>
        <v>22029093.792040773</v>
      </c>
      <c r="L112">
        <v>3.65020483732224E-2</v>
      </c>
      <c r="M112">
        <v>73.7</v>
      </c>
      <c r="N112">
        <f t="shared" si="48"/>
        <v>75.100000000000009</v>
      </c>
      <c r="O112">
        <v>19865001.261669099</v>
      </c>
      <c r="S112" s="1"/>
      <c r="T112" s="1"/>
      <c r="U112" s="1"/>
      <c r="V112" s="1"/>
      <c r="W112" s="1"/>
      <c r="X112" s="1"/>
      <c r="Y112" s="1"/>
      <c r="AE112" s="14"/>
      <c r="AQ112" s="14"/>
      <c r="AT112" s="4"/>
      <c r="AU112" s="4"/>
      <c r="BF112" s="30"/>
      <c r="BH112" s="19"/>
    </row>
    <row r="113" spans="2:60" x14ac:dyDescent="0.3">
      <c r="B113">
        <f t="shared" si="70"/>
        <v>2013</v>
      </c>
      <c r="C113">
        <f t="shared" si="71"/>
        <v>1</v>
      </c>
      <c r="D113" s="1">
        <f t="shared" si="72"/>
        <v>41275</v>
      </c>
      <c r="E113">
        <f>_xlfn.XLOOKUP(D113,[1]nairu_estimates_v6!$A$2:$A$265,[1]nairu_estimates_v6!$P$2:$P$265)</f>
        <v>11.2033646652856</v>
      </c>
      <c r="F113">
        <f>_xlfn.XLOOKUP(D113,[1]nairu_estimates_v6!$A$2:$A$265,[1]nairu_estimates_v6!$V$2:$V$265)</f>
        <v>77.325806353764406</v>
      </c>
      <c r="G113">
        <v>22150790.537057303</v>
      </c>
      <c r="H113">
        <f t="shared" si="43"/>
        <v>0</v>
      </c>
      <c r="I113">
        <f t="shared" si="44"/>
        <v>0</v>
      </c>
      <c r="J113">
        <f t="shared" si="47"/>
        <v>0</v>
      </c>
      <c r="K113">
        <v>2.4609000000000001</v>
      </c>
      <c r="L113">
        <v>3.7031713873147999E-2</v>
      </c>
      <c r="M113">
        <v>73.900000000000006</v>
      </c>
      <c r="N113">
        <f t="shared" si="48"/>
        <v>0</v>
      </c>
      <c r="O113">
        <v>19882411.8118135</v>
      </c>
      <c r="S113" s="1"/>
      <c r="T113" s="1"/>
      <c r="U113" s="1"/>
      <c r="V113" s="1"/>
      <c r="W113" s="1"/>
      <c r="X113" s="1"/>
      <c r="Y113" s="1"/>
      <c r="AE113" s="14"/>
      <c r="AQ113" s="14"/>
      <c r="AT113" s="4"/>
      <c r="AU113" s="4"/>
      <c r="BF113" s="30"/>
      <c r="BH113" s="19"/>
    </row>
    <row r="114" spans="2:60" x14ac:dyDescent="0.3">
      <c r="B114">
        <f t="shared" si="70"/>
        <v>2013</v>
      </c>
      <c r="C114">
        <f t="shared" si="71"/>
        <v>2</v>
      </c>
      <c r="D114" s="1">
        <f t="shared" si="72"/>
        <v>41306</v>
      </c>
      <c r="E114">
        <f>_xlfn.XLOOKUP(D114,[1]nairu_estimates_v6!$A$2:$A$265,[1]nairu_estimates_v6!$P$2:$P$265)</f>
        <v>11.1488065235205</v>
      </c>
      <c r="F114">
        <f>_xlfn.XLOOKUP(D114,[1]nairu_estimates_v6!$A$2:$A$265,[1]nairu_estimates_v6!$V$2:$V$265)</f>
        <v>77.014027890022405</v>
      </c>
      <c r="G114">
        <v>22070976.63565626</v>
      </c>
      <c r="H114">
        <f t="shared" si="43"/>
        <v>0</v>
      </c>
      <c r="I114">
        <f t="shared" si="44"/>
        <v>0</v>
      </c>
      <c r="J114">
        <f t="shared" si="47"/>
        <v>0</v>
      </c>
      <c r="L114">
        <v>3.7031713873147999E-2</v>
      </c>
      <c r="M114">
        <v>74.5</v>
      </c>
      <c r="N114">
        <f t="shared" si="48"/>
        <v>0</v>
      </c>
      <c r="O114">
        <v>19743902.098802701</v>
      </c>
      <c r="S114" s="1"/>
      <c r="T114" s="1"/>
      <c r="U114" s="1"/>
      <c r="V114" s="1"/>
      <c r="W114" s="1"/>
      <c r="X114" s="1"/>
      <c r="Y114" s="1"/>
      <c r="AE114" s="14"/>
      <c r="AQ114" s="14"/>
      <c r="AT114" s="4"/>
      <c r="AU114" s="4"/>
      <c r="BF114" s="30"/>
      <c r="BH114" s="19"/>
    </row>
    <row r="115" spans="2:60" x14ac:dyDescent="0.3">
      <c r="B115">
        <f t="shared" si="70"/>
        <v>2013</v>
      </c>
      <c r="C115">
        <f t="shared" si="71"/>
        <v>3</v>
      </c>
      <c r="D115" s="1">
        <f t="shared" si="72"/>
        <v>41334</v>
      </c>
      <c r="E115">
        <f>_xlfn.XLOOKUP(D115,[1]nairu_estimates_v6!$A$2:$A$265,[1]nairu_estimates_v6!$P$2:$P$265)</f>
        <v>11.0952783729998</v>
      </c>
      <c r="F115">
        <f>_xlfn.XLOOKUP(D115,[1]nairu_estimates_v6!$A$2:$A$265,[1]nairu_estimates_v6!$V$2:$V$265)</f>
        <v>76.585309343929495</v>
      </c>
      <c r="G115">
        <v>21951605.53268813</v>
      </c>
      <c r="H115">
        <f t="shared" si="43"/>
        <v>11.149149853935299</v>
      </c>
      <c r="I115">
        <f t="shared" si="44"/>
        <v>76.975047862572112</v>
      </c>
      <c r="J115">
        <f t="shared" si="47"/>
        <v>22057790.901800562</v>
      </c>
      <c r="L115">
        <v>3.7031713873147999E-2</v>
      </c>
      <c r="M115">
        <v>75.400000000000006</v>
      </c>
      <c r="N115">
        <f t="shared" si="48"/>
        <v>74.600000000000009</v>
      </c>
      <c r="O115">
        <v>19676257.489208099</v>
      </c>
      <c r="S115" s="1"/>
      <c r="T115" s="1"/>
      <c r="U115" s="1"/>
      <c r="V115" s="1"/>
      <c r="W115" s="1"/>
      <c r="X115" s="1"/>
      <c r="Y115" s="1"/>
      <c r="AE115" s="14"/>
      <c r="AQ115" s="14"/>
      <c r="AT115" s="4"/>
      <c r="AU115" s="4"/>
      <c r="BF115" s="30"/>
      <c r="BH115" s="19"/>
    </row>
    <row r="116" spans="2:60" x14ac:dyDescent="0.3">
      <c r="B116">
        <f t="shared" si="70"/>
        <v>2013</v>
      </c>
      <c r="C116">
        <f t="shared" si="71"/>
        <v>4</v>
      </c>
      <c r="D116" s="1">
        <f t="shared" si="72"/>
        <v>41365</v>
      </c>
      <c r="E116">
        <f>_xlfn.XLOOKUP(D116,[1]nairu_estimates_v6!$A$2:$A$265,[1]nairu_estimates_v6!$P$2:$P$265)</f>
        <v>11.043480977600799</v>
      </c>
      <c r="F116">
        <f>_xlfn.XLOOKUP(D116,[1]nairu_estimates_v6!$A$2:$A$265,[1]nairu_estimates_v6!$V$2:$V$265)</f>
        <v>76.241282452331305</v>
      </c>
      <c r="G116">
        <v>22034254.799786381</v>
      </c>
      <c r="H116">
        <f t="shared" si="43"/>
        <v>0</v>
      </c>
      <c r="I116">
        <f t="shared" si="44"/>
        <v>0</v>
      </c>
      <c r="J116">
        <f t="shared" si="47"/>
        <v>0</v>
      </c>
      <c r="L116">
        <v>3.7031713873147999E-2</v>
      </c>
      <c r="M116">
        <v>75.2</v>
      </c>
      <c r="N116">
        <f t="shared" si="48"/>
        <v>0</v>
      </c>
      <c r="O116">
        <v>19749640.580243997</v>
      </c>
      <c r="S116" s="1"/>
      <c r="T116" s="1"/>
      <c r="U116" s="1"/>
      <c r="V116" s="1"/>
      <c r="W116" s="1"/>
      <c r="X116" s="1"/>
      <c r="Y116" s="1"/>
      <c r="AE116" s="14"/>
      <c r="AQ116" s="14"/>
      <c r="AT116" s="4"/>
      <c r="AU116" s="4"/>
      <c r="BF116" s="30"/>
      <c r="BH116" s="19"/>
    </row>
    <row r="117" spans="2:60" x14ac:dyDescent="0.3">
      <c r="B117">
        <f t="shared" si="70"/>
        <v>2013</v>
      </c>
      <c r="C117">
        <f t="shared" si="71"/>
        <v>5</v>
      </c>
      <c r="D117" s="1">
        <f t="shared" si="72"/>
        <v>41395</v>
      </c>
      <c r="E117">
        <f>_xlfn.XLOOKUP(D117,[1]nairu_estimates_v6!$A$2:$A$265,[1]nairu_estimates_v6!$P$2:$P$265)</f>
        <v>10.994170140164201</v>
      </c>
      <c r="F117">
        <f>_xlfn.XLOOKUP(D117,[1]nairu_estimates_v6!$A$2:$A$265,[1]nairu_estimates_v6!$V$2:$V$265)</f>
        <v>76.018033260904403</v>
      </c>
      <c r="G117">
        <v>22381395.210360359</v>
      </c>
      <c r="H117">
        <f t="shared" si="43"/>
        <v>0</v>
      </c>
      <c r="I117">
        <f t="shared" si="44"/>
        <v>0</v>
      </c>
      <c r="J117">
        <f t="shared" si="47"/>
        <v>0</v>
      </c>
      <c r="L117">
        <v>3.7031713873147999E-2</v>
      </c>
      <c r="M117">
        <v>77.4589</v>
      </c>
      <c r="N117">
        <f t="shared" si="48"/>
        <v>0</v>
      </c>
      <c r="O117">
        <v>20184418.174402598</v>
      </c>
      <c r="S117" s="1"/>
      <c r="T117" s="1"/>
      <c r="U117" s="1"/>
      <c r="V117" s="1"/>
      <c r="W117" s="1"/>
      <c r="X117" s="1"/>
      <c r="Y117" s="1"/>
      <c r="AE117" s="14"/>
      <c r="AQ117" s="14"/>
      <c r="AT117" s="4"/>
      <c r="AU117" s="4"/>
      <c r="BF117" s="30"/>
      <c r="BH117" s="19"/>
    </row>
    <row r="118" spans="2:60" x14ac:dyDescent="0.3">
      <c r="B118">
        <f t="shared" si="70"/>
        <v>2013</v>
      </c>
      <c r="C118">
        <f t="shared" si="71"/>
        <v>6</v>
      </c>
      <c r="D118" s="1">
        <f t="shared" si="72"/>
        <v>41426</v>
      </c>
      <c r="E118">
        <f>_xlfn.XLOOKUP(D118,[1]nairu_estimates_v6!$A$2:$A$265,[1]nairu_estimates_v6!$P$2:$P$265)</f>
        <v>10.9426891804537</v>
      </c>
      <c r="F118">
        <f>_xlfn.XLOOKUP(D118,[1]nairu_estimates_v6!$A$2:$A$265,[1]nairu_estimates_v6!$V$2:$V$265)</f>
        <v>75.937416419620405</v>
      </c>
      <c r="G118">
        <v>22103088.572150283</v>
      </c>
      <c r="H118">
        <f t="shared" si="43"/>
        <v>10.9934467660729</v>
      </c>
      <c r="I118">
        <f t="shared" si="44"/>
        <v>76.065577377618709</v>
      </c>
      <c r="J118">
        <f t="shared" si="47"/>
        <v>22172912.860765673</v>
      </c>
      <c r="L118">
        <v>3.7031713873147999E-2</v>
      </c>
      <c r="M118">
        <v>76.209299999999999</v>
      </c>
      <c r="N118">
        <f t="shared" si="48"/>
        <v>76.289400000000001</v>
      </c>
      <c r="O118">
        <v>19924445.015356101</v>
      </c>
      <c r="S118" s="1"/>
      <c r="T118" s="1"/>
      <c r="U118" s="1"/>
      <c r="V118" s="1"/>
      <c r="W118" s="1"/>
      <c r="X118" s="1"/>
      <c r="Y118" s="1"/>
      <c r="AE118" s="14"/>
      <c r="AQ118" s="14"/>
      <c r="AT118" s="4"/>
      <c r="AU118" s="4"/>
      <c r="BF118" s="30"/>
      <c r="BH118" s="19"/>
    </row>
    <row r="119" spans="2:60" x14ac:dyDescent="0.3">
      <c r="B119">
        <f t="shared" si="70"/>
        <v>2013</v>
      </c>
      <c r="C119">
        <f t="shared" si="71"/>
        <v>7</v>
      </c>
      <c r="D119" s="1">
        <f t="shared" si="72"/>
        <v>41456</v>
      </c>
      <c r="E119">
        <f>_xlfn.XLOOKUP(D119,[1]nairu_estimates_v6!$A$2:$A$265,[1]nairu_estimates_v6!$P$2:$P$265)</f>
        <v>10.889727654182</v>
      </c>
      <c r="F119">
        <f>_xlfn.XLOOKUP(D119,[1]nairu_estimates_v6!$A$2:$A$265,[1]nairu_estimates_v6!$V$2:$V$265)</f>
        <v>75.841728114444294</v>
      </c>
      <c r="G119">
        <v>22409174.198278178</v>
      </c>
      <c r="H119">
        <f t="shared" si="43"/>
        <v>0</v>
      </c>
      <c r="I119">
        <f t="shared" si="44"/>
        <v>0</v>
      </c>
      <c r="J119">
        <f t="shared" si="47"/>
        <v>0</v>
      </c>
      <c r="L119">
        <v>3.7031713873147999E-2</v>
      </c>
      <c r="M119">
        <v>78.583399999999997</v>
      </c>
      <c r="N119">
        <f t="shared" si="48"/>
        <v>0</v>
      </c>
      <c r="O119">
        <v>20222301.502004698</v>
      </c>
      <c r="S119" s="1"/>
      <c r="T119" s="1"/>
      <c r="U119" s="1"/>
      <c r="V119" s="1"/>
      <c r="W119" s="1"/>
      <c r="X119" s="1"/>
      <c r="Y119" s="1"/>
      <c r="AE119" s="14"/>
      <c r="AQ119" s="14"/>
      <c r="AT119" s="4"/>
      <c r="AU119" s="4"/>
      <c r="BF119" s="30"/>
      <c r="BH119" s="19"/>
    </row>
    <row r="120" spans="2:60" x14ac:dyDescent="0.3">
      <c r="B120">
        <f t="shared" si="70"/>
        <v>2013</v>
      </c>
      <c r="C120">
        <f t="shared" si="71"/>
        <v>8</v>
      </c>
      <c r="D120" s="1">
        <f t="shared" si="72"/>
        <v>41487</v>
      </c>
      <c r="E120">
        <f>_xlfn.XLOOKUP(D120,[1]nairu_estimates_v6!$A$2:$A$265,[1]nairu_estimates_v6!$P$2:$P$265)</f>
        <v>10.8355616883181</v>
      </c>
      <c r="F120">
        <f>_xlfn.XLOOKUP(D120,[1]nairu_estimates_v6!$A$2:$A$265,[1]nairu_estimates_v6!$V$2:$V$265)</f>
        <v>76.049946426119405</v>
      </c>
      <c r="G120">
        <v>22395351.49842193</v>
      </c>
      <c r="H120">
        <f t="shared" si="43"/>
        <v>0</v>
      </c>
      <c r="I120">
        <f t="shared" si="44"/>
        <v>0</v>
      </c>
      <c r="J120">
        <f t="shared" si="47"/>
        <v>0</v>
      </c>
      <c r="L120">
        <v>3.7031713873147999E-2</v>
      </c>
      <c r="M120">
        <v>79.049300000000002</v>
      </c>
      <c r="N120">
        <f t="shared" si="48"/>
        <v>0</v>
      </c>
      <c r="O120">
        <v>20173039.084580198</v>
      </c>
      <c r="S120" s="1"/>
      <c r="T120" s="1"/>
      <c r="U120" s="1"/>
      <c r="V120" s="1"/>
      <c r="W120" s="1"/>
      <c r="X120" s="1"/>
      <c r="Y120" s="1"/>
      <c r="AE120" s="14"/>
      <c r="AQ120" s="14"/>
      <c r="AT120" s="4"/>
      <c r="AU120" s="4"/>
      <c r="BF120" s="30"/>
      <c r="BH120" s="19"/>
    </row>
    <row r="121" spans="2:60" x14ac:dyDescent="0.3">
      <c r="B121">
        <f t="shared" si="70"/>
        <v>2013</v>
      </c>
      <c r="C121">
        <f t="shared" si="71"/>
        <v>9</v>
      </c>
      <c r="D121" s="1">
        <f t="shared" si="72"/>
        <v>41518</v>
      </c>
      <c r="E121">
        <f>_xlfn.XLOOKUP(D121,[1]nairu_estimates_v6!$A$2:$A$265,[1]nairu_estimates_v6!$P$2:$P$265)</f>
        <v>10.7831205152949</v>
      </c>
      <c r="F121">
        <f>_xlfn.XLOOKUP(D121,[1]nairu_estimates_v6!$A$2:$A$265,[1]nairu_estimates_v6!$V$2:$V$265)</f>
        <v>76.072074742415495</v>
      </c>
      <c r="G121">
        <v>22261858.59242814</v>
      </c>
      <c r="H121">
        <f t="shared" si="43"/>
        <v>10.836136619265</v>
      </c>
      <c r="I121">
        <f t="shared" si="44"/>
        <v>75.987916427659741</v>
      </c>
      <c r="J121">
        <f t="shared" si="47"/>
        <v>22355461.429709416</v>
      </c>
      <c r="L121">
        <v>3.7031713873147999E-2</v>
      </c>
      <c r="M121">
        <v>77.699200000000005</v>
      </c>
      <c r="N121">
        <f t="shared" si="48"/>
        <v>78.443966666666668</v>
      </c>
      <c r="O121">
        <v>20095730.329835702</v>
      </c>
      <c r="S121" s="1"/>
      <c r="T121" s="1"/>
      <c r="U121" s="1"/>
      <c r="V121" s="1"/>
      <c r="W121" s="1"/>
      <c r="X121" s="1"/>
      <c r="Y121" s="1"/>
      <c r="AE121" s="14"/>
      <c r="AQ121" s="14"/>
      <c r="AT121" s="4"/>
      <c r="AU121" s="4"/>
      <c r="BF121" s="30"/>
      <c r="BH121" s="19"/>
    </row>
    <row r="122" spans="2:60" x14ac:dyDescent="0.3">
      <c r="B122">
        <f t="shared" si="70"/>
        <v>2013</v>
      </c>
      <c r="C122">
        <f t="shared" si="71"/>
        <v>10</v>
      </c>
      <c r="D122" s="1">
        <f t="shared" si="72"/>
        <v>41548</v>
      </c>
      <c r="E122">
        <f>_xlfn.XLOOKUP(D122,[1]nairu_estimates_v6!$A$2:$A$265,[1]nairu_estimates_v6!$P$2:$P$265)</f>
        <v>10.732971874957601</v>
      </c>
      <c r="F122">
        <f>_xlfn.XLOOKUP(D122,[1]nairu_estimates_v6!$A$2:$A$265,[1]nairu_estimates_v6!$V$2:$V$265)</f>
        <v>76.396602697929097</v>
      </c>
      <c r="G122">
        <v>22244255.963905562</v>
      </c>
      <c r="H122">
        <f t="shared" si="43"/>
        <v>0</v>
      </c>
      <c r="I122">
        <f t="shared" si="44"/>
        <v>0</v>
      </c>
      <c r="J122">
        <f t="shared" si="47"/>
        <v>0</v>
      </c>
      <c r="L122">
        <v>3.7031713873147999E-2</v>
      </c>
      <c r="M122">
        <v>76.561000000000007</v>
      </c>
      <c r="N122">
        <f t="shared" si="48"/>
        <v>0</v>
      </c>
      <c r="O122">
        <v>20176939.569193602</v>
      </c>
      <c r="S122" s="1"/>
      <c r="T122" s="1"/>
      <c r="U122" s="1"/>
      <c r="V122" s="1"/>
      <c r="W122" s="1"/>
      <c r="X122" s="1"/>
      <c r="Y122" s="1"/>
      <c r="AE122" s="14"/>
      <c r="AQ122" s="14"/>
      <c r="AT122" s="4"/>
      <c r="AU122" s="4"/>
      <c r="BF122" s="30"/>
      <c r="BH122" s="19"/>
    </row>
    <row r="123" spans="2:60" x14ac:dyDescent="0.3">
      <c r="B123">
        <f t="shared" si="70"/>
        <v>2013</v>
      </c>
      <c r="C123">
        <f t="shared" si="71"/>
        <v>11</v>
      </c>
      <c r="D123" s="1">
        <f t="shared" si="72"/>
        <v>41579</v>
      </c>
      <c r="E123">
        <f>_xlfn.XLOOKUP(D123,[1]nairu_estimates_v6!$A$2:$A$265,[1]nairu_estimates_v6!$P$2:$P$265)</f>
        <v>10.683485145760701</v>
      </c>
      <c r="F123">
        <f>_xlfn.XLOOKUP(D123,[1]nairu_estimates_v6!$A$2:$A$265,[1]nairu_estimates_v6!$V$2:$V$265)</f>
        <v>76.737387800550195</v>
      </c>
      <c r="G123">
        <v>22162131.484010324</v>
      </c>
      <c r="H123">
        <f t="shared" si="43"/>
        <v>0</v>
      </c>
      <c r="I123">
        <f t="shared" si="44"/>
        <v>0</v>
      </c>
      <c r="J123">
        <f t="shared" si="47"/>
        <v>0</v>
      </c>
      <c r="L123">
        <v>3.7031713873147999E-2</v>
      </c>
      <c r="M123">
        <v>76.635099999999994</v>
      </c>
      <c r="N123">
        <f t="shared" si="48"/>
        <v>0</v>
      </c>
      <c r="O123">
        <v>19985184.787266802</v>
      </c>
      <c r="S123" s="1"/>
      <c r="T123" s="1"/>
      <c r="U123" s="1"/>
      <c r="V123" s="1"/>
      <c r="W123" s="1"/>
      <c r="X123" s="1"/>
      <c r="Y123" s="1"/>
      <c r="AE123" s="14"/>
      <c r="AQ123" s="14"/>
      <c r="AT123" s="4"/>
      <c r="AU123" s="4"/>
      <c r="BF123" s="30"/>
      <c r="BH123" s="19"/>
    </row>
    <row r="124" spans="2:60" x14ac:dyDescent="0.3">
      <c r="B124">
        <f t="shared" si="70"/>
        <v>2013</v>
      </c>
      <c r="C124">
        <f t="shared" si="71"/>
        <v>12</v>
      </c>
      <c r="D124" s="1">
        <f t="shared" si="72"/>
        <v>41609</v>
      </c>
      <c r="E124">
        <f>_xlfn.XLOOKUP(D124,[1]nairu_estimates_v6!$A$2:$A$265,[1]nairu_estimates_v6!$P$2:$P$265)</f>
        <v>10.6369123668114</v>
      </c>
      <c r="F124">
        <f>_xlfn.XLOOKUP(D124,[1]nairu_estimates_v6!$A$2:$A$265,[1]nairu_estimates_v6!$V$2:$V$265)</f>
        <v>76.8600174993378</v>
      </c>
      <c r="G124">
        <v>22294155.975257073</v>
      </c>
      <c r="H124">
        <f t="shared" si="43"/>
        <v>10.6844564625099</v>
      </c>
      <c r="I124">
        <f t="shared" si="44"/>
        <v>76.664669332605698</v>
      </c>
      <c r="J124">
        <f t="shared" si="47"/>
        <v>22233514.474390984</v>
      </c>
      <c r="L124">
        <v>3.7031713873147999E-2</v>
      </c>
      <c r="M124">
        <v>75.999099999999999</v>
      </c>
      <c r="N124">
        <f t="shared" si="48"/>
        <v>76.398399999999995</v>
      </c>
      <c r="O124">
        <v>20262717.557291899</v>
      </c>
      <c r="S124" s="1"/>
      <c r="T124" s="1"/>
      <c r="U124" s="1"/>
      <c r="V124" s="1"/>
      <c r="W124" s="1"/>
      <c r="X124" s="1"/>
      <c r="Y124" s="1"/>
      <c r="AE124" s="14"/>
      <c r="AQ124" s="14"/>
      <c r="AT124" s="4"/>
      <c r="AU124" s="4"/>
      <c r="BF124" s="30"/>
      <c r="BH124" s="19"/>
    </row>
    <row r="125" spans="2:60" x14ac:dyDescent="0.3">
      <c r="B125">
        <f t="shared" si="70"/>
        <v>2014</v>
      </c>
      <c r="C125">
        <f t="shared" si="71"/>
        <v>1</v>
      </c>
      <c r="D125" s="1">
        <f t="shared" si="72"/>
        <v>41640</v>
      </c>
      <c r="E125">
        <f>_xlfn.XLOOKUP(D125,[1]nairu_estimates_v6!$A$2:$A$265,[1]nairu_estimates_v6!$P$2:$P$265)</f>
        <v>10.587848784564001</v>
      </c>
      <c r="F125">
        <f>_xlfn.XLOOKUP(D125,[1]nairu_estimates_v6!$A$2:$A$265,[1]nairu_estimates_v6!$V$2:$V$265)</f>
        <v>76.822137891832398</v>
      </c>
      <c r="G125">
        <v>22468874.49564673</v>
      </c>
      <c r="H125">
        <f t="shared" si="43"/>
        <v>0</v>
      </c>
      <c r="I125">
        <f t="shared" si="44"/>
        <v>0</v>
      </c>
      <c r="J125">
        <f t="shared" si="47"/>
        <v>0</v>
      </c>
      <c r="K125">
        <v>2.4864000000000002</v>
      </c>
      <c r="L125">
        <v>3.7471737712621703E-2</v>
      </c>
      <c r="M125">
        <v>74.719499999999996</v>
      </c>
      <c r="N125">
        <f t="shared" si="48"/>
        <v>0</v>
      </c>
      <c r="O125">
        <v>20334288.789168801</v>
      </c>
      <c r="S125" s="1"/>
      <c r="T125" s="1"/>
      <c r="U125" s="1"/>
      <c r="V125" s="1"/>
      <c r="W125" s="1"/>
      <c r="X125" s="1"/>
      <c r="Y125" s="1"/>
      <c r="AE125" s="14"/>
      <c r="AQ125" s="14"/>
      <c r="AT125" s="4"/>
      <c r="AU125" s="4"/>
      <c r="BF125" s="30"/>
      <c r="BH125" s="19"/>
    </row>
    <row r="126" spans="2:60" x14ac:dyDescent="0.3">
      <c r="B126">
        <f t="shared" si="70"/>
        <v>2014</v>
      </c>
      <c r="C126">
        <f t="shared" si="71"/>
        <v>2</v>
      </c>
      <c r="D126" s="1">
        <f t="shared" si="72"/>
        <v>41671</v>
      </c>
      <c r="E126">
        <f>_xlfn.XLOOKUP(D126,[1]nairu_estimates_v6!$A$2:$A$265,[1]nairu_estimates_v6!$P$2:$P$265)</f>
        <v>10.538740223447601</v>
      </c>
      <c r="F126">
        <f>_xlfn.XLOOKUP(D126,[1]nairu_estimates_v6!$A$2:$A$265,[1]nairu_estimates_v6!$V$2:$V$265)</f>
        <v>76.796887639443298</v>
      </c>
      <c r="G126">
        <v>22388192.882714082</v>
      </c>
      <c r="H126">
        <f t="shared" si="43"/>
        <v>0</v>
      </c>
      <c r="I126">
        <f t="shared" si="44"/>
        <v>0</v>
      </c>
      <c r="J126">
        <f t="shared" si="47"/>
        <v>0</v>
      </c>
      <c r="L126">
        <v>3.7471737712621703E-2</v>
      </c>
      <c r="M126">
        <v>76.609300000000005</v>
      </c>
      <c r="N126">
        <f t="shared" si="48"/>
        <v>0</v>
      </c>
      <c r="O126">
        <v>20214087.041368797</v>
      </c>
      <c r="S126" s="1"/>
      <c r="T126" s="1"/>
      <c r="U126" s="1"/>
      <c r="V126" s="1"/>
      <c r="W126" s="1"/>
      <c r="X126" s="1"/>
      <c r="Y126" s="1"/>
      <c r="AE126" s="14"/>
      <c r="AQ126" s="14"/>
      <c r="AT126" s="4"/>
      <c r="AU126" s="4"/>
      <c r="BF126" s="30"/>
      <c r="BH126" s="19"/>
    </row>
    <row r="127" spans="2:60" x14ac:dyDescent="0.3">
      <c r="B127">
        <f t="shared" si="70"/>
        <v>2014</v>
      </c>
      <c r="C127">
        <f t="shared" si="71"/>
        <v>3</v>
      </c>
      <c r="D127" s="1">
        <f t="shared" si="72"/>
        <v>41699</v>
      </c>
      <c r="E127">
        <f>_xlfn.XLOOKUP(D127,[1]nairu_estimates_v6!$A$2:$A$265,[1]nairu_estimates_v6!$P$2:$P$265)</f>
        <v>10.489738300302999</v>
      </c>
      <c r="F127">
        <f>_xlfn.XLOOKUP(D127,[1]nairu_estimates_v6!$A$2:$A$265,[1]nairu_estimates_v6!$V$2:$V$265)</f>
        <v>76.694101296507995</v>
      </c>
      <c r="G127">
        <v>22440225.273796991</v>
      </c>
      <c r="H127">
        <f t="shared" si="43"/>
        <v>10.5387757694382</v>
      </c>
      <c r="I127">
        <f t="shared" si="44"/>
        <v>76.771042275927897</v>
      </c>
      <c r="J127">
        <f t="shared" si="47"/>
        <v>22432430.884052601</v>
      </c>
      <c r="L127">
        <v>3.7471737712621703E-2</v>
      </c>
      <c r="M127">
        <v>77.771000000000001</v>
      </c>
      <c r="N127">
        <f t="shared" si="48"/>
        <v>76.366600000000005</v>
      </c>
      <c r="O127">
        <v>20258109.3715211</v>
      </c>
      <c r="S127" s="1"/>
      <c r="T127" s="1"/>
      <c r="U127" s="1"/>
      <c r="V127" s="1"/>
      <c r="W127" s="1"/>
      <c r="X127" s="1"/>
      <c r="Y127" s="1"/>
      <c r="AE127" s="14"/>
      <c r="AQ127" s="14"/>
      <c r="AT127" s="4"/>
      <c r="AU127" s="4"/>
      <c r="BF127" s="30"/>
      <c r="BH127" s="19"/>
    </row>
    <row r="128" spans="2:60" x14ac:dyDescent="0.3">
      <c r="B128">
        <f t="shared" si="70"/>
        <v>2014</v>
      </c>
      <c r="C128">
        <f t="shared" si="71"/>
        <v>4</v>
      </c>
      <c r="D128" s="1">
        <f t="shared" si="72"/>
        <v>41730</v>
      </c>
      <c r="E128">
        <f>_xlfn.XLOOKUP(D128,[1]nairu_estimates_v6!$A$2:$A$265,[1]nairu_estimates_v6!$P$2:$P$265)</f>
        <v>10.4426788926404</v>
      </c>
      <c r="F128">
        <f>_xlfn.XLOOKUP(D128,[1]nairu_estimates_v6!$A$2:$A$265,[1]nairu_estimates_v6!$V$2:$V$265)</f>
        <v>76.440307006693601</v>
      </c>
      <c r="G128">
        <v>22529938.291745249</v>
      </c>
      <c r="H128">
        <f t="shared" si="43"/>
        <v>0</v>
      </c>
      <c r="I128">
        <f t="shared" si="44"/>
        <v>0</v>
      </c>
      <c r="J128">
        <f t="shared" si="47"/>
        <v>0</v>
      </c>
      <c r="L128">
        <v>3.7471737712621703E-2</v>
      </c>
      <c r="M128">
        <v>75.5792</v>
      </c>
      <c r="N128">
        <f t="shared" si="48"/>
        <v>0</v>
      </c>
      <c r="O128">
        <v>20436305.091451798</v>
      </c>
      <c r="S128" s="1"/>
      <c r="T128" s="1"/>
      <c r="U128" s="1"/>
      <c r="V128" s="1"/>
      <c r="W128" s="1"/>
      <c r="X128" s="1"/>
      <c r="Y128" s="1"/>
      <c r="AE128" s="14"/>
      <c r="AQ128" s="14"/>
      <c r="AT128" s="4"/>
      <c r="AU128" s="4"/>
      <c r="BF128" s="30"/>
      <c r="BH128" s="19"/>
    </row>
    <row r="129" spans="2:60" x14ac:dyDescent="0.3">
      <c r="B129">
        <f t="shared" si="70"/>
        <v>2014</v>
      </c>
      <c r="C129">
        <f t="shared" si="71"/>
        <v>5</v>
      </c>
      <c r="D129" s="1">
        <f t="shared" si="72"/>
        <v>41760</v>
      </c>
      <c r="E129">
        <f>_xlfn.XLOOKUP(D129,[1]nairu_estimates_v6!$A$2:$A$265,[1]nairu_estimates_v6!$P$2:$P$265)</f>
        <v>10.3933572391207</v>
      </c>
      <c r="F129">
        <f>_xlfn.XLOOKUP(D129,[1]nairu_estimates_v6!$A$2:$A$265,[1]nairu_estimates_v6!$V$2:$V$265)</f>
        <v>76.461156737943895</v>
      </c>
      <c r="G129">
        <v>22528877.48308773</v>
      </c>
      <c r="H129">
        <f t="shared" si="43"/>
        <v>0</v>
      </c>
      <c r="I129">
        <f t="shared" si="44"/>
        <v>0</v>
      </c>
      <c r="J129">
        <f t="shared" si="47"/>
        <v>0</v>
      </c>
      <c r="L129">
        <v>3.7471737712621703E-2</v>
      </c>
      <c r="M129">
        <v>78.302000000000007</v>
      </c>
      <c r="N129">
        <f t="shared" si="48"/>
        <v>0</v>
      </c>
      <c r="O129">
        <v>20491189.832080398</v>
      </c>
      <c r="S129" s="1"/>
      <c r="T129" s="1"/>
      <c r="U129" s="1"/>
      <c r="V129" s="1"/>
      <c r="W129" s="1"/>
      <c r="X129" s="1"/>
      <c r="Y129" s="1"/>
      <c r="AE129" s="14"/>
      <c r="AQ129" s="14"/>
      <c r="AT129" s="4"/>
      <c r="AU129" s="4"/>
      <c r="BF129" s="30"/>
      <c r="BH129" s="19"/>
    </row>
    <row r="130" spans="2:60" x14ac:dyDescent="0.3">
      <c r="B130">
        <f t="shared" si="70"/>
        <v>2014</v>
      </c>
      <c r="C130">
        <f t="shared" si="71"/>
        <v>6</v>
      </c>
      <c r="D130" s="1">
        <f t="shared" si="72"/>
        <v>41791</v>
      </c>
      <c r="E130">
        <f>_xlfn.XLOOKUP(D130,[1]nairu_estimates_v6!$A$2:$A$265,[1]nairu_estimates_v6!$P$2:$P$265)</f>
        <v>10.339393726935899</v>
      </c>
      <c r="F130">
        <f>_xlfn.XLOOKUP(D130,[1]nairu_estimates_v6!$A$2:$A$265,[1]nairu_estimates_v6!$V$2:$V$265)</f>
        <v>76.631061965921504</v>
      </c>
      <c r="G130">
        <v>22651349.2964199</v>
      </c>
      <c r="H130">
        <f t="shared" si="43"/>
        <v>10.391809952898999</v>
      </c>
      <c r="I130">
        <f t="shared" si="44"/>
        <v>76.510841903519676</v>
      </c>
      <c r="J130">
        <f t="shared" si="47"/>
        <v>22570055.023750961</v>
      </c>
      <c r="L130">
        <v>3.7471737712621703E-2</v>
      </c>
      <c r="M130">
        <v>76.376300000000001</v>
      </c>
      <c r="N130">
        <f t="shared" si="48"/>
        <v>76.752499999999998</v>
      </c>
      <c r="O130">
        <v>20434487.1286304</v>
      </c>
      <c r="S130" s="1"/>
      <c r="T130" s="1"/>
      <c r="U130" s="1"/>
      <c r="V130" s="1"/>
      <c r="W130" s="1"/>
      <c r="X130" s="1"/>
      <c r="Y130" s="1"/>
      <c r="AE130" s="14"/>
      <c r="AQ130" s="14"/>
      <c r="AT130" s="4"/>
      <c r="AU130" s="4"/>
      <c r="BF130" s="30"/>
      <c r="BH130" s="19"/>
    </row>
    <row r="131" spans="2:60" x14ac:dyDescent="0.3">
      <c r="B131">
        <f t="shared" si="70"/>
        <v>2014</v>
      </c>
      <c r="C131">
        <f t="shared" si="71"/>
        <v>7</v>
      </c>
      <c r="D131" s="1">
        <f t="shared" si="72"/>
        <v>41821</v>
      </c>
      <c r="E131">
        <f>_xlfn.XLOOKUP(D131,[1]nairu_estimates_v6!$A$2:$A$265,[1]nairu_estimates_v6!$P$2:$P$265)</f>
        <v>10.2874327206028</v>
      </c>
      <c r="F131">
        <f>_xlfn.XLOOKUP(D131,[1]nairu_estimates_v6!$A$2:$A$265,[1]nairu_estimates_v6!$V$2:$V$265)</f>
        <v>76.501002483655398</v>
      </c>
      <c r="G131">
        <v>22552164.597273991</v>
      </c>
      <c r="H131">
        <f t="shared" si="43"/>
        <v>0</v>
      </c>
      <c r="I131">
        <f t="shared" si="44"/>
        <v>0</v>
      </c>
      <c r="J131">
        <f t="shared" si="47"/>
        <v>0</v>
      </c>
      <c r="L131">
        <v>3.7471737712621703E-2</v>
      </c>
      <c r="M131">
        <v>76.584599999999995</v>
      </c>
      <c r="N131">
        <f t="shared" si="48"/>
        <v>0</v>
      </c>
      <c r="O131">
        <v>20448521.281219099</v>
      </c>
      <c r="S131" s="1"/>
      <c r="T131" s="1"/>
      <c r="U131" s="1"/>
      <c r="V131" s="1"/>
      <c r="W131" s="1"/>
      <c r="X131" s="1"/>
      <c r="Y131" s="1"/>
      <c r="AE131" s="14"/>
      <c r="AQ131" s="14"/>
      <c r="AT131" s="4"/>
      <c r="AU131" s="4"/>
      <c r="BF131" s="30"/>
      <c r="BH131" s="19"/>
    </row>
    <row r="132" spans="2:60" x14ac:dyDescent="0.3">
      <c r="B132">
        <f t="shared" si="70"/>
        <v>2014</v>
      </c>
      <c r="C132">
        <f t="shared" si="71"/>
        <v>8</v>
      </c>
      <c r="D132" s="1">
        <f t="shared" si="72"/>
        <v>41852</v>
      </c>
      <c r="E132">
        <f>_xlfn.XLOOKUP(D132,[1]nairu_estimates_v6!$A$2:$A$265,[1]nairu_estimates_v6!$P$2:$P$265)</f>
        <v>10.2375155990885</v>
      </c>
      <c r="F132">
        <f>_xlfn.XLOOKUP(D132,[1]nairu_estimates_v6!$A$2:$A$265,[1]nairu_estimates_v6!$V$2:$V$265)</f>
        <v>76.730485441252299</v>
      </c>
      <c r="G132">
        <v>22747323.83228026</v>
      </c>
      <c r="H132">
        <f t="shared" si="43"/>
        <v>0</v>
      </c>
      <c r="I132">
        <f t="shared" si="44"/>
        <v>0</v>
      </c>
      <c r="J132">
        <f t="shared" si="47"/>
        <v>0</v>
      </c>
      <c r="L132">
        <v>3.7471737712621703E-2</v>
      </c>
      <c r="M132">
        <v>77.914699999999996</v>
      </c>
      <c r="N132">
        <f t="shared" si="48"/>
        <v>0</v>
      </c>
      <c r="O132">
        <v>20623069.921162002</v>
      </c>
      <c r="S132" s="1"/>
      <c r="T132" s="1"/>
      <c r="U132" s="1"/>
      <c r="V132" s="1"/>
      <c r="W132" s="1"/>
      <c r="X132" s="1"/>
      <c r="Y132" s="1"/>
      <c r="AE132" s="14"/>
      <c r="AQ132" s="14"/>
      <c r="AT132" s="4"/>
      <c r="AU132" s="4"/>
      <c r="BF132" s="30"/>
      <c r="BH132" s="19"/>
    </row>
    <row r="133" spans="2:60" x14ac:dyDescent="0.3">
      <c r="B133">
        <f t="shared" si="70"/>
        <v>2014</v>
      </c>
      <c r="C133">
        <f t="shared" si="71"/>
        <v>9</v>
      </c>
      <c r="D133" s="1">
        <f t="shared" si="72"/>
        <v>41883</v>
      </c>
      <c r="E133">
        <f>_xlfn.XLOOKUP(D133,[1]nairu_estimates_v6!$A$2:$A$265,[1]nairu_estimates_v6!$P$2:$P$265)</f>
        <v>10.1886125091161</v>
      </c>
      <c r="F133">
        <f>_xlfn.XLOOKUP(D133,[1]nairu_estimates_v6!$A$2:$A$265,[1]nairu_estimates_v6!$V$2:$V$265)</f>
        <v>76.684838459050994</v>
      </c>
      <c r="G133">
        <v>22783660.850683302</v>
      </c>
      <c r="H133">
        <f t="shared" ref="H133:H196" si="83">IF(OR(C133=3,C133=6,C133=9,C133=12),AVERAGE(E131:E133),0)</f>
        <v>10.237853609602466</v>
      </c>
      <c r="I133">
        <f t="shared" ref="I133:I196" si="84">IF(OR(C133=3,C133=6,C133=9,C133=12),AVERAGE(F131:F133),0)</f>
        <v>76.638775461319554</v>
      </c>
      <c r="J133">
        <f t="shared" si="47"/>
        <v>22694383.093412519</v>
      </c>
      <c r="L133">
        <v>3.7471737712621703E-2</v>
      </c>
      <c r="M133">
        <v>75.933400000000006</v>
      </c>
      <c r="N133">
        <f t="shared" si="48"/>
        <v>76.810900000000004</v>
      </c>
      <c r="O133">
        <v>20717908.1163099</v>
      </c>
      <c r="S133" s="1"/>
      <c r="T133" s="1"/>
      <c r="U133" s="1"/>
      <c r="V133" s="1"/>
      <c r="W133" s="1"/>
      <c r="X133" s="1"/>
      <c r="Y133" s="1"/>
      <c r="AE133" s="14"/>
      <c r="AQ133" s="14"/>
      <c r="AT133" s="4"/>
      <c r="AU133" s="4"/>
      <c r="BF133" s="30"/>
      <c r="BH133" s="19"/>
    </row>
    <row r="134" spans="2:60" x14ac:dyDescent="0.3">
      <c r="B134">
        <f t="shared" si="70"/>
        <v>2014</v>
      </c>
      <c r="C134">
        <f t="shared" si="71"/>
        <v>10</v>
      </c>
      <c r="D134" s="1">
        <f t="shared" si="72"/>
        <v>41913</v>
      </c>
      <c r="E134">
        <f>_xlfn.XLOOKUP(D134,[1]nairu_estimates_v6!$A$2:$A$265,[1]nairu_estimates_v6!$P$2:$P$265)</f>
        <v>10.1373980266912</v>
      </c>
      <c r="F134">
        <f>_xlfn.XLOOKUP(D134,[1]nairu_estimates_v6!$A$2:$A$265,[1]nairu_estimates_v6!$V$2:$V$265)</f>
        <v>76.671997728351997</v>
      </c>
      <c r="G134">
        <v>22791522.810987551</v>
      </c>
      <c r="H134">
        <f t="shared" si="83"/>
        <v>0</v>
      </c>
      <c r="I134">
        <f t="shared" si="84"/>
        <v>0</v>
      </c>
      <c r="J134">
        <f t="shared" ref="J134:J197" si="85">IF(OR(C134=3,C134=6,C134=9,C134=12),AVERAGE(G132:G134),0)</f>
        <v>0</v>
      </c>
      <c r="L134">
        <v>3.7471737712621703E-2</v>
      </c>
      <c r="M134">
        <v>76.064099999999996</v>
      </c>
      <c r="N134">
        <f t="shared" ref="N134:N197" si="86">IF(OR(C134=3,C134=6,C134=9,C134=12),AVERAGE(M132:M134),0)</f>
        <v>0</v>
      </c>
      <c r="O134">
        <v>20700640.762254201</v>
      </c>
      <c r="S134" s="1"/>
      <c r="T134" s="1"/>
      <c r="U134" s="1"/>
      <c r="V134" s="1"/>
      <c r="W134" s="1"/>
      <c r="X134" s="1"/>
      <c r="Y134" s="1"/>
      <c r="AE134" s="14"/>
      <c r="AQ134" s="14"/>
      <c r="AT134" s="4"/>
      <c r="AU134" s="4"/>
      <c r="BF134" s="30"/>
      <c r="BH134" s="19"/>
    </row>
    <row r="135" spans="2:60" x14ac:dyDescent="0.3">
      <c r="B135">
        <f t="shared" ref="B135:B181" si="87">IF(C134=12,B134+1,B134)</f>
        <v>2014</v>
      </c>
      <c r="C135">
        <f t="shared" ref="C135:C181" si="88">IF(C134=12,1,C134+1)</f>
        <v>11</v>
      </c>
      <c r="D135" s="1">
        <f t="shared" ref="D135:D181" si="89">DATE(B135,C135,1)</f>
        <v>41944</v>
      </c>
      <c r="E135">
        <f>_xlfn.XLOOKUP(D135,[1]nairu_estimates_v6!$A$2:$A$265,[1]nairu_estimates_v6!$P$2:$P$265)</f>
        <v>10.085864673858101</v>
      </c>
      <c r="F135">
        <f>_xlfn.XLOOKUP(D135,[1]nairu_estimates_v6!$A$2:$A$265,[1]nairu_estimates_v6!$V$2:$V$265)</f>
        <v>76.831448210813406</v>
      </c>
      <c r="G135">
        <v>22784533.284601718</v>
      </c>
      <c r="H135">
        <f t="shared" si="83"/>
        <v>0</v>
      </c>
      <c r="I135">
        <f t="shared" si="84"/>
        <v>0</v>
      </c>
      <c r="J135">
        <f t="shared" si="85"/>
        <v>0</v>
      </c>
      <c r="L135">
        <v>3.7471737712621703E-2</v>
      </c>
      <c r="M135">
        <v>68.6631</v>
      </c>
      <c r="N135">
        <f t="shared" si="86"/>
        <v>0</v>
      </c>
      <c r="O135">
        <v>20668207.892806999</v>
      </c>
      <c r="S135" s="1"/>
      <c r="T135" s="1"/>
      <c r="U135" s="1"/>
      <c r="V135" s="1"/>
      <c r="W135" s="1"/>
      <c r="X135" s="1"/>
      <c r="Y135" s="1"/>
      <c r="AE135" s="14"/>
      <c r="AQ135" s="14"/>
      <c r="AT135" s="4"/>
      <c r="AU135" s="4"/>
      <c r="BF135" s="30"/>
      <c r="BH135" s="19"/>
    </row>
    <row r="136" spans="2:60" x14ac:dyDescent="0.3">
      <c r="B136">
        <f t="shared" si="87"/>
        <v>2014</v>
      </c>
      <c r="C136">
        <f t="shared" si="88"/>
        <v>12</v>
      </c>
      <c r="D136" s="1">
        <f t="shared" si="89"/>
        <v>41974</v>
      </c>
      <c r="E136">
        <f>_xlfn.XLOOKUP(D136,[1]nairu_estimates_v6!$A$2:$A$265,[1]nairu_estimates_v6!$P$2:$P$265)</f>
        <v>10.0352705151137</v>
      </c>
      <c r="F136">
        <f>_xlfn.XLOOKUP(D136,[1]nairu_estimates_v6!$A$2:$A$265,[1]nairu_estimates_v6!$V$2:$V$265)</f>
        <v>76.713802089850901</v>
      </c>
      <c r="G136">
        <v>22574388.900762409</v>
      </c>
      <c r="H136">
        <f t="shared" si="83"/>
        <v>10.086177738554333</v>
      </c>
      <c r="I136">
        <f t="shared" si="84"/>
        <v>76.739082676338768</v>
      </c>
      <c r="J136">
        <f t="shared" si="85"/>
        <v>22716814.99878389</v>
      </c>
      <c r="L136">
        <v>3.7471737712621703E-2</v>
      </c>
      <c r="M136">
        <v>70.449700000000007</v>
      </c>
      <c r="N136">
        <f t="shared" si="86"/>
        <v>71.725633333333334</v>
      </c>
      <c r="O136">
        <v>20425897.772026401</v>
      </c>
      <c r="S136" s="1"/>
      <c r="T136" s="1"/>
      <c r="U136" s="1"/>
      <c r="V136" s="1"/>
      <c r="W136" s="1"/>
      <c r="X136" s="1"/>
      <c r="Y136" s="1"/>
      <c r="AE136" s="14"/>
      <c r="AQ136" s="14"/>
      <c r="AT136" s="4"/>
      <c r="AU136" s="4"/>
      <c r="BF136" s="30"/>
      <c r="BH136" s="19"/>
    </row>
    <row r="137" spans="2:60" x14ac:dyDescent="0.3">
      <c r="B137">
        <f t="shared" si="87"/>
        <v>2015</v>
      </c>
      <c r="C137">
        <f t="shared" si="88"/>
        <v>1</v>
      </c>
      <c r="D137" s="1">
        <f t="shared" si="89"/>
        <v>42005</v>
      </c>
      <c r="E137">
        <f>_xlfn.XLOOKUP(D137,[1]nairu_estimates_v6!$A$2:$A$265,[1]nairu_estimates_v6!$P$2:$P$265)</f>
        <v>9.9866084811946898</v>
      </c>
      <c r="F137">
        <f>_xlfn.XLOOKUP(D137,[1]nairu_estimates_v6!$A$2:$A$265,[1]nairu_estimates_v6!$V$2:$V$265)</f>
        <v>76.627238707490406</v>
      </c>
      <c r="G137">
        <v>22682365.669119988</v>
      </c>
      <c r="H137">
        <f t="shared" si="83"/>
        <v>0</v>
      </c>
      <c r="I137">
        <f t="shared" si="84"/>
        <v>0</v>
      </c>
      <c r="J137">
        <f t="shared" si="85"/>
        <v>0</v>
      </c>
      <c r="K137">
        <v>2.5121000000000002</v>
      </c>
      <c r="L137">
        <v>3.7777654826641097E-2</v>
      </c>
      <c r="M137">
        <v>72.4375</v>
      </c>
      <c r="N137">
        <f t="shared" si="86"/>
        <v>0</v>
      </c>
      <c r="O137">
        <v>20622973.555731997</v>
      </c>
      <c r="S137" s="1"/>
      <c r="T137" s="1"/>
      <c r="U137" s="1"/>
      <c r="V137" s="1"/>
      <c r="W137" s="1"/>
      <c r="X137" s="1"/>
      <c r="Y137" s="1"/>
      <c r="AE137" s="14"/>
      <c r="AQ137" s="14"/>
      <c r="AT137" s="4"/>
      <c r="AU137" s="4"/>
      <c r="BF137" s="30"/>
      <c r="BH137" s="19"/>
    </row>
    <row r="138" spans="2:60" x14ac:dyDescent="0.3">
      <c r="B138">
        <f t="shared" si="87"/>
        <v>2015</v>
      </c>
      <c r="C138">
        <f t="shared" si="88"/>
        <v>2</v>
      </c>
      <c r="D138" s="1">
        <f t="shared" si="89"/>
        <v>42036</v>
      </c>
      <c r="E138">
        <f>_xlfn.XLOOKUP(D138,[1]nairu_estimates_v6!$A$2:$A$265,[1]nairu_estimates_v6!$P$2:$P$265)</f>
        <v>9.9385287273059095</v>
      </c>
      <c r="F138">
        <f>_xlfn.XLOOKUP(D138,[1]nairu_estimates_v6!$A$2:$A$265,[1]nairu_estimates_v6!$V$2:$V$265)</f>
        <v>75.5991741957138</v>
      </c>
      <c r="G138">
        <v>22763861.465726007</v>
      </c>
      <c r="H138">
        <f t="shared" si="83"/>
        <v>0</v>
      </c>
      <c r="I138">
        <f t="shared" si="84"/>
        <v>0</v>
      </c>
      <c r="J138">
        <f t="shared" si="85"/>
        <v>0</v>
      </c>
      <c r="L138">
        <v>3.7777654826641097E-2</v>
      </c>
      <c r="M138">
        <v>69.577799999999996</v>
      </c>
      <c r="N138">
        <f t="shared" si="86"/>
        <v>0</v>
      </c>
      <c r="O138">
        <v>20725722.763276298</v>
      </c>
      <c r="S138" s="1"/>
      <c r="T138" s="1"/>
      <c r="U138" s="1"/>
      <c r="V138" s="1"/>
      <c r="W138" s="1"/>
      <c r="X138" s="1"/>
      <c r="Y138" s="1"/>
      <c r="AE138" s="14"/>
      <c r="AQ138" s="14"/>
      <c r="AT138" s="4"/>
      <c r="AU138" s="4"/>
      <c r="BF138" s="30"/>
      <c r="BH138" s="19"/>
    </row>
    <row r="139" spans="2:60" x14ac:dyDescent="0.3">
      <c r="B139">
        <f t="shared" si="87"/>
        <v>2015</v>
      </c>
      <c r="C139">
        <f t="shared" si="88"/>
        <v>3</v>
      </c>
      <c r="D139" s="1">
        <f t="shared" si="89"/>
        <v>42064</v>
      </c>
      <c r="E139">
        <f>_xlfn.XLOOKUP(D139,[1]nairu_estimates_v6!$A$2:$A$265,[1]nairu_estimates_v6!$P$2:$P$265)</f>
        <v>9.8861505466104802</v>
      </c>
      <c r="F139">
        <f>_xlfn.XLOOKUP(D139,[1]nairu_estimates_v6!$A$2:$A$265,[1]nairu_estimates_v6!$V$2:$V$265)</f>
        <v>74.936737748779606</v>
      </c>
      <c r="G139">
        <v>22885434.84561405</v>
      </c>
      <c r="H139">
        <f t="shared" si="83"/>
        <v>9.9370959183703604</v>
      </c>
      <c r="I139">
        <f t="shared" si="84"/>
        <v>75.721050217327942</v>
      </c>
      <c r="J139">
        <f t="shared" si="85"/>
        <v>22777220.660153348</v>
      </c>
      <c r="L139">
        <v>3.7777654826641097E-2</v>
      </c>
      <c r="M139">
        <v>72.300399999999996</v>
      </c>
      <c r="N139">
        <f t="shared" si="86"/>
        <v>71.438566666666659</v>
      </c>
      <c r="O139">
        <v>20842822.584541403</v>
      </c>
      <c r="S139" s="1"/>
      <c r="T139" s="1"/>
      <c r="U139" s="1"/>
      <c r="V139" s="1"/>
      <c r="W139" s="1"/>
      <c r="X139" s="1"/>
      <c r="Y139" s="1"/>
      <c r="AE139" s="14"/>
      <c r="AQ139" s="14"/>
      <c r="AT139" s="4"/>
      <c r="AU139" s="4"/>
      <c r="BF139" s="30"/>
      <c r="BH139" s="19"/>
    </row>
    <row r="140" spans="2:60" x14ac:dyDescent="0.3">
      <c r="B140">
        <f t="shared" si="87"/>
        <v>2015</v>
      </c>
      <c r="C140">
        <f t="shared" si="88"/>
        <v>4</v>
      </c>
      <c r="D140" s="1">
        <f t="shared" si="89"/>
        <v>42095</v>
      </c>
      <c r="E140">
        <f>_xlfn.XLOOKUP(D140,[1]nairu_estimates_v6!$A$2:$A$265,[1]nairu_estimates_v6!$P$2:$P$265)</f>
        <v>9.8338546701112399</v>
      </c>
      <c r="F140">
        <f>_xlfn.XLOOKUP(D140,[1]nairu_estimates_v6!$A$2:$A$265,[1]nairu_estimates_v6!$V$2:$V$265)</f>
        <v>74.6121879874092</v>
      </c>
      <c r="G140">
        <v>23027986.673119701</v>
      </c>
      <c r="H140">
        <f t="shared" si="83"/>
        <v>0</v>
      </c>
      <c r="I140">
        <f t="shared" si="84"/>
        <v>0</v>
      </c>
      <c r="J140">
        <f t="shared" si="85"/>
        <v>0</v>
      </c>
      <c r="L140">
        <v>3.7777654826641097E-2</v>
      </c>
      <c r="M140">
        <v>71.840199999999996</v>
      </c>
      <c r="N140">
        <f t="shared" si="86"/>
        <v>0</v>
      </c>
      <c r="O140">
        <v>20774873.572374102</v>
      </c>
      <c r="S140" s="1"/>
      <c r="T140" s="1"/>
      <c r="U140" s="1"/>
      <c r="V140" s="1"/>
      <c r="W140" s="1"/>
      <c r="X140" s="1"/>
      <c r="Y140" s="1"/>
      <c r="AE140" s="14"/>
      <c r="AQ140" s="14"/>
      <c r="AT140" s="4"/>
      <c r="AU140" s="4"/>
      <c r="BF140" s="30"/>
      <c r="BH140" s="19"/>
    </row>
    <row r="141" spans="2:60" x14ac:dyDescent="0.3">
      <c r="B141">
        <f t="shared" si="87"/>
        <v>2015</v>
      </c>
      <c r="C141">
        <f t="shared" si="88"/>
        <v>5</v>
      </c>
      <c r="D141" s="1">
        <f t="shared" si="89"/>
        <v>42125</v>
      </c>
      <c r="E141">
        <f>_xlfn.XLOOKUP(D141,[1]nairu_estimates_v6!$A$2:$A$265,[1]nairu_estimates_v6!$P$2:$P$265)</f>
        <v>9.7847636678138592</v>
      </c>
      <c r="F141">
        <f>_xlfn.XLOOKUP(D141,[1]nairu_estimates_v6!$A$2:$A$265,[1]nairu_estimates_v6!$V$2:$V$265)</f>
        <v>73.964332590206297</v>
      </c>
      <c r="G141">
        <v>22977357.486382589</v>
      </c>
      <c r="H141">
        <f t="shared" si="83"/>
        <v>0</v>
      </c>
      <c r="I141">
        <f t="shared" si="84"/>
        <v>0</v>
      </c>
      <c r="J141">
        <f t="shared" si="85"/>
        <v>0</v>
      </c>
      <c r="L141">
        <v>3.7777654826641097E-2</v>
      </c>
      <c r="M141">
        <v>72.808700000000002</v>
      </c>
      <c r="N141">
        <f t="shared" si="86"/>
        <v>0</v>
      </c>
      <c r="O141">
        <v>20870509.000067398</v>
      </c>
      <c r="S141" s="1"/>
      <c r="T141" s="1"/>
      <c r="U141" s="1"/>
      <c r="V141" s="1"/>
      <c r="W141" s="1"/>
      <c r="X141" s="1"/>
      <c r="Y141" s="1"/>
      <c r="AE141" s="14"/>
      <c r="AQ141" s="14"/>
      <c r="AT141" s="4"/>
      <c r="AU141" s="4"/>
      <c r="BF141" s="30"/>
      <c r="BH141" s="19"/>
    </row>
    <row r="142" spans="2:60" x14ac:dyDescent="0.3">
      <c r="B142">
        <f t="shared" si="87"/>
        <v>2015</v>
      </c>
      <c r="C142">
        <f t="shared" si="88"/>
        <v>6</v>
      </c>
      <c r="D142" s="1">
        <f t="shared" si="89"/>
        <v>42156</v>
      </c>
      <c r="E142">
        <f>_xlfn.XLOOKUP(D142,[1]nairu_estimates_v6!$A$2:$A$265,[1]nairu_estimates_v6!$P$2:$P$265)</f>
        <v>9.7392556205762002</v>
      </c>
      <c r="F142">
        <f>_xlfn.XLOOKUP(D142,[1]nairu_estimates_v6!$A$2:$A$265,[1]nairu_estimates_v6!$V$2:$V$265)</f>
        <v>73.747729333179706</v>
      </c>
      <c r="G142">
        <v>22845011.637483988</v>
      </c>
      <c r="H142">
        <f t="shared" si="83"/>
        <v>9.7859579861670998</v>
      </c>
      <c r="I142">
        <f t="shared" si="84"/>
        <v>74.108083303598406</v>
      </c>
      <c r="J142">
        <f t="shared" si="85"/>
        <v>22950118.598995429</v>
      </c>
      <c r="L142">
        <v>3.7777654826641097E-2</v>
      </c>
      <c r="M142">
        <v>72.510499999999993</v>
      </c>
      <c r="N142">
        <f t="shared" si="86"/>
        <v>72.386466666666664</v>
      </c>
      <c r="O142">
        <v>20818493.677930299</v>
      </c>
      <c r="S142" s="1"/>
      <c r="T142" s="1"/>
      <c r="U142" s="1"/>
      <c r="V142" s="1"/>
      <c r="W142" s="1"/>
      <c r="X142" s="1"/>
      <c r="Y142" s="1"/>
      <c r="AE142" s="14"/>
      <c r="AQ142" s="14"/>
      <c r="AT142" s="4"/>
      <c r="AU142" s="4"/>
      <c r="BF142" s="30"/>
      <c r="BH142" s="19"/>
    </row>
    <row r="143" spans="2:60" x14ac:dyDescent="0.3">
      <c r="B143">
        <f t="shared" si="87"/>
        <v>2015</v>
      </c>
      <c r="C143">
        <f t="shared" si="88"/>
        <v>7</v>
      </c>
      <c r="D143" s="1">
        <f t="shared" si="89"/>
        <v>42186</v>
      </c>
      <c r="E143">
        <f>_xlfn.XLOOKUP(D143,[1]nairu_estimates_v6!$A$2:$A$265,[1]nairu_estimates_v6!$P$2:$P$265)</f>
        <v>9.6943258200884905</v>
      </c>
      <c r="F143">
        <f>_xlfn.XLOOKUP(D143,[1]nairu_estimates_v6!$A$2:$A$265,[1]nairu_estimates_v6!$V$2:$V$265)</f>
        <v>73.501108903544704</v>
      </c>
      <c r="G143">
        <v>22988500.276023351</v>
      </c>
      <c r="H143">
        <f t="shared" si="83"/>
        <v>0</v>
      </c>
      <c r="I143">
        <f t="shared" si="84"/>
        <v>0</v>
      </c>
      <c r="J143">
        <f t="shared" si="85"/>
        <v>0</v>
      </c>
      <c r="L143">
        <v>3.7777654826641097E-2</v>
      </c>
      <c r="M143">
        <v>73.453900000000004</v>
      </c>
      <c r="N143">
        <f t="shared" si="86"/>
        <v>0</v>
      </c>
      <c r="O143">
        <v>20946679.048457801</v>
      </c>
      <c r="S143" s="1"/>
      <c r="T143" s="1"/>
      <c r="U143" s="1"/>
      <c r="V143" s="1"/>
      <c r="W143" s="1"/>
      <c r="X143" s="1"/>
      <c r="Y143" s="1"/>
      <c r="AE143" s="14"/>
      <c r="AQ143" s="14"/>
      <c r="AT143" s="4"/>
      <c r="AU143" s="4"/>
      <c r="BF143" s="30"/>
      <c r="BH143" s="19"/>
    </row>
    <row r="144" spans="2:60" x14ac:dyDescent="0.3">
      <c r="B144">
        <f t="shared" si="87"/>
        <v>2015</v>
      </c>
      <c r="C144">
        <f t="shared" si="88"/>
        <v>8</v>
      </c>
      <c r="D144" s="1">
        <f t="shared" si="89"/>
        <v>42217</v>
      </c>
      <c r="E144">
        <f>_xlfn.XLOOKUP(D144,[1]nairu_estimates_v6!$A$2:$A$265,[1]nairu_estimates_v6!$P$2:$P$265)</f>
        <v>9.6509864164048391</v>
      </c>
      <c r="F144">
        <f>_xlfn.XLOOKUP(D144,[1]nairu_estimates_v6!$A$2:$A$265,[1]nairu_estimates_v6!$V$2:$V$265)</f>
        <v>73.410160207130204</v>
      </c>
      <c r="G144">
        <v>22993480.641326141</v>
      </c>
      <c r="H144">
        <f t="shared" si="83"/>
        <v>0</v>
      </c>
      <c r="I144">
        <f t="shared" si="84"/>
        <v>0</v>
      </c>
      <c r="J144">
        <f t="shared" si="85"/>
        <v>0</v>
      </c>
      <c r="L144">
        <v>3.7777654826641097E-2</v>
      </c>
      <c r="M144">
        <v>73.851399999999998</v>
      </c>
      <c r="N144">
        <f t="shared" si="86"/>
        <v>0</v>
      </c>
      <c r="O144">
        <v>20816288.732032698</v>
      </c>
      <c r="S144" s="1"/>
      <c r="T144" s="1"/>
      <c r="U144" s="1"/>
      <c r="V144" s="1"/>
      <c r="W144" s="1"/>
      <c r="X144" s="1"/>
      <c r="Y144" s="1"/>
      <c r="AE144" s="14"/>
      <c r="AQ144" s="14"/>
      <c r="AT144" s="4"/>
      <c r="AU144" s="4"/>
      <c r="BF144" s="30"/>
      <c r="BH144" s="19"/>
    </row>
    <row r="145" spans="2:60" x14ac:dyDescent="0.3">
      <c r="B145">
        <f t="shared" si="87"/>
        <v>2015</v>
      </c>
      <c r="C145">
        <f t="shared" si="88"/>
        <v>9</v>
      </c>
      <c r="D145" s="1">
        <f t="shared" si="89"/>
        <v>42248</v>
      </c>
      <c r="E145">
        <f>_xlfn.XLOOKUP(D145,[1]nairu_estimates_v6!$A$2:$A$265,[1]nairu_estimates_v6!$P$2:$P$265)</f>
        <v>9.6120503457413307</v>
      </c>
      <c r="F145">
        <f>_xlfn.XLOOKUP(D145,[1]nairu_estimates_v6!$A$2:$A$265,[1]nairu_estimates_v6!$V$2:$V$265)</f>
        <v>73.289565747894997</v>
      </c>
      <c r="G145">
        <v>23081927.093765777</v>
      </c>
      <c r="H145">
        <f t="shared" si="83"/>
        <v>9.6524541940782189</v>
      </c>
      <c r="I145">
        <f t="shared" si="84"/>
        <v>73.400278286189973</v>
      </c>
      <c r="J145">
        <f t="shared" si="85"/>
        <v>23021302.670371756</v>
      </c>
      <c r="L145">
        <v>3.7777654826641097E-2</v>
      </c>
      <c r="M145">
        <v>73.445300000000003</v>
      </c>
      <c r="N145">
        <f t="shared" si="86"/>
        <v>73.583533333333335</v>
      </c>
      <c r="O145">
        <v>20886151.292805899</v>
      </c>
      <c r="S145" s="1"/>
      <c r="T145" s="1"/>
      <c r="U145" s="1"/>
      <c r="V145" s="1"/>
      <c r="W145" s="1"/>
      <c r="X145" s="1"/>
      <c r="Y145" s="1"/>
      <c r="AE145" s="14"/>
      <c r="AQ145" s="14"/>
      <c r="AT145" s="4"/>
      <c r="AU145" s="4"/>
      <c r="BF145" s="30"/>
      <c r="BH145" s="19"/>
    </row>
    <row r="146" spans="2:60" x14ac:dyDescent="0.3">
      <c r="B146">
        <f t="shared" si="87"/>
        <v>2015</v>
      </c>
      <c r="C146">
        <f t="shared" si="88"/>
        <v>10</v>
      </c>
      <c r="D146" s="1">
        <f t="shared" si="89"/>
        <v>42278</v>
      </c>
      <c r="E146">
        <f>_xlfn.XLOOKUP(D146,[1]nairu_estimates_v6!$A$2:$A$265,[1]nairu_estimates_v6!$P$2:$P$265)</f>
        <v>9.5762510908512599</v>
      </c>
      <c r="F146">
        <f>_xlfn.XLOOKUP(D146,[1]nairu_estimates_v6!$A$2:$A$265,[1]nairu_estimates_v6!$V$2:$V$265)</f>
        <v>73.307745668327001</v>
      </c>
      <c r="G146">
        <v>23154318.364561167</v>
      </c>
      <c r="H146">
        <f t="shared" si="83"/>
        <v>0</v>
      </c>
      <c r="I146">
        <f t="shared" si="84"/>
        <v>0</v>
      </c>
      <c r="J146">
        <f t="shared" si="85"/>
        <v>0</v>
      </c>
      <c r="L146">
        <v>3.7777654826641097E-2</v>
      </c>
      <c r="M146">
        <v>73.3</v>
      </c>
      <c r="N146">
        <f t="shared" si="86"/>
        <v>0</v>
      </c>
      <c r="O146">
        <v>20961322.443948299</v>
      </c>
      <c r="S146" s="1"/>
      <c r="T146" s="1"/>
      <c r="U146" s="1"/>
      <c r="V146" s="1"/>
      <c r="W146" s="1"/>
      <c r="X146" s="1"/>
      <c r="Y146" s="1"/>
      <c r="AE146" s="14"/>
      <c r="AQ146" s="14"/>
      <c r="AT146" s="4"/>
      <c r="AU146" s="4"/>
      <c r="BF146" s="30"/>
      <c r="BH146" s="19"/>
    </row>
    <row r="147" spans="2:60" x14ac:dyDescent="0.3">
      <c r="B147">
        <f t="shared" si="87"/>
        <v>2015</v>
      </c>
      <c r="C147">
        <f t="shared" si="88"/>
        <v>11</v>
      </c>
      <c r="D147" s="1">
        <f t="shared" si="89"/>
        <v>42309</v>
      </c>
      <c r="E147">
        <f>_xlfn.XLOOKUP(D147,[1]nairu_estimates_v6!$A$2:$A$265,[1]nairu_estimates_v6!$P$2:$P$265)</f>
        <v>9.5450360739164299</v>
      </c>
      <c r="F147">
        <f>_xlfn.XLOOKUP(D147,[1]nairu_estimates_v6!$A$2:$A$265,[1]nairu_estimates_v6!$V$2:$V$265)</f>
        <v>73.376007096366294</v>
      </c>
      <c r="G147">
        <v>23147708.974891521</v>
      </c>
      <c r="H147">
        <f t="shared" si="83"/>
        <v>0</v>
      </c>
      <c r="I147">
        <f t="shared" si="84"/>
        <v>0</v>
      </c>
      <c r="J147">
        <f t="shared" si="85"/>
        <v>0</v>
      </c>
      <c r="L147">
        <v>3.7777654826641097E-2</v>
      </c>
      <c r="M147">
        <v>73.661900000000003</v>
      </c>
      <c r="N147">
        <f t="shared" si="86"/>
        <v>0</v>
      </c>
      <c r="O147">
        <v>21104345.786507402</v>
      </c>
      <c r="S147" s="1"/>
      <c r="T147" s="1"/>
      <c r="U147" s="1"/>
      <c r="V147" s="1"/>
      <c r="W147" s="1"/>
      <c r="X147" s="1"/>
      <c r="Y147" s="1"/>
      <c r="AE147" s="14"/>
      <c r="AQ147" s="14"/>
      <c r="AT147" s="4"/>
      <c r="AU147" s="4"/>
      <c r="BF147" s="30"/>
      <c r="BH147" s="19"/>
    </row>
    <row r="148" spans="2:60" x14ac:dyDescent="0.3">
      <c r="B148">
        <f t="shared" si="87"/>
        <v>2015</v>
      </c>
      <c r="C148">
        <f t="shared" si="88"/>
        <v>12</v>
      </c>
      <c r="D148" s="1">
        <f t="shared" si="89"/>
        <v>42339</v>
      </c>
      <c r="E148">
        <f>_xlfn.XLOOKUP(D148,[1]nairu_estimates_v6!$A$2:$A$265,[1]nairu_estimates_v6!$P$2:$P$265)</f>
        <v>9.5126359417329809</v>
      </c>
      <c r="F148">
        <f>_xlfn.XLOOKUP(D148,[1]nairu_estimates_v6!$A$2:$A$265,[1]nairu_estimates_v6!$V$2:$V$265)</f>
        <v>73.386041200339406</v>
      </c>
      <c r="G148">
        <v>23104366.8719857</v>
      </c>
      <c r="H148">
        <f t="shared" si="83"/>
        <v>9.5446410355002236</v>
      </c>
      <c r="I148">
        <f t="shared" si="84"/>
        <v>73.356597988344234</v>
      </c>
      <c r="J148">
        <f t="shared" si="85"/>
        <v>23135464.737146128</v>
      </c>
      <c r="L148">
        <v>3.7777654826641097E-2</v>
      </c>
      <c r="M148">
        <v>73.194000000000003</v>
      </c>
      <c r="N148">
        <f t="shared" si="86"/>
        <v>73.385300000000015</v>
      </c>
      <c r="O148">
        <v>20949628.542326402</v>
      </c>
      <c r="AE148" s="14"/>
      <c r="AQ148" s="14"/>
      <c r="AT148" s="4"/>
      <c r="AU148" s="4"/>
      <c r="BF148" s="30"/>
      <c r="BH148" s="19"/>
    </row>
    <row r="149" spans="2:60" x14ac:dyDescent="0.3">
      <c r="B149">
        <f t="shared" si="87"/>
        <v>2016</v>
      </c>
      <c r="C149">
        <f t="shared" si="88"/>
        <v>1</v>
      </c>
      <c r="D149" s="1">
        <f t="shared" si="89"/>
        <v>42370</v>
      </c>
      <c r="E149">
        <f>_xlfn.XLOOKUP(D149,[1]nairu_estimates_v6!$A$2:$A$265,[1]nairu_estimates_v6!$P$2:$P$265)</f>
        <v>9.4869826258154397</v>
      </c>
      <c r="F149">
        <f>_xlfn.XLOOKUP(D149,[1]nairu_estimates_v6!$A$2:$A$265,[1]nairu_estimates_v6!$V$2:$V$265)</f>
        <v>73.371434538701607</v>
      </c>
      <c r="G149">
        <v>23202595.66009105</v>
      </c>
      <c r="H149">
        <f t="shared" si="83"/>
        <v>0</v>
      </c>
      <c r="I149">
        <f t="shared" si="84"/>
        <v>0</v>
      </c>
      <c r="J149">
        <f t="shared" si="85"/>
        <v>0</v>
      </c>
      <c r="K149">
        <v>2.5381</v>
      </c>
      <c r="L149">
        <v>3.7806391716003397E-2</v>
      </c>
      <c r="M149">
        <v>74.703699999999998</v>
      </c>
      <c r="N149">
        <f t="shared" si="86"/>
        <v>0</v>
      </c>
      <c r="O149">
        <v>20904815.048015401</v>
      </c>
      <c r="AE149" s="14"/>
      <c r="AQ149" s="14"/>
      <c r="AT149" s="4"/>
      <c r="AU149" s="4"/>
      <c r="BF149" s="30"/>
      <c r="BH149" s="19"/>
    </row>
    <row r="150" spans="2:60" x14ac:dyDescent="0.3">
      <c r="B150">
        <f t="shared" si="87"/>
        <v>2016</v>
      </c>
      <c r="C150">
        <f t="shared" si="88"/>
        <v>2</v>
      </c>
      <c r="D150" s="1">
        <f t="shared" si="89"/>
        <v>42401</v>
      </c>
      <c r="E150">
        <f>_xlfn.XLOOKUP(D150,[1]nairu_estimates_v6!$A$2:$A$265,[1]nairu_estimates_v6!$P$2:$P$265)</f>
        <v>9.4665745539554305</v>
      </c>
      <c r="F150">
        <f>_xlfn.XLOOKUP(D150,[1]nairu_estimates_v6!$A$2:$A$265,[1]nairu_estimates_v6!$V$2:$V$265)</f>
        <v>73.408563853637403</v>
      </c>
      <c r="G150">
        <v>23130844.286203921</v>
      </c>
      <c r="H150">
        <f t="shared" si="83"/>
        <v>0</v>
      </c>
      <c r="I150">
        <f t="shared" si="84"/>
        <v>0</v>
      </c>
      <c r="J150">
        <f t="shared" si="85"/>
        <v>0</v>
      </c>
      <c r="L150">
        <v>3.7806391716003397E-2</v>
      </c>
      <c r="M150">
        <v>74.775499999999994</v>
      </c>
      <c r="N150">
        <f t="shared" si="86"/>
        <v>0</v>
      </c>
      <c r="O150">
        <v>21019521.556341399</v>
      </c>
      <c r="AE150" s="14"/>
      <c r="AQ150" s="14"/>
      <c r="AT150" s="4"/>
      <c r="AU150" s="4"/>
      <c r="BF150" s="30"/>
      <c r="BH150" s="19"/>
    </row>
    <row r="151" spans="2:60" x14ac:dyDescent="0.3">
      <c r="B151">
        <f t="shared" si="87"/>
        <v>2016</v>
      </c>
      <c r="C151">
        <f t="shared" si="88"/>
        <v>3</v>
      </c>
      <c r="D151" s="1">
        <f t="shared" si="89"/>
        <v>42430</v>
      </c>
      <c r="E151">
        <f>_xlfn.XLOOKUP(D151,[1]nairu_estimates_v6!$A$2:$A$265,[1]nairu_estimates_v6!$P$2:$P$265)</f>
        <v>9.4464261434167103</v>
      </c>
      <c r="F151">
        <f>_xlfn.XLOOKUP(D151,[1]nairu_estimates_v6!$A$2:$A$265,[1]nairu_estimates_v6!$V$2:$V$265)</f>
        <v>73.378377465978005</v>
      </c>
      <c r="G151">
        <v>23000605.28764848</v>
      </c>
      <c r="H151">
        <f t="shared" si="83"/>
        <v>9.4666611077291929</v>
      </c>
      <c r="I151">
        <f t="shared" si="84"/>
        <v>73.386125286105667</v>
      </c>
      <c r="J151">
        <f t="shared" si="85"/>
        <v>23111348.411314484</v>
      </c>
      <c r="L151">
        <v>3.7806391716003397E-2</v>
      </c>
      <c r="M151">
        <v>74.934399999999997</v>
      </c>
      <c r="N151">
        <f t="shared" si="86"/>
        <v>74.804533333333325</v>
      </c>
      <c r="O151">
        <v>20648870.389833301</v>
      </c>
      <c r="AE151" s="14"/>
      <c r="AQ151" s="14"/>
      <c r="AT151" s="4"/>
      <c r="AU151" s="4"/>
      <c r="BF151" s="30"/>
      <c r="BH151" s="19"/>
    </row>
    <row r="152" spans="2:60" x14ac:dyDescent="0.3">
      <c r="B152">
        <f t="shared" si="87"/>
        <v>2016</v>
      </c>
      <c r="C152">
        <f t="shared" si="88"/>
        <v>4</v>
      </c>
      <c r="D152" s="1">
        <f t="shared" si="89"/>
        <v>42461</v>
      </c>
      <c r="E152">
        <f>_xlfn.XLOOKUP(D152,[1]nairu_estimates_v6!$A$2:$A$265,[1]nairu_estimates_v6!$P$2:$P$265)</f>
        <v>9.4313145820403506</v>
      </c>
      <c r="F152">
        <f>_xlfn.XLOOKUP(D152,[1]nairu_estimates_v6!$A$2:$A$265,[1]nairu_estimates_v6!$V$2:$V$265)</f>
        <v>73.546354151797999</v>
      </c>
      <c r="G152">
        <v>23175840.640169911</v>
      </c>
      <c r="H152">
        <f t="shared" si="83"/>
        <v>0</v>
      </c>
      <c r="I152">
        <f t="shared" si="84"/>
        <v>0</v>
      </c>
      <c r="J152">
        <f t="shared" si="85"/>
        <v>0</v>
      </c>
      <c r="L152">
        <v>3.7806391716003397E-2</v>
      </c>
      <c r="M152">
        <v>75.220399999999998</v>
      </c>
      <c r="N152">
        <f t="shared" si="86"/>
        <v>0</v>
      </c>
      <c r="O152">
        <v>20986980.664880898</v>
      </c>
      <c r="AE152" s="14"/>
      <c r="AQ152" s="14"/>
      <c r="AT152" s="4"/>
      <c r="AU152" s="4"/>
      <c r="BF152" s="30"/>
      <c r="BH152" s="19"/>
    </row>
    <row r="153" spans="2:60" x14ac:dyDescent="0.3">
      <c r="B153">
        <f t="shared" si="87"/>
        <v>2016</v>
      </c>
      <c r="C153">
        <f t="shared" si="88"/>
        <v>5</v>
      </c>
      <c r="D153" s="1">
        <f t="shared" si="89"/>
        <v>42491</v>
      </c>
      <c r="E153">
        <f>_xlfn.XLOOKUP(D153,[1]nairu_estimates_v6!$A$2:$A$265,[1]nairu_estimates_v6!$P$2:$P$265)</f>
        <v>9.4183974318621395</v>
      </c>
      <c r="F153">
        <f>_xlfn.XLOOKUP(D153,[1]nairu_estimates_v6!$A$2:$A$265,[1]nairu_estimates_v6!$V$2:$V$265)</f>
        <v>73.704224576955298</v>
      </c>
      <c r="G153">
        <v>22950951.92203518</v>
      </c>
      <c r="H153">
        <f t="shared" si="83"/>
        <v>0</v>
      </c>
      <c r="I153">
        <f t="shared" si="84"/>
        <v>0</v>
      </c>
      <c r="J153">
        <f t="shared" si="85"/>
        <v>0</v>
      </c>
      <c r="L153">
        <v>3.7806391716003397E-2</v>
      </c>
      <c r="M153">
        <v>74.519099999999995</v>
      </c>
      <c r="N153">
        <f t="shared" si="86"/>
        <v>0</v>
      </c>
      <c r="O153">
        <v>20853782.210747797</v>
      </c>
      <c r="AE153" s="14"/>
      <c r="AQ153" s="14"/>
      <c r="AT153" s="4"/>
      <c r="AU153" s="4"/>
      <c r="BF153" s="30"/>
      <c r="BH153" s="19"/>
    </row>
    <row r="154" spans="2:60" x14ac:dyDescent="0.3">
      <c r="B154">
        <f t="shared" si="87"/>
        <v>2016</v>
      </c>
      <c r="C154">
        <f t="shared" si="88"/>
        <v>6</v>
      </c>
      <c r="D154" s="1">
        <f t="shared" si="89"/>
        <v>42522</v>
      </c>
      <c r="E154">
        <f>_xlfn.XLOOKUP(D154,[1]nairu_estimates_v6!$A$2:$A$265,[1]nairu_estimates_v6!$P$2:$P$265)</f>
        <v>9.4085533746200891</v>
      </c>
      <c r="F154">
        <f>_xlfn.XLOOKUP(D154,[1]nairu_estimates_v6!$A$2:$A$265,[1]nairu_estimates_v6!$V$2:$V$265)</f>
        <v>73.861087248962704</v>
      </c>
      <c r="G154">
        <v>23203247.668799981</v>
      </c>
      <c r="H154">
        <f t="shared" si="83"/>
        <v>9.4194217961741931</v>
      </c>
      <c r="I154">
        <f t="shared" si="84"/>
        <v>73.703888659238658</v>
      </c>
      <c r="J154">
        <f t="shared" si="85"/>
        <v>23110013.410335023</v>
      </c>
      <c r="L154">
        <v>3.7806391716003397E-2</v>
      </c>
      <c r="M154">
        <v>77.890699999999995</v>
      </c>
      <c r="N154">
        <f t="shared" si="86"/>
        <v>75.876733333333334</v>
      </c>
      <c r="O154">
        <v>20970503.879740801</v>
      </c>
      <c r="AE154" s="14"/>
      <c r="AQ154" s="14"/>
      <c r="AT154" s="4"/>
      <c r="AU154" s="4"/>
      <c r="BF154" s="30"/>
      <c r="BH154" s="19"/>
    </row>
    <row r="155" spans="2:60" x14ac:dyDescent="0.3">
      <c r="B155">
        <f t="shared" si="87"/>
        <v>2016</v>
      </c>
      <c r="C155">
        <f t="shared" si="88"/>
        <v>7</v>
      </c>
      <c r="D155" s="1">
        <f t="shared" si="89"/>
        <v>42552</v>
      </c>
      <c r="E155">
        <f>_xlfn.XLOOKUP(D155,[1]nairu_estimates_v6!$A$2:$A$265,[1]nairu_estimates_v6!$P$2:$P$265)</f>
        <v>9.3990357147940493</v>
      </c>
      <c r="F155">
        <f>_xlfn.XLOOKUP(D155,[1]nairu_estimates_v6!$A$2:$A$265,[1]nairu_estimates_v6!$V$2:$V$265)</f>
        <v>74.034140149953799</v>
      </c>
      <c r="G155">
        <v>23045483.458121043</v>
      </c>
      <c r="H155">
        <f t="shared" si="83"/>
        <v>0</v>
      </c>
      <c r="I155">
        <f t="shared" si="84"/>
        <v>0</v>
      </c>
      <c r="J155">
        <f t="shared" si="85"/>
        <v>0</v>
      </c>
      <c r="L155">
        <v>3.7806391716003397E-2</v>
      </c>
      <c r="M155">
        <v>77.999200000000002</v>
      </c>
      <c r="N155">
        <f t="shared" si="86"/>
        <v>0</v>
      </c>
      <c r="O155">
        <v>20771337.2721004</v>
      </c>
      <c r="AE155" s="14"/>
      <c r="AQ155" s="14"/>
      <c r="AT155" s="4"/>
      <c r="AU155" s="4"/>
      <c r="BF155" s="30"/>
      <c r="BH155" s="19"/>
    </row>
    <row r="156" spans="2:60" x14ac:dyDescent="0.3">
      <c r="B156">
        <f t="shared" si="87"/>
        <v>2016</v>
      </c>
      <c r="C156">
        <f t="shared" si="88"/>
        <v>8</v>
      </c>
      <c r="D156" s="1">
        <f t="shared" si="89"/>
        <v>42583</v>
      </c>
      <c r="E156">
        <f>_xlfn.XLOOKUP(D156,[1]nairu_estimates_v6!$A$2:$A$265,[1]nairu_estimates_v6!$P$2:$P$265)</f>
        <v>9.3928388138354393</v>
      </c>
      <c r="F156">
        <f>_xlfn.XLOOKUP(D156,[1]nairu_estimates_v6!$A$2:$A$265,[1]nairu_estimates_v6!$V$2:$V$265)</f>
        <v>74.097966033176803</v>
      </c>
      <c r="G156">
        <v>23124359.96588815</v>
      </c>
      <c r="H156">
        <f t="shared" si="83"/>
        <v>0</v>
      </c>
      <c r="I156">
        <f t="shared" si="84"/>
        <v>0</v>
      </c>
      <c r="J156">
        <f t="shared" si="85"/>
        <v>0</v>
      </c>
      <c r="L156">
        <v>3.7806391716003397E-2</v>
      </c>
      <c r="M156">
        <v>76.472999999999999</v>
      </c>
      <c r="N156">
        <f t="shared" si="86"/>
        <v>0</v>
      </c>
      <c r="O156">
        <v>20949445.690552101</v>
      </c>
      <c r="AE156" s="14"/>
      <c r="AQ156" s="14"/>
      <c r="AT156" s="4"/>
      <c r="AU156" s="4"/>
      <c r="BF156" s="30"/>
      <c r="BH156" s="19"/>
    </row>
    <row r="157" spans="2:60" x14ac:dyDescent="0.3">
      <c r="B157">
        <f t="shared" si="87"/>
        <v>2016</v>
      </c>
      <c r="C157">
        <f t="shared" si="88"/>
        <v>9</v>
      </c>
      <c r="D157" s="1">
        <f t="shared" si="89"/>
        <v>42614</v>
      </c>
      <c r="E157">
        <f>_xlfn.XLOOKUP(D157,[1]nairu_estimates_v6!$A$2:$A$265,[1]nairu_estimates_v6!$P$2:$P$265)</f>
        <v>9.3867610558384609</v>
      </c>
      <c r="F157">
        <f>_xlfn.XLOOKUP(D157,[1]nairu_estimates_v6!$A$2:$A$265,[1]nairu_estimates_v6!$V$2:$V$265)</f>
        <v>74.588516762525401</v>
      </c>
      <c r="G157">
        <v>23094456.694622211</v>
      </c>
      <c r="H157">
        <f t="shared" si="83"/>
        <v>9.3928785281559826</v>
      </c>
      <c r="I157">
        <f t="shared" si="84"/>
        <v>74.240207648551987</v>
      </c>
      <c r="J157">
        <f t="shared" si="85"/>
        <v>23088100.039543796</v>
      </c>
      <c r="L157">
        <v>3.7806391716003397E-2</v>
      </c>
      <c r="M157">
        <v>77.190100000000001</v>
      </c>
      <c r="N157">
        <f t="shared" si="86"/>
        <v>77.220766666666663</v>
      </c>
      <c r="O157">
        <v>20954952.707420804</v>
      </c>
      <c r="AE157" s="14"/>
      <c r="AQ157" s="14"/>
      <c r="AT157" s="4"/>
      <c r="AU157" s="4"/>
      <c r="BF157" s="30"/>
      <c r="BH157" s="19"/>
    </row>
    <row r="158" spans="2:60" x14ac:dyDescent="0.3">
      <c r="B158">
        <f t="shared" si="87"/>
        <v>2016</v>
      </c>
      <c r="C158">
        <f t="shared" si="88"/>
        <v>10</v>
      </c>
      <c r="D158" s="1">
        <f t="shared" si="89"/>
        <v>42644</v>
      </c>
      <c r="E158">
        <f>_xlfn.XLOOKUP(D158,[1]nairu_estimates_v6!$A$2:$A$265,[1]nairu_estimates_v6!$P$2:$P$265)</f>
        <v>9.3823656286417592</v>
      </c>
      <c r="F158">
        <f>_xlfn.XLOOKUP(D158,[1]nairu_estimates_v6!$A$2:$A$265,[1]nairu_estimates_v6!$V$2:$V$265)</f>
        <v>75.030403790522598</v>
      </c>
      <c r="G158">
        <v>23244059.672254361</v>
      </c>
      <c r="H158">
        <f t="shared" si="83"/>
        <v>0</v>
      </c>
      <c r="I158">
        <f t="shared" si="84"/>
        <v>0</v>
      </c>
      <c r="J158">
        <f t="shared" si="85"/>
        <v>0</v>
      </c>
      <c r="L158">
        <v>3.7806391716003397E-2</v>
      </c>
      <c r="M158">
        <v>77.276200000000003</v>
      </c>
      <c r="N158">
        <f t="shared" si="86"/>
        <v>0</v>
      </c>
      <c r="O158">
        <v>21007884.061120201</v>
      </c>
      <c r="AE158" s="14"/>
      <c r="AQ158" s="14"/>
      <c r="AT158" s="4"/>
      <c r="AU158" s="4"/>
      <c r="BF158" s="30"/>
      <c r="BH158" s="19"/>
    </row>
    <row r="159" spans="2:60" x14ac:dyDescent="0.3">
      <c r="B159">
        <f t="shared" si="87"/>
        <v>2016</v>
      </c>
      <c r="C159">
        <f t="shared" si="88"/>
        <v>11</v>
      </c>
      <c r="D159" s="1">
        <f t="shared" si="89"/>
        <v>42675</v>
      </c>
      <c r="E159">
        <f>_xlfn.XLOOKUP(D159,[1]nairu_estimates_v6!$A$2:$A$265,[1]nairu_estimates_v6!$P$2:$P$265)</f>
        <v>9.3808376761175296</v>
      </c>
      <c r="F159">
        <f>_xlfn.XLOOKUP(D159,[1]nairu_estimates_v6!$A$2:$A$265,[1]nairu_estimates_v6!$V$2:$V$265)</f>
        <v>75.218949755981797</v>
      </c>
      <c r="G159">
        <v>23236373.417653341</v>
      </c>
      <c r="H159">
        <f t="shared" si="83"/>
        <v>0</v>
      </c>
      <c r="I159">
        <f t="shared" si="84"/>
        <v>0</v>
      </c>
      <c r="J159">
        <f t="shared" si="85"/>
        <v>0</v>
      </c>
      <c r="L159">
        <v>3.7806391716003397E-2</v>
      </c>
      <c r="M159">
        <v>74.783199999999994</v>
      </c>
      <c r="N159">
        <f t="shared" si="86"/>
        <v>0</v>
      </c>
      <c r="O159">
        <v>21112022.298246201</v>
      </c>
      <c r="AE159" s="14"/>
      <c r="AQ159" s="14"/>
      <c r="AT159" s="4"/>
      <c r="AU159" s="4"/>
      <c r="BF159" s="30"/>
      <c r="BH159" s="19"/>
    </row>
    <row r="160" spans="2:60" x14ac:dyDescent="0.3">
      <c r="B160">
        <f t="shared" si="87"/>
        <v>2016</v>
      </c>
      <c r="C160">
        <f t="shared" si="88"/>
        <v>12</v>
      </c>
      <c r="D160" s="1">
        <f t="shared" si="89"/>
        <v>42705</v>
      </c>
      <c r="E160">
        <f>_xlfn.XLOOKUP(D160,[1]nairu_estimates_v6!$A$2:$A$265,[1]nairu_estimates_v6!$P$2:$P$265)</f>
        <v>9.3797311602824198</v>
      </c>
      <c r="F160">
        <f>_xlfn.XLOOKUP(D160,[1]nairu_estimates_v6!$A$2:$A$265,[1]nairu_estimates_v6!$V$2:$V$265)</f>
        <v>75.471615180494894</v>
      </c>
      <c r="G160">
        <v>23246036.326512281</v>
      </c>
      <c r="H160">
        <f t="shared" si="83"/>
        <v>9.3809781550139011</v>
      </c>
      <c r="I160">
        <f t="shared" si="84"/>
        <v>75.240322908999758</v>
      </c>
      <c r="J160">
        <f t="shared" si="85"/>
        <v>23242156.472139996</v>
      </c>
      <c r="L160">
        <v>3.7806391716003397E-2</v>
      </c>
      <c r="M160">
        <v>72.843199999999996</v>
      </c>
      <c r="N160">
        <f t="shared" si="86"/>
        <v>74.967533333333321</v>
      </c>
      <c r="O160">
        <v>20990237.221000601</v>
      </c>
      <c r="AE160" s="14"/>
      <c r="AQ160" s="14"/>
      <c r="AT160" s="4"/>
      <c r="AU160" s="4"/>
      <c r="BF160" s="30"/>
      <c r="BH160" s="19"/>
    </row>
    <row r="161" spans="2:60" x14ac:dyDescent="0.3">
      <c r="B161">
        <f t="shared" si="87"/>
        <v>2017</v>
      </c>
      <c r="C161">
        <f t="shared" si="88"/>
        <v>1</v>
      </c>
      <c r="D161" s="1">
        <f t="shared" si="89"/>
        <v>42736</v>
      </c>
      <c r="E161">
        <f>_xlfn.XLOOKUP(D161,[1]nairu_estimates_v6!$A$2:$A$265,[1]nairu_estimates_v6!$P$2:$P$265)</f>
        <v>9.3804991069584904</v>
      </c>
      <c r="F161">
        <f>_xlfn.XLOOKUP(D161,[1]nairu_estimates_v6!$A$2:$A$265,[1]nairu_estimates_v6!$V$2:$V$265)</f>
        <v>75.699347983325893</v>
      </c>
      <c r="G161">
        <v>23303603.323166378</v>
      </c>
      <c r="H161">
        <f t="shared" si="83"/>
        <v>0</v>
      </c>
      <c r="I161">
        <f t="shared" si="84"/>
        <v>0</v>
      </c>
      <c r="J161">
        <f t="shared" si="85"/>
        <v>0</v>
      </c>
      <c r="K161">
        <v>2.5630000000000002</v>
      </c>
      <c r="L161">
        <v>3.7680886685848201E-2</v>
      </c>
      <c r="M161">
        <v>76.281000000000006</v>
      </c>
      <c r="N161">
        <f t="shared" si="86"/>
        <v>0</v>
      </c>
      <c r="O161">
        <v>21040809.1954065</v>
      </c>
      <c r="AE161" s="14"/>
      <c r="AQ161" s="14"/>
      <c r="AT161" s="4"/>
      <c r="AU161" s="4"/>
      <c r="BF161" s="30"/>
      <c r="BH161" s="19"/>
    </row>
    <row r="162" spans="2:60" x14ac:dyDescent="0.3">
      <c r="B162">
        <f t="shared" si="87"/>
        <v>2017</v>
      </c>
      <c r="C162">
        <f t="shared" si="88"/>
        <v>2</v>
      </c>
      <c r="D162" s="1">
        <f t="shared" si="89"/>
        <v>42767</v>
      </c>
      <c r="E162">
        <f>_xlfn.XLOOKUP(D162,[1]nairu_estimates_v6!$A$2:$A$265,[1]nairu_estimates_v6!$P$2:$P$265)</f>
        <v>9.3847182693492002</v>
      </c>
      <c r="F162">
        <f>_xlfn.XLOOKUP(D162,[1]nairu_estimates_v6!$A$2:$A$265,[1]nairu_estimates_v6!$V$2:$V$265)</f>
        <v>75.5780937054936</v>
      </c>
      <c r="G162">
        <v>23326364.8442569</v>
      </c>
      <c r="H162">
        <f t="shared" si="83"/>
        <v>0</v>
      </c>
      <c r="I162">
        <f t="shared" si="84"/>
        <v>0</v>
      </c>
      <c r="J162">
        <f t="shared" si="85"/>
        <v>0</v>
      </c>
      <c r="L162">
        <v>3.7680886685848201E-2</v>
      </c>
      <c r="M162">
        <v>74.194800000000001</v>
      </c>
      <c r="N162">
        <f t="shared" si="86"/>
        <v>0</v>
      </c>
      <c r="O162">
        <v>21081402.2808313</v>
      </c>
      <c r="AE162" s="14"/>
      <c r="AQ162" s="14"/>
      <c r="AT162" s="4"/>
      <c r="AU162" s="4"/>
      <c r="BF162" s="30"/>
      <c r="BH162" s="19"/>
    </row>
    <row r="163" spans="2:60" x14ac:dyDescent="0.3">
      <c r="B163">
        <f t="shared" si="87"/>
        <v>2017</v>
      </c>
      <c r="C163">
        <f t="shared" si="88"/>
        <v>3</v>
      </c>
      <c r="D163" s="1">
        <f t="shared" si="89"/>
        <v>42795</v>
      </c>
      <c r="E163">
        <f>_xlfn.XLOOKUP(D163,[1]nairu_estimates_v6!$A$2:$A$265,[1]nairu_estimates_v6!$P$2:$P$265)</f>
        <v>9.3906290133402308</v>
      </c>
      <c r="F163">
        <f>_xlfn.XLOOKUP(D163,[1]nairu_estimates_v6!$A$2:$A$265,[1]nairu_estimates_v6!$V$2:$V$265)</f>
        <v>75.227567027479495</v>
      </c>
      <c r="G163">
        <v>23228286.317779742</v>
      </c>
      <c r="H163">
        <f t="shared" si="83"/>
        <v>9.3852821298826399</v>
      </c>
      <c r="I163">
        <f t="shared" si="84"/>
        <v>75.501669572099658</v>
      </c>
      <c r="J163">
        <f t="shared" si="85"/>
        <v>23286084.82840101</v>
      </c>
      <c r="L163">
        <v>3.7680886685848201E-2</v>
      </c>
      <c r="M163">
        <v>75.930300000000003</v>
      </c>
      <c r="N163">
        <f t="shared" si="86"/>
        <v>75.468699999999998</v>
      </c>
      <c r="O163">
        <v>20986622.159331001</v>
      </c>
      <c r="AE163" s="14"/>
      <c r="AQ163" s="14"/>
      <c r="AT163" s="4"/>
      <c r="AU163" s="4"/>
      <c r="BF163" s="30"/>
      <c r="BH163" s="19"/>
    </row>
    <row r="164" spans="2:60" x14ac:dyDescent="0.3">
      <c r="B164">
        <f t="shared" si="87"/>
        <v>2017</v>
      </c>
      <c r="C164">
        <f t="shared" si="88"/>
        <v>4</v>
      </c>
      <c r="D164" s="1">
        <f t="shared" si="89"/>
        <v>42826</v>
      </c>
      <c r="E164">
        <f>_xlfn.XLOOKUP(D164,[1]nairu_estimates_v6!$A$2:$A$265,[1]nairu_estimates_v6!$P$2:$P$265)</f>
        <v>9.3984975372233404</v>
      </c>
      <c r="F164">
        <f>_xlfn.XLOOKUP(D164,[1]nairu_estimates_v6!$A$2:$A$265,[1]nairu_estimates_v6!$V$2:$V$265)</f>
        <v>75.366399700551497</v>
      </c>
      <c r="G164">
        <v>23369548.80657183</v>
      </c>
      <c r="H164">
        <f t="shared" si="83"/>
        <v>0</v>
      </c>
      <c r="I164">
        <f t="shared" si="84"/>
        <v>0</v>
      </c>
      <c r="J164">
        <f t="shared" si="85"/>
        <v>0</v>
      </c>
      <c r="L164">
        <v>3.7680886685848201E-2</v>
      </c>
      <c r="M164">
        <v>75.348699999999994</v>
      </c>
      <c r="N164">
        <f t="shared" si="86"/>
        <v>0</v>
      </c>
      <c r="O164">
        <v>21201532.208350502</v>
      </c>
      <c r="AE164" s="14"/>
      <c r="AQ164" s="14"/>
      <c r="AT164" s="4"/>
      <c r="AU164" s="4"/>
      <c r="BF164" s="30"/>
      <c r="BH164" s="19"/>
    </row>
    <row r="165" spans="2:60" x14ac:dyDescent="0.3">
      <c r="B165">
        <f t="shared" si="87"/>
        <v>2017</v>
      </c>
      <c r="C165">
        <f t="shared" si="88"/>
        <v>5</v>
      </c>
      <c r="D165" s="1">
        <f t="shared" si="89"/>
        <v>42856</v>
      </c>
      <c r="E165">
        <f>_xlfn.XLOOKUP(D165,[1]nairu_estimates_v6!$A$2:$A$265,[1]nairu_estimates_v6!$P$2:$P$265)</f>
        <v>9.4031639798972506</v>
      </c>
      <c r="F165">
        <f>_xlfn.XLOOKUP(D165,[1]nairu_estimates_v6!$A$2:$A$265,[1]nairu_estimates_v6!$V$2:$V$265)</f>
        <v>75.218261197694602</v>
      </c>
      <c r="G165">
        <v>23365234.116874091</v>
      </c>
      <c r="H165">
        <f t="shared" si="83"/>
        <v>0</v>
      </c>
      <c r="I165">
        <f t="shared" si="84"/>
        <v>0</v>
      </c>
      <c r="J165">
        <f t="shared" si="85"/>
        <v>0</v>
      </c>
      <c r="L165">
        <v>3.7680886685848201E-2</v>
      </c>
      <c r="M165">
        <v>76.102900000000005</v>
      </c>
      <c r="N165">
        <f t="shared" si="86"/>
        <v>0</v>
      </c>
      <c r="O165">
        <v>21111426.191585697</v>
      </c>
      <c r="AE165" s="14"/>
      <c r="AQ165" s="14"/>
      <c r="AT165" s="4"/>
      <c r="AU165" s="4"/>
      <c r="BF165" s="30"/>
      <c r="BH165" s="19"/>
    </row>
    <row r="166" spans="2:60" x14ac:dyDescent="0.3">
      <c r="B166">
        <f t="shared" si="87"/>
        <v>2017</v>
      </c>
      <c r="C166">
        <f t="shared" si="88"/>
        <v>6</v>
      </c>
      <c r="D166" s="1">
        <f t="shared" si="89"/>
        <v>42887</v>
      </c>
      <c r="E166">
        <f>_xlfn.XLOOKUP(D166,[1]nairu_estimates_v6!$A$2:$A$265,[1]nairu_estimates_v6!$P$2:$P$265)</f>
        <v>9.41017590339154</v>
      </c>
      <c r="F166">
        <f>_xlfn.XLOOKUP(D166,[1]nairu_estimates_v6!$A$2:$A$265,[1]nairu_estimates_v6!$V$2:$V$265)</f>
        <v>75.311116927536403</v>
      </c>
      <c r="G166">
        <v>23613051.407478649</v>
      </c>
      <c r="H166">
        <f t="shared" si="83"/>
        <v>9.4039458068373776</v>
      </c>
      <c r="I166">
        <f t="shared" si="84"/>
        <v>75.298592608594177</v>
      </c>
      <c r="J166">
        <f t="shared" si="85"/>
        <v>23449278.110308189</v>
      </c>
      <c r="L166">
        <v>3.7680886685848201E-2</v>
      </c>
      <c r="M166">
        <v>77.693299999999994</v>
      </c>
      <c r="N166">
        <f t="shared" si="86"/>
        <v>76.381633333333326</v>
      </c>
      <c r="O166">
        <v>21405945.226259399</v>
      </c>
      <c r="AE166" s="14"/>
      <c r="AQ166" s="14"/>
      <c r="AT166" s="4"/>
      <c r="AU166" s="4"/>
      <c r="BF166" s="30"/>
      <c r="BH166" s="19"/>
    </row>
    <row r="167" spans="2:60" x14ac:dyDescent="0.3">
      <c r="B167">
        <f t="shared" si="87"/>
        <v>2017</v>
      </c>
      <c r="C167">
        <f t="shared" si="88"/>
        <v>7</v>
      </c>
      <c r="D167" s="1">
        <f t="shared" si="89"/>
        <v>42917</v>
      </c>
      <c r="E167">
        <f>_xlfn.XLOOKUP(D167,[1]nairu_estimates_v6!$A$2:$A$265,[1]nairu_estimates_v6!$P$2:$P$265)</f>
        <v>9.4189155549155501</v>
      </c>
      <c r="F167">
        <f>_xlfn.XLOOKUP(D167,[1]nairu_estimates_v6!$A$2:$A$265,[1]nairu_estimates_v6!$V$2:$V$265)</f>
        <v>75.317420672040896</v>
      </c>
      <c r="G167">
        <v>23396415.534062728</v>
      </c>
      <c r="H167">
        <f t="shared" si="83"/>
        <v>0</v>
      </c>
      <c r="I167">
        <f t="shared" si="84"/>
        <v>0</v>
      </c>
      <c r="J167">
        <f t="shared" si="85"/>
        <v>0</v>
      </c>
      <c r="L167">
        <v>3.7680886685848201E-2</v>
      </c>
      <c r="M167">
        <v>77.149500000000003</v>
      </c>
      <c r="N167">
        <f t="shared" si="86"/>
        <v>0</v>
      </c>
      <c r="O167">
        <v>21153212.601390101</v>
      </c>
      <c r="AE167" s="14"/>
      <c r="AQ167" s="14"/>
      <c r="AT167" s="4"/>
      <c r="AU167" s="4"/>
      <c r="BF167" s="30"/>
      <c r="BH167" s="19"/>
    </row>
    <row r="168" spans="2:60" x14ac:dyDescent="0.3">
      <c r="B168">
        <f t="shared" si="87"/>
        <v>2017</v>
      </c>
      <c r="C168">
        <f t="shared" si="88"/>
        <v>8</v>
      </c>
      <c r="D168" s="1">
        <f t="shared" si="89"/>
        <v>42948</v>
      </c>
      <c r="E168">
        <f>_xlfn.XLOOKUP(D168,[1]nairu_estimates_v6!$A$2:$A$265,[1]nairu_estimates_v6!$P$2:$P$265)</f>
        <v>9.4300176884290998</v>
      </c>
      <c r="F168">
        <f>_xlfn.XLOOKUP(D168,[1]nairu_estimates_v6!$A$2:$A$265,[1]nairu_estimates_v6!$V$2:$V$265)</f>
        <v>75.420410969628705</v>
      </c>
      <c r="G168">
        <v>23471015.125253711</v>
      </c>
      <c r="H168">
        <f t="shared" si="83"/>
        <v>0</v>
      </c>
      <c r="I168">
        <f t="shared" si="84"/>
        <v>0</v>
      </c>
      <c r="J168">
        <f t="shared" si="85"/>
        <v>0</v>
      </c>
      <c r="L168">
        <v>3.7680886685848201E-2</v>
      </c>
      <c r="M168">
        <v>78.632400000000004</v>
      </c>
      <c r="N168">
        <f t="shared" si="86"/>
        <v>0</v>
      </c>
      <c r="O168">
        <v>21189770.6322622</v>
      </c>
      <c r="AE168" s="14"/>
      <c r="AQ168" s="14"/>
      <c r="AT168" s="4"/>
      <c r="AU168" s="4"/>
      <c r="BF168" s="30"/>
      <c r="BH168" s="19"/>
    </row>
    <row r="169" spans="2:60" x14ac:dyDescent="0.3">
      <c r="B169">
        <f t="shared" si="87"/>
        <v>2017</v>
      </c>
      <c r="C169">
        <f t="shared" si="88"/>
        <v>9</v>
      </c>
      <c r="D169" s="1">
        <f t="shared" si="89"/>
        <v>42979</v>
      </c>
      <c r="E169">
        <f>_xlfn.XLOOKUP(D169,[1]nairu_estimates_v6!$A$2:$A$265,[1]nairu_estimates_v6!$P$2:$P$265)</f>
        <v>9.4411350283164701</v>
      </c>
      <c r="F169">
        <f>_xlfn.XLOOKUP(D169,[1]nairu_estimates_v6!$A$2:$A$265,[1]nairu_estimates_v6!$V$2:$V$265)</f>
        <v>75.713339156756803</v>
      </c>
      <c r="G169">
        <v>23386041.99645244</v>
      </c>
      <c r="H169">
        <f t="shared" si="83"/>
        <v>9.4300227572203728</v>
      </c>
      <c r="I169">
        <f t="shared" si="84"/>
        <v>75.483723599475468</v>
      </c>
      <c r="J169">
        <f t="shared" si="85"/>
        <v>23417824.218589623</v>
      </c>
      <c r="L169">
        <v>3.7680886685848201E-2</v>
      </c>
      <c r="M169">
        <v>77.592100000000002</v>
      </c>
      <c r="N169">
        <f t="shared" si="86"/>
        <v>77.791333333333341</v>
      </c>
      <c r="O169">
        <v>21057834.380723901</v>
      </c>
      <c r="AE169" s="14"/>
      <c r="AQ169" s="14"/>
      <c r="AT169" s="4"/>
      <c r="AU169" s="4"/>
      <c r="BF169" s="30"/>
      <c r="BH169" s="19"/>
    </row>
    <row r="170" spans="2:60" x14ac:dyDescent="0.3">
      <c r="B170">
        <f t="shared" si="87"/>
        <v>2017</v>
      </c>
      <c r="C170">
        <f t="shared" si="88"/>
        <v>10</v>
      </c>
      <c r="D170" s="1">
        <f t="shared" si="89"/>
        <v>43009</v>
      </c>
      <c r="E170">
        <f>_xlfn.XLOOKUP(D170,[1]nairu_estimates_v6!$A$2:$A$265,[1]nairu_estimates_v6!$P$2:$P$265)</f>
        <v>9.4535103139444097</v>
      </c>
      <c r="F170">
        <f>_xlfn.XLOOKUP(D170,[1]nairu_estimates_v6!$A$2:$A$265,[1]nairu_estimates_v6!$V$2:$V$265)</f>
        <v>75.897175581481093</v>
      </c>
      <c r="G170">
        <v>23369765.101212841</v>
      </c>
      <c r="H170">
        <f t="shared" si="83"/>
        <v>0</v>
      </c>
      <c r="I170">
        <f t="shared" si="84"/>
        <v>0</v>
      </c>
      <c r="J170">
        <f t="shared" si="85"/>
        <v>0</v>
      </c>
      <c r="L170">
        <v>3.7680886685848201E-2</v>
      </c>
      <c r="M170">
        <v>77.417900000000003</v>
      </c>
      <c r="N170">
        <f t="shared" si="86"/>
        <v>0</v>
      </c>
      <c r="O170">
        <v>21114051.177558202</v>
      </c>
      <c r="AE170" s="14"/>
      <c r="AQ170" s="14"/>
      <c r="AT170" s="4"/>
      <c r="AU170" s="4"/>
      <c r="BF170" s="30"/>
      <c r="BH170" s="19"/>
    </row>
    <row r="171" spans="2:60" x14ac:dyDescent="0.3">
      <c r="B171">
        <f t="shared" si="87"/>
        <v>2017</v>
      </c>
      <c r="C171">
        <f t="shared" si="88"/>
        <v>11</v>
      </c>
      <c r="D171" s="1">
        <f t="shared" si="89"/>
        <v>43040</v>
      </c>
      <c r="E171">
        <f>_xlfn.XLOOKUP(D171,[1]nairu_estimates_v6!$A$2:$A$265,[1]nairu_estimates_v6!$P$2:$P$265)</f>
        <v>9.4656108023426508</v>
      </c>
      <c r="F171">
        <f>_xlfn.XLOOKUP(D171,[1]nairu_estimates_v6!$A$2:$A$265,[1]nairu_estimates_v6!$V$2:$V$265)</f>
        <v>76.245596679605796</v>
      </c>
      <c r="G171">
        <v>23439492.96245306</v>
      </c>
      <c r="H171">
        <f t="shared" si="83"/>
        <v>0</v>
      </c>
      <c r="I171">
        <f t="shared" si="84"/>
        <v>0</v>
      </c>
      <c r="J171">
        <f t="shared" si="85"/>
        <v>0</v>
      </c>
      <c r="L171">
        <v>3.7680886685848201E-2</v>
      </c>
      <c r="M171">
        <v>76.746499999999997</v>
      </c>
      <c r="N171">
        <f t="shared" si="86"/>
        <v>0</v>
      </c>
      <c r="O171">
        <v>21027540.910193101</v>
      </c>
      <c r="AE171" s="14"/>
      <c r="AQ171" s="14"/>
      <c r="AT171" s="4"/>
      <c r="AU171" s="4"/>
      <c r="BF171" s="30"/>
      <c r="BH171" s="19"/>
    </row>
    <row r="172" spans="2:60" x14ac:dyDescent="0.3">
      <c r="B172">
        <f t="shared" si="87"/>
        <v>2017</v>
      </c>
      <c r="C172">
        <f t="shared" si="88"/>
        <v>12</v>
      </c>
      <c r="D172" s="1">
        <f t="shared" si="89"/>
        <v>43070</v>
      </c>
      <c r="E172">
        <f>_xlfn.XLOOKUP(D172,[1]nairu_estimates_v6!$A$2:$A$265,[1]nairu_estimates_v6!$P$2:$P$265)</f>
        <v>9.4823974040942094</v>
      </c>
      <c r="F172">
        <f>_xlfn.XLOOKUP(D172,[1]nairu_estimates_v6!$A$2:$A$265,[1]nairu_estimates_v6!$V$2:$V$265)</f>
        <v>76.417536367172602</v>
      </c>
      <c r="G172">
        <v>23404789.46443763</v>
      </c>
      <c r="H172">
        <f t="shared" si="83"/>
        <v>9.4671728401270894</v>
      </c>
      <c r="I172">
        <f t="shared" si="84"/>
        <v>76.186769542753169</v>
      </c>
      <c r="J172">
        <f t="shared" si="85"/>
        <v>23404682.509367842</v>
      </c>
      <c r="L172">
        <v>3.7680886685848201E-2</v>
      </c>
      <c r="M172">
        <v>75.860699999999994</v>
      </c>
      <c r="N172">
        <f t="shared" si="86"/>
        <v>76.675033333333332</v>
      </c>
      <c r="O172">
        <v>21165247.036108099</v>
      </c>
      <c r="AE172" s="14"/>
      <c r="AQ172" s="14"/>
      <c r="AT172" s="4"/>
      <c r="AU172" s="4"/>
      <c r="BF172" s="30"/>
      <c r="BH172" s="19"/>
    </row>
    <row r="173" spans="2:60" x14ac:dyDescent="0.3">
      <c r="B173">
        <f t="shared" si="87"/>
        <v>2018</v>
      </c>
      <c r="C173">
        <f t="shared" si="88"/>
        <v>1</v>
      </c>
      <c r="D173" s="1">
        <f t="shared" si="89"/>
        <v>43101</v>
      </c>
      <c r="E173">
        <f>_xlfn.XLOOKUP(D173,[1]nairu_estimates_v6!$A$2:$A$265,[1]nairu_estimates_v6!$P$2:$P$265)</f>
        <v>9.4954325395909098</v>
      </c>
      <c r="F173">
        <f>_xlfn.XLOOKUP(D173,[1]nairu_estimates_v6!$A$2:$A$265,[1]nairu_estimates_v6!$V$2:$V$265)</f>
        <v>76.552895357374695</v>
      </c>
      <c r="G173">
        <v>23434628.614743762</v>
      </c>
      <c r="H173">
        <f t="shared" si="83"/>
        <v>0</v>
      </c>
      <c r="I173">
        <f t="shared" si="84"/>
        <v>0</v>
      </c>
      <c r="J173">
        <f t="shared" si="85"/>
        <v>0</v>
      </c>
      <c r="K173">
        <v>2.5808</v>
      </c>
      <c r="L173">
        <v>3.7647020071744898E-2</v>
      </c>
      <c r="M173">
        <v>79.672499999999999</v>
      </c>
      <c r="N173">
        <f t="shared" si="86"/>
        <v>0</v>
      </c>
      <c r="O173">
        <v>21116672.509700101</v>
      </c>
      <c r="AE173" s="14"/>
      <c r="AQ173" s="14"/>
      <c r="AT173" s="4"/>
      <c r="AU173" s="4"/>
      <c r="BF173" s="30"/>
      <c r="BH173" s="19"/>
    </row>
    <row r="174" spans="2:60" x14ac:dyDescent="0.3">
      <c r="B174">
        <f t="shared" si="87"/>
        <v>2018</v>
      </c>
      <c r="C174">
        <f t="shared" si="88"/>
        <v>2</v>
      </c>
      <c r="D174" s="1">
        <f t="shared" si="89"/>
        <v>43132</v>
      </c>
      <c r="E174">
        <f>_xlfn.XLOOKUP(D174,[1]nairu_estimates_v6!$A$2:$A$265,[1]nairu_estimates_v6!$P$2:$P$265)</f>
        <v>9.50601902473643</v>
      </c>
      <c r="F174">
        <f>_xlfn.XLOOKUP(D174,[1]nairu_estimates_v6!$A$2:$A$265,[1]nairu_estimates_v6!$V$2:$V$265)</f>
        <v>76.583913842280694</v>
      </c>
      <c r="G174">
        <v>23312487.608002421</v>
      </c>
      <c r="H174">
        <f t="shared" si="83"/>
        <v>0</v>
      </c>
      <c r="I174">
        <f t="shared" si="84"/>
        <v>0</v>
      </c>
      <c r="J174">
        <f t="shared" si="85"/>
        <v>0</v>
      </c>
      <c r="L174">
        <v>3.7647020071744898E-2</v>
      </c>
      <c r="M174">
        <v>79.595100000000002</v>
      </c>
      <c r="N174">
        <f t="shared" si="86"/>
        <v>0</v>
      </c>
      <c r="O174">
        <v>20995790.0947331</v>
      </c>
      <c r="AE174" s="14"/>
      <c r="AQ174" s="14"/>
      <c r="AT174" s="4"/>
      <c r="AU174" s="4"/>
      <c r="BF174" s="30"/>
      <c r="BH174" s="19"/>
    </row>
    <row r="175" spans="2:60" x14ac:dyDescent="0.3">
      <c r="B175">
        <f t="shared" si="87"/>
        <v>2018</v>
      </c>
      <c r="C175">
        <f t="shared" si="88"/>
        <v>3</v>
      </c>
      <c r="D175" s="1">
        <f t="shared" si="89"/>
        <v>43160</v>
      </c>
      <c r="E175">
        <f>_xlfn.XLOOKUP(D175,[1]nairu_estimates_v6!$A$2:$A$265,[1]nairu_estimates_v6!$P$2:$P$265)</f>
        <v>9.5204802728021694</v>
      </c>
      <c r="F175">
        <f>_xlfn.XLOOKUP(D175,[1]nairu_estimates_v6!$A$2:$A$265,[1]nairu_estimates_v6!$V$2:$V$265)</f>
        <v>76.494257195532697</v>
      </c>
      <c r="G175">
        <v>23406568.914833952</v>
      </c>
      <c r="H175">
        <f t="shared" si="83"/>
        <v>9.5073106123765019</v>
      </c>
      <c r="I175">
        <f t="shared" si="84"/>
        <v>76.543688798396019</v>
      </c>
      <c r="J175">
        <f t="shared" si="85"/>
        <v>23384561.712526709</v>
      </c>
      <c r="L175">
        <v>3.7647020071744898E-2</v>
      </c>
      <c r="M175">
        <v>80.188500000000005</v>
      </c>
      <c r="N175">
        <f t="shared" si="86"/>
        <v>79.818700000000007</v>
      </c>
      <c r="O175">
        <v>21185238.3635027</v>
      </c>
      <c r="AE175" s="14"/>
      <c r="AQ175" s="14"/>
      <c r="AT175" s="4"/>
      <c r="AU175" s="4"/>
      <c r="BF175" s="30"/>
      <c r="BH175" s="19"/>
    </row>
    <row r="176" spans="2:60" x14ac:dyDescent="0.3">
      <c r="B176">
        <f t="shared" si="87"/>
        <v>2018</v>
      </c>
      <c r="C176">
        <f t="shared" si="88"/>
        <v>4</v>
      </c>
      <c r="D176" s="1">
        <f t="shared" si="89"/>
        <v>43191</v>
      </c>
      <c r="E176">
        <f>_xlfn.XLOOKUP(D176,[1]nairu_estimates_v6!$A$2:$A$265,[1]nairu_estimates_v6!$P$2:$P$265)</f>
        <v>9.5303987407662891</v>
      </c>
      <c r="F176">
        <f>_xlfn.XLOOKUP(D176,[1]nairu_estimates_v6!$A$2:$A$265,[1]nairu_estimates_v6!$V$2:$V$265)</f>
        <v>76.902778564671806</v>
      </c>
      <c r="G176">
        <v>23578577.12904419</v>
      </c>
      <c r="H176">
        <f t="shared" si="83"/>
        <v>0</v>
      </c>
      <c r="I176">
        <f t="shared" si="84"/>
        <v>0</v>
      </c>
      <c r="J176">
        <f t="shared" si="85"/>
        <v>0</v>
      </c>
      <c r="L176">
        <v>3.7647020071744898E-2</v>
      </c>
      <c r="M176">
        <v>79.762900000000002</v>
      </c>
      <c r="N176">
        <f t="shared" si="86"/>
        <v>0</v>
      </c>
      <c r="O176">
        <v>21261436.161053501</v>
      </c>
      <c r="AE176" s="14"/>
      <c r="AQ176" s="14"/>
      <c r="AT176" s="4"/>
      <c r="AU176" s="4"/>
      <c r="BF176" s="30"/>
      <c r="BH176" s="19"/>
    </row>
    <row r="177" spans="2:60" x14ac:dyDescent="0.3">
      <c r="B177">
        <f t="shared" si="87"/>
        <v>2018</v>
      </c>
      <c r="C177">
        <f t="shared" si="88"/>
        <v>5</v>
      </c>
      <c r="D177" s="1">
        <f t="shared" si="89"/>
        <v>43221</v>
      </c>
      <c r="E177">
        <f>_xlfn.XLOOKUP(D177,[1]nairu_estimates_v6!$A$2:$A$265,[1]nairu_estimates_v6!$P$2:$P$265)</f>
        <v>9.5417837289686993</v>
      </c>
      <c r="F177">
        <f>_xlfn.XLOOKUP(D177,[1]nairu_estimates_v6!$A$2:$A$265,[1]nairu_estimates_v6!$V$2:$V$265)</f>
        <v>77.247097979817099</v>
      </c>
      <c r="G177">
        <v>23665009.267104317</v>
      </c>
      <c r="H177">
        <f t="shared" si="83"/>
        <v>0</v>
      </c>
      <c r="I177">
        <f t="shared" si="84"/>
        <v>0</v>
      </c>
      <c r="J177">
        <f t="shared" si="85"/>
        <v>0</v>
      </c>
      <c r="L177">
        <v>3.7647020071744898E-2</v>
      </c>
      <c r="M177">
        <v>81.235399999999998</v>
      </c>
      <c r="N177">
        <f t="shared" si="86"/>
        <v>0</v>
      </c>
      <c r="O177">
        <v>21372186.001549199</v>
      </c>
      <c r="AE177" s="14"/>
      <c r="AQ177" s="14"/>
      <c r="AT177" s="4"/>
      <c r="AU177" s="4"/>
      <c r="BF177" s="30"/>
      <c r="BH177" s="19"/>
    </row>
    <row r="178" spans="2:60" x14ac:dyDescent="0.3">
      <c r="B178">
        <f t="shared" si="87"/>
        <v>2018</v>
      </c>
      <c r="C178">
        <f t="shared" si="88"/>
        <v>6</v>
      </c>
      <c r="D178" s="1">
        <f t="shared" si="89"/>
        <v>43252</v>
      </c>
      <c r="E178">
        <f>_xlfn.XLOOKUP(D178,[1]nairu_estimates_v6!$A$2:$A$265,[1]nairu_estimates_v6!$P$2:$P$265)</f>
        <v>9.5542401399282593</v>
      </c>
      <c r="F178">
        <f>_xlfn.XLOOKUP(D178,[1]nairu_estimates_v6!$A$2:$A$265,[1]nairu_estimates_v6!$V$2:$V$265)</f>
        <v>77.625300792278196</v>
      </c>
      <c r="G178">
        <v>23653690.109904934</v>
      </c>
      <c r="H178">
        <f t="shared" si="83"/>
        <v>9.542140869887751</v>
      </c>
      <c r="I178">
        <f t="shared" si="84"/>
        <v>77.258392445589038</v>
      </c>
      <c r="J178">
        <f t="shared" si="85"/>
        <v>23632425.502017811</v>
      </c>
      <c r="L178">
        <v>3.7647020071744898E-2</v>
      </c>
      <c r="M178">
        <v>81.430800000000005</v>
      </c>
      <c r="N178">
        <f t="shared" si="86"/>
        <v>80.809700000000007</v>
      </c>
      <c r="O178">
        <v>21386052.6010454</v>
      </c>
      <c r="AE178" s="14"/>
      <c r="AQ178" s="14"/>
      <c r="AT178" s="4"/>
      <c r="AU178" s="4"/>
      <c r="BF178" s="30"/>
      <c r="BH178" s="19"/>
    </row>
    <row r="179" spans="2:60" x14ac:dyDescent="0.3">
      <c r="B179">
        <f t="shared" si="87"/>
        <v>2018</v>
      </c>
      <c r="C179">
        <f t="shared" si="88"/>
        <v>7</v>
      </c>
      <c r="D179" s="1">
        <f t="shared" si="89"/>
        <v>43282</v>
      </c>
      <c r="E179">
        <f>_xlfn.XLOOKUP(D179,[1]nairu_estimates_v6!$A$2:$A$265,[1]nairu_estimates_v6!$P$2:$P$265)</f>
        <v>9.5659528177819393</v>
      </c>
      <c r="F179">
        <f>_xlfn.XLOOKUP(D179,[1]nairu_estimates_v6!$A$2:$A$265,[1]nairu_estimates_v6!$V$2:$V$265)</f>
        <v>77.900939343490705</v>
      </c>
      <c r="G179">
        <v>23668783.884073898</v>
      </c>
      <c r="H179">
        <f t="shared" si="83"/>
        <v>0</v>
      </c>
      <c r="I179">
        <f t="shared" si="84"/>
        <v>0</v>
      </c>
      <c r="J179">
        <f t="shared" si="85"/>
        <v>0</v>
      </c>
      <c r="L179">
        <v>3.7647020071744898E-2</v>
      </c>
      <c r="M179">
        <v>80.331800000000001</v>
      </c>
      <c r="N179">
        <f t="shared" si="86"/>
        <v>0</v>
      </c>
      <c r="O179">
        <v>21372315.422701702</v>
      </c>
      <c r="AE179" s="14"/>
      <c r="AQ179" s="14"/>
      <c r="AT179" s="4"/>
      <c r="AU179" s="4"/>
      <c r="BF179" s="30"/>
      <c r="BH179" s="19"/>
    </row>
    <row r="180" spans="2:60" x14ac:dyDescent="0.3">
      <c r="B180">
        <f t="shared" si="87"/>
        <v>2018</v>
      </c>
      <c r="C180">
        <f t="shared" si="88"/>
        <v>8</v>
      </c>
      <c r="D180" s="1">
        <f t="shared" si="89"/>
        <v>43313</v>
      </c>
      <c r="E180">
        <f>_xlfn.XLOOKUP(D180,[1]nairu_estimates_v6!$A$2:$A$265,[1]nairu_estimates_v6!$P$2:$P$265)</f>
        <v>9.57542710555723</v>
      </c>
      <c r="F180">
        <f>_xlfn.XLOOKUP(D180,[1]nairu_estimates_v6!$A$2:$A$265,[1]nairu_estimates_v6!$V$2:$V$265)</f>
        <v>78.329403452974802</v>
      </c>
      <c r="G180">
        <v>23795672.322436508</v>
      </c>
      <c r="H180">
        <f t="shared" si="83"/>
        <v>0</v>
      </c>
      <c r="I180">
        <f t="shared" si="84"/>
        <v>0</v>
      </c>
      <c r="J180">
        <f t="shared" si="85"/>
        <v>0</v>
      </c>
      <c r="L180">
        <v>3.7647020071744898E-2</v>
      </c>
      <c r="M180">
        <v>81.560900000000004</v>
      </c>
      <c r="N180">
        <f t="shared" si="86"/>
        <v>0</v>
      </c>
      <c r="O180">
        <v>21498751.182200499</v>
      </c>
      <c r="AE180" s="14"/>
      <c r="AQ180" s="14"/>
      <c r="AT180" s="4"/>
      <c r="AU180" s="4"/>
      <c r="BF180" s="30"/>
      <c r="BH180" s="19"/>
    </row>
    <row r="181" spans="2:60" x14ac:dyDescent="0.3">
      <c r="B181">
        <f t="shared" si="87"/>
        <v>2018</v>
      </c>
      <c r="C181">
        <f t="shared" si="88"/>
        <v>9</v>
      </c>
      <c r="D181" s="1">
        <f t="shared" si="89"/>
        <v>43344</v>
      </c>
      <c r="E181">
        <f>_xlfn.XLOOKUP(D181,[1]nairu_estimates_v6!$A$2:$A$265,[1]nairu_estimates_v6!$P$2:$P$265)</f>
        <v>9.5846122934243407</v>
      </c>
      <c r="F181">
        <f>_xlfn.XLOOKUP(D181,[1]nairu_estimates_v6!$A$2:$A$265,[1]nairu_estimates_v6!$V$2:$V$265)</f>
        <v>78.7283688755806</v>
      </c>
      <c r="G181">
        <v>23882797.294004679</v>
      </c>
      <c r="H181">
        <f t="shared" si="83"/>
        <v>9.5753307389211688</v>
      </c>
      <c r="I181">
        <f t="shared" si="84"/>
        <v>78.319570557348698</v>
      </c>
      <c r="J181">
        <f t="shared" si="85"/>
        <v>23782417.833505031</v>
      </c>
      <c r="L181">
        <v>3.7647020071744898E-2</v>
      </c>
      <c r="M181">
        <v>81.058300000000003</v>
      </c>
      <c r="N181">
        <f t="shared" si="86"/>
        <v>80.983666666666664</v>
      </c>
      <c r="O181">
        <v>21468597.1082404</v>
      </c>
      <c r="AE181" s="14"/>
      <c r="AQ181" s="14"/>
      <c r="AT181" s="4"/>
      <c r="AU181" s="4"/>
      <c r="BF181" s="30"/>
      <c r="BH181" s="19"/>
    </row>
    <row r="182" spans="2:60" x14ac:dyDescent="0.3">
      <c r="B182">
        <f>IF(C181=12,B181+1,B181)</f>
        <v>2018</v>
      </c>
      <c r="C182">
        <f>IF(C181=12,1,C181+1)</f>
        <v>10</v>
      </c>
      <c r="D182" s="1">
        <f>DATE(B182,C182,1)</f>
        <v>43374</v>
      </c>
      <c r="E182">
        <f>_xlfn.XLOOKUP(D182,[1]nairu_estimates_v6!$A$2:$A$265,[1]nairu_estimates_v6!$P$2:$P$265)</f>
        <v>9.5965767015888392</v>
      </c>
      <c r="F182">
        <f>_xlfn.XLOOKUP(D182,[1]nairu_estimates_v6!$A$2:$A$265,[1]nairu_estimates_v6!$V$2:$V$265)</f>
        <v>78.934224904534304</v>
      </c>
      <c r="G182">
        <v>23631889.780491661</v>
      </c>
      <c r="H182">
        <f t="shared" si="83"/>
        <v>0</v>
      </c>
      <c r="I182">
        <f t="shared" si="84"/>
        <v>0</v>
      </c>
      <c r="J182">
        <f t="shared" si="85"/>
        <v>0</v>
      </c>
      <c r="L182">
        <v>3.7647020071744898E-2</v>
      </c>
      <c r="M182">
        <v>79.692599999999999</v>
      </c>
      <c r="N182">
        <f t="shared" si="86"/>
        <v>0</v>
      </c>
      <c r="O182">
        <v>21197647.6409656</v>
      </c>
      <c r="AE182" s="14"/>
      <c r="AQ182" s="14"/>
      <c r="AT182" s="4"/>
      <c r="AU182" s="4"/>
      <c r="BF182" s="30"/>
      <c r="BH182" s="19"/>
    </row>
    <row r="183" spans="2:60" x14ac:dyDescent="0.3">
      <c r="B183">
        <f t="shared" ref="B183:B246" si="90">IF(C182=12,B182+1,B182)</f>
        <v>2018</v>
      </c>
      <c r="C183">
        <f t="shared" ref="C183:C246" si="91">IF(C182=12,1,C182+1)</f>
        <v>11</v>
      </c>
      <c r="D183" s="1">
        <f t="shared" ref="D183:D246" si="92">DATE(B183,C183,1)</f>
        <v>43405</v>
      </c>
      <c r="E183">
        <f>_xlfn.XLOOKUP(D183,[1]nairu_estimates_v6!$A$2:$A$265,[1]nairu_estimates_v6!$P$2:$P$265)</f>
        <v>9.6094510485974407</v>
      </c>
      <c r="F183">
        <f>_xlfn.XLOOKUP(D183,[1]nairu_estimates_v6!$A$2:$A$265,[1]nairu_estimates_v6!$V$2:$V$265)</f>
        <v>79.273639129295802</v>
      </c>
      <c r="G183">
        <v>23361491.210258175</v>
      </c>
      <c r="H183">
        <f t="shared" si="83"/>
        <v>0</v>
      </c>
      <c r="I183">
        <f t="shared" si="84"/>
        <v>0</v>
      </c>
      <c r="J183">
        <f t="shared" si="85"/>
        <v>0</v>
      </c>
      <c r="L183">
        <v>3.7647020071744898E-2</v>
      </c>
      <c r="M183">
        <v>79.561999999999998</v>
      </c>
      <c r="N183">
        <f t="shared" si="86"/>
        <v>0</v>
      </c>
      <c r="O183">
        <v>20915941.402366702</v>
      </c>
      <c r="AE183" s="14"/>
      <c r="AQ183" s="14"/>
      <c r="AT183" s="4"/>
      <c r="AU183" s="4"/>
      <c r="BF183" s="30"/>
      <c r="BH183" s="19"/>
    </row>
    <row r="184" spans="2:60" x14ac:dyDescent="0.3">
      <c r="B184">
        <f t="shared" si="90"/>
        <v>2018</v>
      </c>
      <c r="C184">
        <f t="shared" si="91"/>
        <v>12</v>
      </c>
      <c r="D184" s="1">
        <f t="shared" si="92"/>
        <v>43435</v>
      </c>
      <c r="E184">
        <f>_xlfn.XLOOKUP(D184,[1]nairu_estimates_v6!$A$2:$A$265,[1]nairu_estimates_v6!$P$2:$P$265)</f>
        <v>9.6275495032615197</v>
      </c>
      <c r="F184">
        <f>_xlfn.XLOOKUP(D184,[1]nairu_estimates_v6!$A$2:$A$265,[1]nairu_estimates_v6!$V$2:$V$265)</f>
        <v>79.504904333798294</v>
      </c>
      <c r="G184">
        <v>24108461.865101419</v>
      </c>
      <c r="H184">
        <f t="shared" si="83"/>
        <v>9.6111924178159338</v>
      </c>
      <c r="I184">
        <f t="shared" si="84"/>
        <v>79.237589455876133</v>
      </c>
      <c r="J184">
        <f t="shared" si="85"/>
        <v>23700614.285283756</v>
      </c>
      <c r="L184">
        <v>3.7647020071744898E-2</v>
      </c>
      <c r="M184">
        <v>78.589799999999997</v>
      </c>
      <c r="N184">
        <f t="shared" si="86"/>
        <v>79.28146666666666</v>
      </c>
      <c r="O184">
        <v>21489839.511941001</v>
      </c>
      <c r="AE184" s="14"/>
      <c r="AQ184" s="14"/>
      <c r="AT184" s="4"/>
      <c r="AU184" s="4"/>
      <c r="BF184" s="30"/>
      <c r="BH184" s="19"/>
    </row>
    <row r="185" spans="2:60" x14ac:dyDescent="0.3">
      <c r="B185">
        <f t="shared" si="90"/>
        <v>2019</v>
      </c>
      <c r="C185">
        <f t="shared" si="91"/>
        <v>1</v>
      </c>
      <c r="D185" s="1">
        <f t="shared" si="92"/>
        <v>43466</v>
      </c>
      <c r="E185">
        <f>_xlfn.XLOOKUP(D185,[1]nairu_estimates_v6!$A$2:$A$265,[1]nairu_estimates_v6!$P$2:$P$265)</f>
        <v>9.6504169488776004</v>
      </c>
      <c r="F185">
        <f>_xlfn.XLOOKUP(D185,[1]nairu_estimates_v6!$A$2:$A$265,[1]nairu_estimates_v6!$V$2:$V$265)</f>
        <v>79.527380637151595</v>
      </c>
      <c r="G185">
        <v>23885043.809500393</v>
      </c>
      <c r="H185">
        <f t="shared" si="83"/>
        <v>0</v>
      </c>
      <c r="I185">
        <f t="shared" si="84"/>
        <v>0</v>
      </c>
      <c r="J185">
        <f t="shared" si="85"/>
        <v>0</v>
      </c>
      <c r="K185">
        <v>2.5988000000000002</v>
      </c>
      <c r="L185">
        <v>3.7836160510778399E-2</v>
      </c>
      <c r="M185">
        <v>81.8399</v>
      </c>
      <c r="N185">
        <f t="shared" si="86"/>
        <v>0</v>
      </c>
      <c r="O185">
        <v>21311053.830945302</v>
      </c>
      <c r="AE185" s="14"/>
      <c r="AQ185" s="14"/>
      <c r="AT185" s="4"/>
      <c r="AU185" s="4"/>
      <c r="BF185" s="30"/>
      <c r="BH185" s="19"/>
    </row>
    <row r="186" spans="2:60" x14ac:dyDescent="0.3">
      <c r="B186">
        <f t="shared" si="90"/>
        <v>2019</v>
      </c>
      <c r="C186">
        <f t="shared" si="91"/>
        <v>2</v>
      </c>
      <c r="D186" s="1">
        <f t="shared" si="92"/>
        <v>43497</v>
      </c>
      <c r="E186">
        <f>_xlfn.XLOOKUP(D186,[1]nairu_estimates_v6!$A$2:$A$265,[1]nairu_estimates_v6!$P$2:$P$265)</f>
        <v>9.6753147279351293</v>
      </c>
      <c r="F186">
        <f>_xlfn.XLOOKUP(D186,[1]nairu_estimates_v6!$A$2:$A$265,[1]nairu_estimates_v6!$V$2:$V$265)</f>
        <v>79.531213538016701</v>
      </c>
      <c r="G186">
        <v>24005908.797431398</v>
      </c>
      <c r="H186">
        <f t="shared" si="83"/>
        <v>0</v>
      </c>
      <c r="I186">
        <f t="shared" si="84"/>
        <v>0</v>
      </c>
      <c r="J186">
        <f t="shared" si="85"/>
        <v>0</v>
      </c>
      <c r="L186">
        <v>3.7836160510778399E-2</v>
      </c>
      <c r="M186">
        <v>79.069500000000005</v>
      </c>
      <c r="N186">
        <f t="shared" si="86"/>
        <v>0</v>
      </c>
      <c r="O186">
        <v>21406017.040959198</v>
      </c>
      <c r="AE186" s="14"/>
      <c r="AQ186" s="14"/>
      <c r="AT186" s="4"/>
      <c r="AU186" s="4"/>
      <c r="BF186" s="30"/>
      <c r="BH186" s="19"/>
    </row>
    <row r="187" spans="2:60" x14ac:dyDescent="0.3">
      <c r="B187">
        <f t="shared" si="90"/>
        <v>2019</v>
      </c>
      <c r="C187">
        <f t="shared" si="91"/>
        <v>3</v>
      </c>
      <c r="D187" s="1">
        <f t="shared" si="92"/>
        <v>43525</v>
      </c>
      <c r="E187">
        <f>_xlfn.XLOOKUP(D187,[1]nairu_estimates_v6!$A$2:$A$265,[1]nairu_estimates_v6!$P$2:$P$265)</f>
        <v>9.7032667625583802</v>
      </c>
      <c r="F187">
        <f>_xlfn.XLOOKUP(D187,[1]nairu_estimates_v6!$A$2:$A$265,[1]nairu_estimates_v6!$V$2:$V$265)</f>
        <v>79.411596925985407</v>
      </c>
      <c r="G187">
        <v>23912519.40547552</v>
      </c>
      <c r="H187">
        <f t="shared" si="83"/>
        <v>9.6763328131237021</v>
      </c>
      <c r="I187">
        <f t="shared" si="84"/>
        <v>79.490063700384567</v>
      </c>
      <c r="J187">
        <f t="shared" si="85"/>
        <v>23934490.670802433</v>
      </c>
      <c r="L187">
        <v>3.7836160510778399E-2</v>
      </c>
      <c r="M187">
        <v>80.974599999999995</v>
      </c>
      <c r="N187">
        <f t="shared" si="86"/>
        <v>80.628</v>
      </c>
      <c r="O187">
        <v>21313065.067919098</v>
      </c>
      <c r="AE187" s="14"/>
      <c r="AQ187" s="14"/>
      <c r="AT187" s="4"/>
      <c r="AU187" s="4"/>
      <c r="BF187" s="30"/>
      <c r="BH187" s="19"/>
    </row>
    <row r="188" spans="2:60" x14ac:dyDescent="0.3">
      <c r="B188">
        <f t="shared" si="90"/>
        <v>2019</v>
      </c>
      <c r="C188">
        <f t="shared" si="91"/>
        <v>4</v>
      </c>
      <c r="D188" s="1">
        <f t="shared" si="92"/>
        <v>43556</v>
      </c>
      <c r="E188">
        <f>_xlfn.XLOOKUP(D188,[1]nairu_estimates_v6!$A$2:$A$265,[1]nairu_estimates_v6!$P$2:$P$265)</f>
        <v>9.7366391448020106</v>
      </c>
      <c r="F188">
        <f>_xlfn.XLOOKUP(D188,[1]nairu_estimates_v6!$A$2:$A$265,[1]nairu_estimates_v6!$V$2:$V$265)</f>
        <v>79.718521192058105</v>
      </c>
      <c r="G188">
        <v>23438377.853081819</v>
      </c>
      <c r="H188">
        <f t="shared" si="83"/>
        <v>0</v>
      </c>
      <c r="I188">
        <f t="shared" si="84"/>
        <v>0</v>
      </c>
      <c r="J188">
        <f t="shared" si="85"/>
        <v>0</v>
      </c>
      <c r="L188">
        <v>3.7836160510778399E-2</v>
      </c>
      <c r="M188">
        <v>78.4041</v>
      </c>
      <c r="N188">
        <f t="shared" si="86"/>
        <v>0</v>
      </c>
      <c r="O188">
        <v>20923474.103543699</v>
      </c>
      <c r="AE188" s="14"/>
      <c r="AQ188" s="14"/>
      <c r="AT188" s="4"/>
      <c r="AU188" s="4"/>
      <c r="BF188" s="30"/>
      <c r="BH188" s="19"/>
    </row>
    <row r="189" spans="2:60" x14ac:dyDescent="0.3">
      <c r="B189">
        <f t="shared" si="90"/>
        <v>2019</v>
      </c>
      <c r="C189">
        <f t="shared" si="91"/>
        <v>5</v>
      </c>
      <c r="D189" s="1">
        <f t="shared" si="92"/>
        <v>43586</v>
      </c>
      <c r="E189">
        <f>_xlfn.XLOOKUP(D189,[1]nairu_estimates_v6!$A$2:$A$265,[1]nairu_estimates_v6!$P$2:$P$265)</f>
        <v>9.77195026204671</v>
      </c>
      <c r="F189">
        <f>_xlfn.XLOOKUP(D189,[1]nairu_estimates_v6!$A$2:$A$265,[1]nairu_estimates_v6!$V$2:$V$265)</f>
        <v>79.635384577648296</v>
      </c>
      <c r="G189">
        <v>23874908.312216889</v>
      </c>
      <c r="H189">
        <f t="shared" si="83"/>
        <v>0</v>
      </c>
      <c r="I189">
        <f t="shared" si="84"/>
        <v>0</v>
      </c>
      <c r="J189">
        <f t="shared" si="85"/>
        <v>0</v>
      </c>
      <c r="L189">
        <v>3.7836160510778399E-2</v>
      </c>
      <c r="M189">
        <v>81.250699999999995</v>
      </c>
      <c r="N189">
        <f t="shared" si="86"/>
        <v>0</v>
      </c>
      <c r="O189">
        <v>21331127.8305979</v>
      </c>
      <c r="AE189" s="14"/>
      <c r="AQ189" s="14"/>
      <c r="AT189" s="4"/>
      <c r="AU189" s="4"/>
      <c r="BF189" s="30"/>
      <c r="BH189" s="19"/>
    </row>
    <row r="190" spans="2:60" x14ac:dyDescent="0.3">
      <c r="B190">
        <f t="shared" si="90"/>
        <v>2019</v>
      </c>
      <c r="C190">
        <f t="shared" si="91"/>
        <v>6</v>
      </c>
      <c r="D190" s="1">
        <f t="shared" si="92"/>
        <v>43617</v>
      </c>
      <c r="E190">
        <f>_xlfn.XLOOKUP(D190,[1]nairu_estimates_v6!$A$2:$A$265,[1]nairu_estimates_v6!$P$2:$P$265)</f>
        <v>9.80851474611746</v>
      </c>
      <c r="F190">
        <f>_xlfn.XLOOKUP(D190,[1]nairu_estimates_v6!$A$2:$A$265,[1]nairu_estimates_v6!$V$2:$V$265)</f>
        <v>79.807791447639701</v>
      </c>
      <c r="G190">
        <v>23986455.303126447</v>
      </c>
      <c r="H190">
        <f t="shared" si="83"/>
        <v>9.7723680509887263</v>
      </c>
      <c r="I190">
        <f t="shared" si="84"/>
        <v>79.720565739115372</v>
      </c>
      <c r="J190">
        <f t="shared" si="85"/>
        <v>23766580.489475053</v>
      </c>
      <c r="L190">
        <v>3.7836160510778399E-2</v>
      </c>
      <c r="M190">
        <v>82.511099999999999</v>
      </c>
      <c r="N190">
        <f t="shared" si="86"/>
        <v>80.72196666666666</v>
      </c>
      <c r="O190">
        <v>21614153.663441498</v>
      </c>
      <c r="AE190" s="14"/>
      <c r="AQ190" s="14"/>
      <c r="AT190" s="4"/>
      <c r="AU190" s="4"/>
      <c r="BF190" s="30"/>
      <c r="BH190" s="19"/>
    </row>
    <row r="191" spans="2:60" x14ac:dyDescent="0.3">
      <c r="B191">
        <f t="shared" si="90"/>
        <v>2019</v>
      </c>
      <c r="C191">
        <f t="shared" si="91"/>
        <v>7</v>
      </c>
      <c r="D191" s="1">
        <f t="shared" si="92"/>
        <v>43647</v>
      </c>
      <c r="E191">
        <f>_xlfn.XLOOKUP(D191,[1]nairu_estimates_v6!$A$2:$A$265,[1]nairu_estimates_v6!$P$2:$P$265)</f>
        <v>9.8454804347165599</v>
      </c>
      <c r="F191">
        <f>_xlfn.XLOOKUP(D191,[1]nairu_estimates_v6!$A$2:$A$265,[1]nairu_estimates_v6!$V$2:$V$265)</f>
        <v>79.625589269445797</v>
      </c>
      <c r="G191">
        <v>23850178.73762377</v>
      </c>
      <c r="H191">
        <f t="shared" si="83"/>
        <v>0</v>
      </c>
      <c r="I191">
        <f t="shared" si="84"/>
        <v>0</v>
      </c>
      <c r="J191">
        <f t="shared" si="85"/>
        <v>0</v>
      </c>
      <c r="L191">
        <v>3.7836160510778399E-2</v>
      </c>
      <c r="M191">
        <v>81.324600000000004</v>
      </c>
      <c r="N191">
        <f t="shared" si="86"/>
        <v>0</v>
      </c>
      <c r="O191">
        <v>21232262.578672901</v>
      </c>
      <c r="AE191" s="14"/>
      <c r="AQ191" s="14"/>
      <c r="AT191" s="4"/>
      <c r="AU191" s="4"/>
      <c r="BF191" s="30"/>
      <c r="BH191" s="19"/>
    </row>
    <row r="192" spans="2:60" x14ac:dyDescent="0.3">
      <c r="B192">
        <f t="shared" si="90"/>
        <v>2019</v>
      </c>
      <c r="C192">
        <f t="shared" si="91"/>
        <v>8</v>
      </c>
      <c r="D192" s="1">
        <f t="shared" si="92"/>
        <v>43678</v>
      </c>
      <c r="E192">
        <f>_xlfn.XLOOKUP(D192,[1]nairu_estimates_v6!$A$2:$A$265,[1]nairu_estimates_v6!$P$2:$P$265)</f>
        <v>9.88474723303076</v>
      </c>
      <c r="F192">
        <f>_xlfn.XLOOKUP(D192,[1]nairu_estimates_v6!$A$2:$A$265,[1]nairu_estimates_v6!$V$2:$V$265)</f>
        <v>79.8334975610518</v>
      </c>
      <c r="G192">
        <v>23820470.519608181</v>
      </c>
      <c r="H192">
        <f t="shared" si="83"/>
        <v>0</v>
      </c>
      <c r="I192">
        <f t="shared" si="84"/>
        <v>0</v>
      </c>
      <c r="J192">
        <f t="shared" si="85"/>
        <v>0</v>
      </c>
      <c r="L192">
        <v>3.7836160510778399E-2</v>
      </c>
      <c r="M192">
        <v>82.127499999999998</v>
      </c>
      <c r="N192">
        <f t="shared" si="86"/>
        <v>0</v>
      </c>
      <c r="O192">
        <v>21074100.196291901</v>
      </c>
      <c r="AE192" s="14"/>
      <c r="AQ192" s="14"/>
      <c r="AT192" s="4"/>
      <c r="AU192" s="4"/>
      <c r="BF192" s="30"/>
      <c r="BH192" s="19"/>
    </row>
    <row r="193" spans="2:60" x14ac:dyDescent="0.3">
      <c r="B193">
        <f t="shared" si="90"/>
        <v>2019</v>
      </c>
      <c r="C193">
        <f t="shared" si="91"/>
        <v>9</v>
      </c>
      <c r="D193" s="1">
        <f t="shared" si="92"/>
        <v>43709</v>
      </c>
      <c r="E193">
        <f>_xlfn.XLOOKUP(D193,[1]nairu_estimates_v6!$A$2:$A$265,[1]nairu_estimates_v6!$P$2:$P$265)</f>
        <v>9.9274347542802399</v>
      </c>
      <c r="F193">
        <f>_xlfn.XLOOKUP(D193,[1]nairu_estimates_v6!$A$2:$A$265,[1]nairu_estimates_v6!$V$2:$V$265)</f>
        <v>80.176681576270596</v>
      </c>
      <c r="G193">
        <v>23971625.828403179</v>
      </c>
      <c r="H193">
        <f t="shared" si="83"/>
        <v>9.8858874740091878</v>
      </c>
      <c r="I193">
        <f t="shared" si="84"/>
        <v>79.878589468922726</v>
      </c>
      <c r="J193">
        <f t="shared" si="85"/>
        <v>23880758.361878376</v>
      </c>
      <c r="L193">
        <v>3.7836160510778399E-2</v>
      </c>
      <c r="M193">
        <v>81.729200000000006</v>
      </c>
      <c r="N193">
        <f t="shared" si="86"/>
        <v>81.727100000000007</v>
      </c>
      <c r="O193">
        <v>21247697.9013955</v>
      </c>
      <c r="AE193" s="14"/>
      <c r="AQ193" s="14"/>
      <c r="AT193" s="4"/>
      <c r="AU193" s="4"/>
      <c r="BF193" s="30"/>
      <c r="BH193" s="19"/>
    </row>
    <row r="194" spans="2:60" x14ac:dyDescent="0.3">
      <c r="B194">
        <f t="shared" si="90"/>
        <v>2019</v>
      </c>
      <c r="C194">
        <f t="shared" si="91"/>
        <v>10</v>
      </c>
      <c r="D194" s="1">
        <f t="shared" si="92"/>
        <v>43739</v>
      </c>
      <c r="E194">
        <f>_xlfn.XLOOKUP(D194,[1]nairu_estimates_v6!$A$2:$A$265,[1]nairu_estimates_v6!$P$2:$P$265)</f>
        <v>9.9712099807140309</v>
      </c>
      <c r="F194">
        <f>_xlfn.XLOOKUP(D194,[1]nairu_estimates_v6!$A$2:$A$265,[1]nairu_estimates_v6!$V$2:$V$265)</f>
        <v>80.324499814327396</v>
      </c>
      <c r="G194">
        <v>24024558.16294831</v>
      </c>
      <c r="H194">
        <f t="shared" si="83"/>
        <v>0</v>
      </c>
      <c r="I194">
        <f t="shared" si="84"/>
        <v>0</v>
      </c>
      <c r="J194">
        <f t="shared" si="85"/>
        <v>0</v>
      </c>
      <c r="L194">
        <v>3.7836160510778399E-2</v>
      </c>
      <c r="M194">
        <v>80.5184</v>
      </c>
      <c r="N194">
        <f t="shared" si="86"/>
        <v>0</v>
      </c>
      <c r="O194">
        <v>21358597.2163781</v>
      </c>
      <c r="AE194" s="14"/>
      <c r="AQ194" s="14"/>
      <c r="AT194" s="4"/>
      <c r="AU194" s="4"/>
      <c r="BF194" s="30"/>
      <c r="BH194" s="19"/>
    </row>
    <row r="195" spans="2:60" x14ac:dyDescent="0.3">
      <c r="B195">
        <f t="shared" si="90"/>
        <v>2019</v>
      </c>
      <c r="C195">
        <f t="shared" si="91"/>
        <v>11</v>
      </c>
      <c r="D195" s="1">
        <f t="shared" si="92"/>
        <v>43770</v>
      </c>
      <c r="E195">
        <f>_xlfn.XLOOKUP(D195,[1]nairu_estimates_v6!$A$2:$A$265,[1]nairu_estimates_v6!$P$2:$P$265)</f>
        <v>10.0172667382014</v>
      </c>
      <c r="F195">
        <f>_xlfn.XLOOKUP(D195,[1]nairu_estimates_v6!$A$2:$A$265,[1]nairu_estimates_v6!$V$2:$V$265)</f>
        <v>80.555139711094199</v>
      </c>
      <c r="G195">
        <v>24146684.105538581</v>
      </c>
      <c r="H195">
        <f t="shared" si="83"/>
        <v>0</v>
      </c>
      <c r="I195">
        <f t="shared" si="84"/>
        <v>0</v>
      </c>
      <c r="J195">
        <f t="shared" si="85"/>
        <v>0</v>
      </c>
      <c r="L195">
        <v>3.7836160510778399E-2</v>
      </c>
      <c r="M195">
        <v>79.469099999999997</v>
      </c>
      <c r="N195">
        <f t="shared" si="86"/>
        <v>0</v>
      </c>
      <c r="O195">
        <v>21476089.726187803</v>
      </c>
      <c r="AE195" s="14"/>
      <c r="AQ195" s="14"/>
      <c r="AT195" s="4"/>
      <c r="AU195" s="4"/>
      <c r="BF195" s="30"/>
      <c r="BH195" s="19"/>
    </row>
    <row r="196" spans="2:60" x14ac:dyDescent="0.3">
      <c r="B196">
        <f t="shared" si="90"/>
        <v>2019</v>
      </c>
      <c r="C196">
        <f t="shared" si="91"/>
        <v>12</v>
      </c>
      <c r="D196" s="1">
        <f t="shared" si="92"/>
        <v>43800</v>
      </c>
      <c r="E196">
        <f>_xlfn.XLOOKUP(D196,[1]nairu_estimates_v6!$A$2:$A$265,[1]nairu_estimates_v6!$P$2:$P$265)</f>
        <v>10.061530038935899</v>
      </c>
      <c r="F196">
        <f>_xlfn.XLOOKUP(D196,[1]nairu_estimates_v6!$A$2:$A$265,[1]nairu_estimates_v6!$V$2:$V$265)</f>
        <v>80.704020632936604</v>
      </c>
      <c r="G196">
        <v>24026541.16504541</v>
      </c>
      <c r="H196">
        <f t="shared" si="83"/>
        <v>10.016668919283775</v>
      </c>
      <c r="I196">
        <f t="shared" si="84"/>
        <v>80.527886719452738</v>
      </c>
      <c r="J196">
        <f t="shared" si="85"/>
        <v>24065927.811177433</v>
      </c>
      <c r="L196">
        <v>3.7836160510778399E-2</v>
      </c>
      <c r="M196">
        <v>80.920699999999997</v>
      </c>
      <c r="N196">
        <f t="shared" si="86"/>
        <v>80.302733333333336</v>
      </c>
      <c r="O196">
        <v>21430117.843667001</v>
      </c>
      <c r="AE196" s="14"/>
      <c r="AQ196" s="14"/>
      <c r="AT196" s="4"/>
      <c r="AU196" s="4"/>
      <c r="BF196" s="30"/>
      <c r="BH196" s="19"/>
    </row>
    <row r="197" spans="2:60" x14ac:dyDescent="0.3">
      <c r="B197">
        <f t="shared" si="90"/>
        <v>2020</v>
      </c>
      <c r="C197">
        <f t="shared" si="91"/>
        <v>1</v>
      </c>
      <c r="D197" s="1">
        <f t="shared" si="92"/>
        <v>43831</v>
      </c>
      <c r="E197">
        <f>_xlfn.XLOOKUP(D197,[1]nairu_estimates_v6!$A$2:$A$265,[1]nairu_estimates_v6!$P$2:$P$265)</f>
        <v>10.105707947211499</v>
      </c>
      <c r="F197">
        <f>_xlfn.XLOOKUP(D197,[1]nairu_estimates_v6!$A$2:$A$265,[1]nairu_estimates_v6!$V$2:$V$265)</f>
        <v>80.680664213431001</v>
      </c>
      <c r="G197">
        <v>24082523.093261331</v>
      </c>
      <c r="H197">
        <f t="shared" ref="H197:H260" si="93">IF(OR(C197=3,C197=6,C197=9,C197=12),AVERAGE(E195:E197),0)</f>
        <v>0</v>
      </c>
      <c r="I197">
        <f t="shared" ref="I197:I260" si="94">IF(OR(C197=3,C197=6,C197=9,C197=12),AVERAGE(F195:F197),0)</f>
        <v>0</v>
      </c>
      <c r="J197">
        <f t="shared" si="85"/>
        <v>0</v>
      </c>
      <c r="K197">
        <v>2.6168999999999998</v>
      </c>
      <c r="L197">
        <v>3.7847474217414898E-2</v>
      </c>
      <c r="M197">
        <v>76.495999999999995</v>
      </c>
      <c r="N197">
        <f t="shared" si="86"/>
        <v>0</v>
      </c>
      <c r="O197">
        <v>21416404.425794199</v>
      </c>
      <c r="AE197" s="14"/>
      <c r="AQ197" s="14"/>
      <c r="AT197" s="4"/>
      <c r="AU197" s="4"/>
      <c r="BF197" s="30"/>
      <c r="BH197" s="19"/>
    </row>
    <row r="198" spans="2:60" x14ac:dyDescent="0.3">
      <c r="B198">
        <f t="shared" si="90"/>
        <v>2020</v>
      </c>
      <c r="C198">
        <f t="shared" si="91"/>
        <v>2</v>
      </c>
      <c r="D198" s="1">
        <f t="shared" si="92"/>
        <v>43862</v>
      </c>
      <c r="E198">
        <f>_xlfn.XLOOKUP(D198,[1]nairu_estimates_v6!$A$2:$A$265,[1]nairu_estimates_v6!$P$2:$P$265)</f>
        <v>10.151108203671599</v>
      </c>
      <c r="F198">
        <f>_xlfn.XLOOKUP(D198,[1]nairu_estimates_v6!$A$2:$A$265,[1]nairu_estimates_v6!$V$2:$V$265)</f>
        <v>80.525678667723497</v>
      </c>
      <c r="G198">
        <v>24080162.787151005</v>
      </c>
      <c r="H198">
        <f t="shared" si="93"/>
        <v>0</v>
      </c>
      <c r="I198">
        <f t="shared" si="94"/>
        <v>0</v>
      </c>
      <c r="J198">
        <f t="shared" ref="J198:J261" si="95">IF(OR(C198=3,C198=6,C198=9,C198=12),AVERAGE(G196:G198),0)</f>
        <v>0</v>
      </c>
      <c r="L198">
        <v>3.7847474217414898E-2</v>
      </c>
      <c r="M198">
        <v>56.378700000000002</v>
      </c>
      <c r="N198">
        <f t="shared" ref="N198:N261" si="96">IF(OR(C198=3,C198=6,C198=9,C198=12),AVERAGE(M196:M198),0)</f>
        <v>0</v>
      </c>
      <c r="O198">
        <v>21324175.178886</v>
      </c>
      <c r="AE198" s="14"/>
      <c r="AQ198" s="14"/>
      <c r="AT198" s="4"/>
      <c r="AU198" s="4"/>
      <c r="BF198" s="30"/>
      <c r="BH198" s="19"/>
    </row>
    <row r="199" spans="2:60" x14ac:dyDescent="0.3">
      <c r="B199">
        <f t="shared" si="90"/>
        <v>2020</v>
      </c>
      <c r="C199">
        <f t="shared" si="91"/>
        <v>3</v>
      </c>
      <c r="D199" s="1">
        <f t="shared" si="92"/>
        <v>43891</v>
      </c>
      <c r="E199">
        <f>_xlfn.XLOOKUP(D199,[1]nairu_estimates_v6!$A$2:$A$265,[1]nairu_estimates_v6!$P$2:$P$265)</f>
        <v>10.2008233419673</v>
      </c>
      <c r="F199">
        <f>_xlfn.XLOOKUP(D199,[1]nairu_estimates_v6!$A$2:$A$265,[1]nairu_estimates_v6!$V$2:$V$265)</f>
        <v>80.575320192022104</v>
      </c>
      <c r="G199">
        <v>22694051.320488293</v>
      </c>
      <c r="H199">
        <f t="shared" si="93"/>
        <v>10.152546497616799</v>
      </c>
      <c r="I199">
        <f t="shared" si="94"/>
        <v>80.593887691058868</v>
      </c>
      <c r="J199">
        <f t="shared" si="95"/>
        <v>23618912.400300208</v>
      </c>
      <c r="L199">
        <v>3.7847474217414898E-2</v>
      </c>
      <c r="M199">
        <v>67.736800000000002</v>
      </c>
      <c r="N199">
        <f t="shared" si="96"/>
        <v>66.870499999999993</v>
      </c>
      <c r="O199">
        <v>19826181.9066616</v>
      </c>
      <c r="AE199" s="14"/>
      <c r="AQ199" s="14"/>
      <c r="AT199" s="4"/>
      <c r="AU199" s="4"/>
      <c r="BF199" s="30"/>
      <c r="BH199" s="19"/>
    </row>
    <row r="200" spans="2:60" x14ac:dyDescent="0.3">
      <c r="B200">
        <f t="shared" si="90"/>
        <v>2020</v>
      </c>
      <c r="C200">
        <f t="shared" si="91"/>
        <v>4</v>
      </c>
      <c r="D200" s="1">
        <f t="shared" si="92"/>
        <v>43922</v>
      </c>
      <c r="E200">
        <f>_xlfn.XLOOKUP(D200,[1]nairu_estimates_v6!$A$2:$A$265,[1]nairu_estimates_v6!$P$2:$P$265)</f>
        <v>10.2624197166468</v>
      </c>
      <c r="F200">
        <f>_xlfn.XLOOKUP(D200,[1]nairu_estimates_v6!$A$2:$A$265,[1]nairu_estimates_v6!$V$2:$V$265)</f>
        <v>80.048057770932004</v>
      </c>
      <c r="G200">
        <v>19965958.265923399</v>
      </c>
      <c r="H200">
        <f t="shared" si="93"/>
        <v>0</v>
      </c>
      <c r="I200">
        <f t="shared" si="94"/>
        <v>0</v>
      </c>
      <c r="J200">
        <f t="shared" si="95"/>
        <v>0</v>
      </c>
      <c r="L200">
        <v>3.7847474217414898E-2</v>
      </c>
      <c r="M200">
        <v>73.687899999999999</v>
      </c>
      <c r="N200">
        <f t="shared" si="96"/>
        <v>0</v>
      </c>
      <c r="O200">
        <v>15910963.1723882</v>
      </c>
      <c r="AE200" s="14"/>
      <c r="AQ200" s="14"/>
      <c r="AT200" s="4"/>
      <c r="AU200" s="4"/>
      <c r="BF200" s="30"/>
      <c r="BH200" s="19"/>
    </row>
    <row r="201" spans="2:60" x14ac:dyDescent="0.3">
      <c r="B201">
        <f t="shared" si="90"/>
        <v>2020</v>
      </c>
      <c r="C201">
        <f t="shared" si="91"/>
        <v>5</v>
      </c>
      <c r="D201" s="1">
        <f t="shared" si="92"/>
        <v>43952</v>
      </c>
      <c r="E201">
        <f>_xlfn.XLOOKUP(D201,[1]nairu_estimates_v6!$A$2:$A$265,[1]nairu_estimates_v6!$P$2:$P$265)</f>
        <v>10.3721038572713</v>
      </c>
      <c r="F201">
        <f>_xlfn.XLOOKUP(D201,[1]nairu_estimates_v6!$A$2:$A$265,[1]nairu_estimates_v6!$V$2:$V$265)</f>
        <v>77.006453794516403</v>
      </c>
      <c r="G201">
        <v>21291036.246753681</v>
      </c>
      <c r="H201">
        <f t="shared" si="93"/>
        <v>0</v>
      </c>
      <c r="I201">
        <f t="shared" si="94"/>
        <v>0</v>
      </c>
      <c r="J201">
        <f t="shared" si="95"/>
        <v>0</v>
      </c>
      <c r="L201">
        <v>3.7847474217414898E-2</v>
      </c>
      <c r="M201">
        <v>77.701800000000006</v>
      </c>
      <c r="N201">
        <f t="shared" si="96"/>
        <v>0</v>
      </c>
      <c r="O201">
        <v>16757383.844407702</v>
      </c>
      <c r="AE201" s="14"/>
      <c r="AQ201" s="14"/>
      <c r="AT201" s="4"/>
      <c r="AU201" s="4"/>
      <c r="BF201" s="30"/>
      <c r="BH201" s="19"/>
    </row>
    <row r="202" spans="2:60" x14ac:dyDescent="0.3">
      <c r="B202">
        <f t="shared" si="90"/>
        <v>2020</v>
      </c>
      <c r="C202">
        <f t="shared" si="91"/>
        <v>6</v>
      </c>
      <c r="D202" s="1">
        <f t="shared" si="92"/>
        <v>43983</v>
      </c>
      <c r="E202">
        <f>_xlfn.XLOOKUP(D202,[1]nairu_estimates_v6!$A$2:$A$265,[1]nairu_estimates_v6!$P$2:$P$265)</f>
        <v>10.5313512187537</v>
      </c>
      <c r="F202">
        <f>_xlfn.XLOOKUP(D202,[1]nairu_estimates_v6!$A$2:$A$265,[1]nairu_estimates_v6!$V$2:$V$265)</f>
        <v>75.813283861744793</v>
      </c>
      <c r="G202">
        <v>22189756.186191179</v>
      </c>
      <c r="H202">
        <f t="shared" si="93"/>
        <v>10.3886249308906</v>
      </c>
      <c r="I202">
        <f t="shared" si="94"/>
        <v>77.622598475731067</v>
      </c>
      <c r="J202">
        <f t="shared" si="95"/>
        <v>21148916.899622753</v>
      </c>
      <c r="L202">
        <v>3.7847474217414898E-2</v>
      </c>
      <c r="M202">
        <v>78.5809</v>
      </c>
      <c r="N202">
        <f t="shared" si="96"/>
        <v>76.656866666666659</v>
      </c>
      <c r="O202">
        <v>17679843.281211298</v>
      </c>
      <c r="AE202" s="14"/>
      <c r="AQ202" s="14"/>
      <c r="AT202" s="4"/>
      <c r="AU202" s="4"/>
      <c r="BF202" s="30"/>
      <c r="BH202" s="19"/>
    </row>
    <row r="203" spans="2:60" x14ac:dyDescent="0.3">
      <c r="B203">
        <f t="shared" si="90"/>
        <v>2020</v>
      </c>
      <c r="C203">
        <f t="shared" si="91"/>
        <v>7</v>
      </c>
      <c r="D203" s="1">
        <f t="shared" si="92"/>
        <v>44013</v>
      </c>
      <c r="E203">
        <f>_xlfn.XLOOKUP(D203,[1]nairu_estimates_v6!$A$2:$A$265,[1]nairu_estimates_v6!$P$2:$P$265)</f>
        <v>10.729515295459199</v>
      </c>
      <c r="F203">
        <f>_xlfn.XLOOKUP(D203,[1]nairu_estimates_v6!$A$2:$A$265,[1]nairu_estimates_v6!$V$2:$V$265)</f>
        <v>75.534254664290103</v>
      </c>
      <c r="G203">
        <v>21903067.930439182</v>
      </c>
      <c r="H203">
        <f t="shared" si="93"/>
        <v>0</v>
      </c>
      <c r="I203">
        <f t="shared" si="94"/>
        <v>0</v>
      </c>
      <c r="J203">
        <f t="shared" si="95"/>
        <v>0</v>
      </c>
      <c r="L203">
        <v>3.7847474217414898E-2</v>
      </c>
      <c r="M203">
        <v>80.629300000000001</v>
      </c>
      <c r="N203">
        <f t="shared" si="96"/>
        <v>0</v>
      </c>
      <c r="O203">
        <v>17417970.6273623</v>
      </c>
      <c r="AE203" s="14"/>
      <c r="AQ203" s="14"/>
      <c r="AT203" s="4"/>
      <c r="AU203" s="4"/>
      <c r="BF203" s="30"/>
      <c r="BH203" s="19"/>
    </row>
    <row r="204" spans="2:60" x14ac:dyDescent="0.3">
      <c r="B204">
        <f t="shared" si="90"/>
        <v>2020</v>
      </c>
      <c r="C204">
        <f t="shared" si="91"/>
        <v>8</v>
      </c>
      <c r="D204" s="1">
        <f t="shared" si="92"/>
        <v>44044</v>
      </c>
      <c r="E204">
        <f>_xlfn.XLOOKUP(D204,[1]nairu_estimates_v6!$A$2:$A$265,[1]nairu_estimates_v6!$P$2:$P$265)</f>
        <v>10.959172201534701</v>
      </c>
      <c r="F204">
        <f>_xlfn.XLOOKUP(D204,[1]nairu_estimates_v6!$A$2:$A$265,[1]nairu_estimates_v6!$V$2:$V$265)</f>
        <v>75.810544736563699</v>
      </c>
      <c r="G204">
        <v>22930692.763605859</v>
      </c>
      <c r="H204">
        <f t="shared" si="93"/>
        <v>0</v>
      </c>
      <c r="I204">
        <f t="shared" si="94"/>
        <v>0</v>
      </c>
      <c r="J204">
        <f t="shared" si="95"/>
        <v>0</v>
      </c>
      <c r="L204">
        <v>3.7847474217414898E-2</v>
      </c>
      <c r="M204">
        <v>81.819999999999993</v>
      </c>
      <c r="N204">
        <f t="shared" si="96"/>
        <v>0</v>
      </c>
      <c r="O204">
        <v>18833457.176233202</v>
      </c>
      <c r="AE204" s="14"/>
      <c r="AQ204" s="14"/>
      <c r="AT204" s="4"/>
      <c r="AU204" s="4"/>
      <c r="BF204" s="30"/>
      <c r="BH204" s="19"/>
    </row>
    <row r="205" spans="2:60" x14ac:dyDescent="0.3">
      <c r="B205">
        <f t="shared" si="90"/>
        <v>2020</v>
      </c>
      <c r="C205">
        <f t="shared" si="91"/>
        <v>9</v>
      </c>
      <c r="D205" s="1">
        <f t="shared" si="92"/>
        <v>44075</v>
      </c>
      <c r="E205">
        <f>_xlfn.XLOOKUP(D205,[1]nairu_estimates_v6!$A$2:$A$265,[1]nairu_estimates_v6!$P$2:$P$265)</f>
        <v>11.2020116466795</v>
      </c>
      <c r="F205">
        <f>_xlfn.XLOOKUP(D205,[1]nairu_estimates_v6!$A$2:$A$265,[1]nairu_estimates_v6!$V$2:$V$265)</f>
        <v>76.164008689733507</v>
      </c>
      <c r="G205">
        <v>23300162.192777529</v>
      </c>
      <c r="H205">
        <f t="shared" si="93"/>
        <v>10.963566381224467</v>
      </c>
      <c r="I205">
        <f t="shared" si="94"/>
        <v>75.836269363529098</v>
      </c>
      <c r="J205">
        <f t="shared" si="95"/>
        <v>22711307.628940854</v>
      </c>
      <c r="L205">
        <v>3.7847474217414898E-2</v>
      </c>
      <c r="M205">
        <v>80.22</v>
      </c>
      <c r="N205">
        <f t="shared" si="96"/>
        <v>80.889766666666659</v>
      </c>
      <c r="O205">
        <v>19307035.658612799</v>
      </c>
      <c r="AE205" s="14"/>
      <c r="AQ205" s="14"/>
      <c r="AT205" s="4"/>
      <c r="AU205" s="4"/>
      <c r="BF205" s="30"/>
      <c r="BH205" s="19"/>
    </row>
    <row r="206" spans="2:60" x14ac:dyDescent="0.3">
      <c r="B206">
        <f t="shared" si="90"/>
        <v>2020</v>
      </c>
      <c r="C206">
        <f t="shared" si="91"/>
        <v>10</v>
      </c>
      <c r="D206" s="1">
        <f t="shared" si="92"/>
        <v>44105</v>
      </c>
      <c r="E206">
        <f>_xlfn.XLOOKUP(D206,[1]nairu_estimates_v6!$A$2:$A$265,[1]nairu_estimates_v6!$P$2:$P$265)</f>
        <v>11.448782118734799</v>
      </c>
      <c r="F206">
        <f>_xlfn.XLOOKUP(D206,[1]nairu_estimates_v6!$A$2:$A$265,[1]nairu_estimates_v6!$V$2:$V$265)</f>
        <v>76.738603830798496</v>
      </c>
      <c r="G206">
        <v>23901000.182970483</v>
      </c>
      <c r="H206">
        <f t="shared" si="93"/>
        <v>0</v>
      </c>
      <c r="I206">
        <f t="shared" si="94"/>
        <v>0</v>
      </c>
      <c r="J206">
        <f t="shared" si="95"/>
        <v>0</v>
      </c>
      <c r="L206">
        <v>3.7847474217414898E-2</v>
      </c>
      <c r="M206">
        <v>80.33</v>
      </c>
      <c r="N206">
        <f t="shared" si="96"/>
        <v>0</v>
      </c>
      <c r="O206">
        <v>19928669.280732799</v>
      </c>
      <c r="AE206" s="14"/>
      <c r="AQ206" s="14"/>
      <c r="AT206" s="4"/>
      <c r="AU206" s="4"/>
      <c r="BF206" s="30"/>
      <c r="BH206" s="19"/>
    </row>
    <row r="207" spans="2:60" x14ac:dyDescent="0.3">
      <c r="B207">
        <f t="shared" si="90"/>
        <v>2020</v>
      </c>
      <c r="C207">
        <f t="shared" si="91"/>
        <v>11</v>
      </c>
      <c r="D207" s="1">
        <f t="shared" si="92"/>
        <v>44136</v>
      </c>
      <c r="E207">
        <f>_xlfn.XLOOKUP(D207,[1]nairu_estimates_v6!$A$2:$A$265,[1]nairu_estimates_v6!$P$2:$P$265)</f>
        <v>11.6946046208199</v>
      </c>
      <c r="F207">
        <f>_xlfn.XLOOKUP(D207,[1]nairu_estimates_v6!$A$2:$A$265,[1]nairu_estimates_v6!$V$2:$V$265)</f>
        <v>77.3962972834439</v>
      </c>
      <c r="G207">
        <v>23746295.021525279</v>
      </c>
      <c r="H207">
        <f t="shared" si="93"/>
        <v>0</v>
      </c>
      <c r="I207">
        <f t="shared" si="94"/>
        <v>0</v>
      </c>
      <c r="J207">
        <f t="shared" si="95"/>
        <v>0</v>
      </c>
      <c r="L207">
        <v>3.7847474217414898E-2</v>
      </c>
      <c r="M207">
        <v>78.69</v>
      </c>
      <c r="N207">
        <f t="shared" si="96"/>
        <v>0</v>
      </c>
      <c r="O207">
        <v>20005567.606888</v>
      </c>
      <c r="AE207" s="14"/>
      <c r="AQ207" s="14"/>
      <c r="AT207" s="4"/>
      <c r="AU207" s="4"/>
      <c r="BF207" s="30"/>
      <c r="BH207" s="19"/>
    </row>
    <row r="208" spans="2:60" x14ac:dyDescent="0.3">
      <c r="B208">
        <f t="shared" si="90"/>
        <v>2020</v>
      </c>
      <c r="C208">
        <f t="shared" si="91"/>
        <v>12</v>
      </c>
      <c r="D208" s="1">
        <f t="shared" si="92"/>
        <v>44166</v>
      </c>
      <c r="E208">
        <f>_xlfn.XLOOKUP(D208,[1]nairu_estimates_v6!$A$2:$A$265,[1]nairu_estimates_v6!$P$2:$P$265)</f>
        <v>11.93700142356</v>
      </c>
      <c r="F208">
        <f>_xlfn.XLOOKUP(D208,[1]nairu_estimates_v6!$A$2:$A$265,[1]nairu_estimates_v6!$V$2:$V$265)</f>
        <v>77.757128188437406</v>
      </c>
      <c r="G208">
        <v>23779844.00891269</v>
      </c>
      <c r="H208">
        <f t="shared" si="93"/>
        <v>11.693462721038232</v>
      </c>
      <c r="I208">
        <f t="shared" si="94"/>
        <v>77.297343100893258</v>
      </c>
      <c r="J208">
        <f t="shared" si="95"/>
        <v>23809046.404469479</v>
      </c>
      <c r="L208">
        <v>3.7847474217414898E-2</v>
      </c>
      <c r="M208">
        <v>79.94</v>
      </c>
      <c r="N208">
        <f t="shared" si="96"/>
        <v>79.653333333333322</v>
      </c>
      <c r="O208">
        <v>20195315.840821799</v>
      </c>
      <c r="AE208" s="14"/>
      <c r="AQ208" s="14"/>
      <c r="AT208" s="4"/>
      <c r="AU208" s="4"/>
      <c r="BF208" s="30"/>
      <c r="BH208" s="19"/>
    </row>
    <row r="209" spans="2:60" x14ac:dyDescent="0.3">
      <c r="B209">
        <f t="shared" si="90"/>
        <v>2021</v>
      </c>
      <c r="C209">
        <f t="shared" si="91"/>
        <v>1</v>
      </c>
      <c r="D209" s="1">
        <f t="shared" si="92"/>
        <v>44197</v>
      </c>
      <c r="E209">
        <f>_xlfn.XLOOKUP(D209,[1]nairu_estimates_v6!$A$2:$A$265,[1]nairu_estimates_v6!$P$2:$P$265)</f>
        <v>12.168981874639099</v>
      </c>
      <c r="F209">
        <f>_xlfn.XLOOKUP(D209,[1]nairu_estimates_v6!$A$2:$A$265,[1]nairu_estimates_v6!$V$2:$V$265)</f>
        <v>78.088237516267796</v>
      </c>
      <c r="G209">
        <v>23176730.71882562</v>
      </c>
      <c r="H209">
        <f t="shared" si="93"/>
        <v>0</v>
      </c>
      <c r="I209">
        <f t="shared" si="94"/>
        <v>0</v>
      </c>
      <c r="J209">
        <f t="shared" si="95"/>
        <v>0</v>
      </c>
      <c r="K209">
        <v>2.6383000000000001</v>
      </c>
      <c r="L209">
        <v>3.7736713886261E-2</v>
      </c>
      <c r="M209">
        <v>82.47</v>
      </c>
      <c r="N209">
        <f t="shared" si="96"/>
        <v>0</v>
      </c>
      <c r="O209">
        <v>19777890.869794399</v>
      </c>
      <c r="AE209" s="14"/>
      <c r="AQ209" s="14"/>
      <c r="AT209" s="4"/>
      <c r="AU209" s="4"/>
      <c r="BF209" s="30"/>
      <c r="BH209" s="19"/>
    </row>
    <row r="210" spans="2:60" x14ac:dyDescent="0.3">
      <c r="B210">
        <f t="shared" si="90"/>
        <v>2021</v>
      </c>
      <c r="C210">
        <f t="shared" si="91"/>
        <v>2</v>
      </c>
      <c r="D210" s="1">
        <f t="shared" si="92"/>
        <v>44228</v>
      </c>
      <c r="E210">
        <f>_xlfn.XLOOKUP(D210,[1]nairu_estimates_v6!$A$2:$A$265,[1]nairu_estimates_v6!$P$2:$P$265)</f>
        <v>12.395859975135201</v>
      </c>
      <c r="F210">
        <f>_xlfn.XLOOKUP(D210,[1]nairu_estimates_v6!$A$2:$A$265,[1]nairu_estimates_v6!$V$2:$V$265)</f>
        <v>78.163159691758594</v>
      </c>
      <c r="G210">
        <v>23784593.076606609</v>
      </c>
      <c r="H210">
        <f t="shared" si="93"/>
        <v>0</v>
      </c>
      <c r="I210">
        <f t="shared" si="94"/>
        <v>0</v>
      </c>
      <c r="J210">
        <f t="shared" si="95"/>
        <v>0</v>
      </c>
      <c r="L210">
        <v>3.7736713886261E-2</v>
      </c>
      <c r="M210">
        <v>79.290000000000006</v>
      </c>
      <c r="N210">
        <f t="shared" si="96"/>
        <v>0</v>
      </c>
      <c r="O210">
        <v>20419438.976939399</v>
      </c>
      <c r="AE210" s="14"/>
      <c r="AQ210" s="14"/>
      <c r="AT210" s="4"/>
      <c r="AU210" s="4"/>
      <c r="BF210" s="30"/>
      <c r="BH210" s="19"/>
    </row>
    <row r="211" spans="2:60" x14ac:dyDescent="0.3">
      <c r="B211">
        <f t="shared" si="90"/>
        <v>2021</v>
      </c>
      <c r="C211">
        <f t="shared" si="91"/>
        <v>3</v>
      </c>
      <c r="D211" s="1">
        <f t="shared" si="92"/>
        <v>44256</v>
      </c>
      <c r="E211">
        <f>_xlfn.XLOOKUP(D211,[1]nairu_estimates_v6!$A$2:$A$265,[1]nairu_estimates_v6!$P$2:$P$265)</f>
        <v>12.612228746990001</v>
      </c>
      <c r="F211">
        <f>_xlfn.XLOOKUP(D211,[1]nairu_estimates_v6!$A$2:$A$265,[1]nairu_estimates_v6!$V$2:$V$265)</f>
        <v>78.391317978262606</v>
      </c>
      <c r="G211">
        <v>23531350.97346412</v>
      </c>
      <c r="H211">
        <f t="shared" si="93"/>
        <v>12.3923568655881</v>
      </c>
      <c r="I211">
        <f t="shared" si="94"/>
        <v>78.21423839542966</v>
      </c>
      <c r="J211">
        <f t="shared" si="95"/>
        <v>23497558.25629878</v>
      </c>
      <c r="L211">
        <v>3.7736713886261E-2</v>
      </c>
      <c r="M211">
        <v>68.010000000000005</v>
      </c>
      <c r="N211">
        <f t="shared" si="96"/>
        <v>76.589999999999989</v>
      </c>
      <c r="O211">
        <v>20195897.19588</v>
      </c>
      <c r="AE211" s="14"/>
      <c r="AQ211" s="14"/>
      <c r="AT211" s="4"/>
      <c r="AU211" s="4"/>
      <c r="BF211" s="30"/>
      <c r="BH211" s="19"/>
    </row>
    <row r="212" spans="2:60" x14ac:dyDescent="0.3">
      <c r="B212">
        <f t="shared" si="90"/>
        <v>2021</v>
      </c>
      <c r="C212">
        <f t="shared" si="91"/>
        <v>4</v>
      </c>
      <c r="D212" s="1">
        <f t="shared" si="92"/>
        <v>44287</v>
      </c>
      <c r="E212">
        <f>_xlfn.XLOOKUP(D212,[1]nairu_estimates_v6!$A$2:$A$265,[1]nairu_estimates_v6!$P$2:$P$265)</f>
        <v>12.8207932758532</v>
      </c>
      <c r="F212">
        <f>_xlfn.XLOOKUP(D212,[1]nairu_estimates_v6!$A$2:$A$265,[1]nairu_estimates_v6!$V$2:$V$265)</f>
        <v>78.910275752090101</v>
      </c>
      <c r="G212">
        <v>23287242.851549972</v>
      </c>
      <c r="H212">
        <f t="shared" si="93"/>
        <v>0</v>
      </c>
      <c r="I212">
        <f t="shared" si="94"/>
        <v>0</v>
      </c>
      <c r="J212">
        <f t="shared" si="95"/>
        <v>0</v>
      </c>
      <c r="L212">
        <v>3.7736713886261E-2</v>
      </c>
      <c r="M212">
        <v>80.42</v>
      </c>
      <c r="N212">
        <f t="shared" si="96"/>
        <v>0</v>
      </c>
      <c r="O212">
        <v>19703256.935893402</v>
      </c>
      <c r="AE212" s="14"/>
      <c r="AQ212" s="14"/>
      <c r="AT212" s="4"/>
      <c r="AU212" s="4"/>
      <c r="BF212" s="30"/>
      <c r="BH212" s="19"/>
    </row>
    <row r="213" spans="2:60" x14ac:dyDescent="0.3">
      <c r="B213">
        <f t="shared" si="90"/>
        <v>2021</v>
      </c>
      <c r="C213">
        <f t="shared" si="91"/>
        <v>5</v>
      </c>
      <c r="D213" s="1">
        <f t="shared" si="92"/>
        <v>44317</v>
      </c>
      <c r="E213">
        <f>_xlfn.XLOOKUP(D213,[1]nairu_estimates_v6!$A$2:$A$265,[1]nairu_estimates_v6!$P$2:$P$265)</f>
        <v>13.028838852672701</v>
      </c>
      <c r="F213">
        <f>_xlfn.XLOOKUP(D213,[1]nairu_estimates_v6!$A$2:$A$265,[1]nairu_estimates_v6!$V$2:$V$265)</f>
        <v>78.951027985264801</v>
      </c>
      <c r="G213">
        <v>23582233.325383607</v>
      </c>
      <c r="H213">
        <f t="shared" si="93"/>
        <v>0</v>
      </c>
      <c r="I213">
        <f t="shared" si="94"/>
        <v>0</v>
      </c>
      <c r="J213">
        <f t="shared" si="95"/>
        <v>0</v>
      </c>
      <c r="L213">
        <v>3.7736713886261E-2</v>
      </c>
      <c r="M213">
        <v>81.132800000000003</v>
      </c>
      <c r="N213">
        <f t="shared" si="96"/>
        <v>0</v>
      </c>
      <c r="O213">
        <v>20070037.2043029</v>
      </c>
      <c r="AE213" s="14"/>
      <c r="AQ213" s="14"/>
      <c r="AT213" s="4"/>
      <c r="AU213" s="4"/>
      <c r="BF213" s="30"/>
      <c r="BH213" s="19"/>
    </row>
    <row r="214" spans="2:60" x14ac:dyDescent="0.3">
      <c r="B214">
        <f t="shared" si="90"/>
        <v>2021</v>
      </c>
      <c r="C214">
        <f t="shared" si="91"/>
        <v>6</v>
      </c>
      <c r="D214" s="1">
        <f t="shared" si="92"/>
        <v>44348</v>
      </c>
      <c r="E214">
        <f>_xlfn.XLOOKUP(D214,[1]nairu_estimates_v6!$A$2:$A$265,[1]nairu_estimates_v6!$P$2:$P$265)</f>
        <v>13.231507197860701</v>
      </c>
      <c r="F214">
        <f>_xlfn.XLOOKUP(D214,[1]nairu_estimates_v6!$A$2:$A$265,[1]nairu_estimates_v6!$V$2:$V$265)</f>
        <v>77.543079464602897</v>
      </c>
      <c r="G214">
        <v>23537525.889766976</v>
      </c>
      <c r="H214">
        <f t="shared" si="93"/>
        <v>13.027046442128869</v>
      </c>
      <c r="I214">
        <f t="shared" si="94"/>
        <v>78.468127733985924</v>
      </c>
      <c r="J214">
        <f t="shared" si="95"/>
        <v>23469000.688900184</v>
      </c>
      <c r="L214">
        <v>3.7736713886261E-2</v>
      </c>
      <c r="M214">
        <v>80.742500000000007</v>
      </c>
      <c r="N214">
        <f t="shared" si="96"/>
        <v>80.765100000000004</v>
      </c>
      <c r="O214">
        <v>20090297.572343599</v>
      </c>
      <c r="AE214" s="14"/>
      <c r="AQ214" s="14"/>
      <c r="AT214" s="4"/>
      <c r="AU214" s="4"/>
      <c r="BF214" s="30"/>
      <c r="BH214" s="19"/>
    </row>
    <row r="215" spans="2:60" x14ac:dyDescent="0.3">
      <c r="B215">
        <f t="shared" si="90"/>
        <v>2021</v>
      </c>
      <c r="C215">
        <f t="shared" si="91"/>
        <v>7</v>
      </c>
      <c r="D215" s="1">
        <f t="shared" si="92"/>
        <v>44378</v>
      </c>
      <c r="E215">
        <f>_xlfn.XLOOKUP(D215,[1]nairu_estimates_v6!$A$2:$A$265,[1]nairu_estimates_v6!$P$2:$P$265)</f>
        <v>13.4328512290577</v>
      </c>
      <c r="F215">
        <f>_xlfn.XLOOKUP(D215,[1]nairu_estimates_v6!$A$2:$A$265,[1]nairu_estimates_v6!$V$2:$V$265)</f>
        <v>77.912483289968193</v>
      </c>
      <c r="G215">
        <v>23482446.216646142</v>
      </c>
      <c r="H215">
        <f t="shared" si="93"/>
        <v>0</v>
      </c>
      <c r="I215">
        <f t="shared" si="94"/>
        <v>0</v>
      </c>
      <c r="J215">
        <f t="shared" si="95"/>
        <v>0</v>
      </c>
      <c r="L215">
        <v>3.7736713886261E-2</v>
      </c>
      <c r="M215">
        <v>82.1905</v>
      </c>
      <c r="N215">
        <f t="shared" si="96"/>
        <v>0</v>
      </c>
      <c r="O215">
        <v>20426944.965069599</v>
      </c>
      <c r="AE215" s="14"/>
      <c r="AQ215" s="14"/>
      <c r="AT215" s="4"/>
      <c r="AU215" s="4"/>
      <c r="BF215" s="30"/>
      <c r="BH215" s="19"/>
    </row>
    <row r="216" spans="2:60" x14ac:dyDescent="0.3">
      <c r="B216">
        <f t="shared" si="90"/>
        <v>2021</v>
      </c>
      <c r="C216">
        <f t="shared" si="91"/>
        <v>8</v>
      </c>
      <c r="D216" s="1">
        <f t="shared" si="92"/>
        <v>44409</v>
      </c>
      <c r="E216">
        <f>_xlfn.XLOOKUP(D216,[1]nairu_estimates_v6!$A$2:$A$265,[1]nairu_estimates_v6!$P$2:$P$265)</f>
        <v>13.6197933281742</v>
      </c>
      <c r="F216">
        <f>_xlfn.XLOOKUP(D216,[1]nairu_estimates_v6!$A$2:$A$265,[1]nairu_estimates_v6!$V$2:$V$265)</f>
        <v>78.324493499996095</v>
      </c>
      <c r="G216">
        <v>23746471.377670757</v>
      </c>
      <c r="H216">
        <f t="shared" si="93"/>
        <v>0</v>
      </c>
      <c r="I216">
        <f t="shared" si="94"/>
        <v>0</v>
      </c>
      <c r="J216">
        <f t="shared" si="95"/>
        <v>0</v>
      </c>
      <c r="L216">
        <v>3.7736713886261E-2</v>
      </c>
      <c r="M216">
        <v>83.1</v>
      </c>
      <c r="N216">
        <f t="shared" si="96"/>
        <v>0</v>
      </c>
      <c r="O216">
        <v>20564634.258934997</v>
      </c>
      <c r="AE216" s="14"/>
      <c r="AQ216" s="14"/>
      <c r="AT216" s="4"/>
      <c r="AU216" s="4"/>
      <c r="BF216" s="30"/>
      <c r="BH216" s="19"/>
    </row>
    <row r="217" spans="2:60" x14ac:dyDescent="0.3">
      <c r="B217">
        <f t="shared" si="90"/>
        <v>2021</v>
      </c>
      <c r="C217">
        <f t="shared" si="91"/>
        <v>9</v>
      </c>
      <c r="D217" s="1">
        <f t="shared" si="92"/>
        <v>44440</v>
      </c>
      <c r="E217">
        <f>_xlfn.XLOOKUP(D217,[1]nairu_estimates_v6!$A$2:$A$265,[1]nairu_estimates_v6!$P$2:$P$265)</f>
        <v>13.7905999022364</v>
      </c>
      <c r="F217">
        <f>_xlfn.XLOOKUP(D217,[1]nairu_estimates_v6!$A$2:$A$265,[1]nairu_estimates_v6!$V$2:$V$265)</f>
        <v>78.637774435789893</v>
      </c>
      <c r="G217">
        <v>23646986.546522822</v>
      </c>
      <c r="H217">
        <f t="shared" si="93"/>
        <v>13.614414819822768</v>
      </c>
      <c r="I217">
        <f t="shared" si="94"/>
        <v>78.291583741918046</v>
      </c>
      <c r="J217">
        <f t="shared" si="95"/>
        <v>23625301.38027991</v>
      </c>
      <c r="L217">
        <v>3.7736713886261E-2</v>
      </c>
      <c r="M217">
        <v>79.81</v>
      </c>
      <c r="N217">
        <f t="shared" si="96"/>
        <v>81.700166666666675</v>
      </c>
      <c r="O217">
        <v>20606456.609893899</v>
      </c>
      <c r="AE217" s="14"/>
      <c r="AQ217" s="14"/>
      <c r="AT217" s="4"/>
      <c r="AU217" s="4"/>
      <c r="BF217" s="30"/>
      <c r="BH217" s="19"/>
    </row>
    <row r="218" spans="2:60" x14ac:dyDescent="0.3">
      <c r="B218">
        <f t="shared" si="90"/>
        <v>2021</v>
      </c>
      <c r="C218">
        <f t="shared" si="91"/>
        <v>10</v>
      </c>
      <c r="D218" s="1">
        <f t="shared" si="92"/>
        <v>44470</v>
      </c>
      <c r="E218">
        <f>_xlfn.XLOOKUP(D218,[1]nairu_estimates_v6!$A$2:$A$265,[1]nairu_estimates_v6!$P$2:$P$265)</f>
        <v>13.9457727552159</v>
      </c>
      <c r="F218">
        <f>_xlfn.XLOOKUP(D218,[1]nairu_estimates_v6!$A$2:$A$265,[1]nairu_estimates_v6!$V$2:$V$265)</f>
        <v>79.099409410941405</v>
      </c>
      <c r="G218">
        <v>23824378.693005819</v>
      </c>
      <c r="H218">
        <f t="shared" si="93"/>
        <v>0</v>
      </c>
      <c r="I218">
        <f t="shared" si="94"/>
        <v>0</v>
      </c>
      <c r="J218">
        <f t="shared" si="95"/>
        <v>0</v>
      </c>
      <c r="L218">
        <v>3.7736713886261E-2</v>
      </c>
      <c r="M218">
        <v>81.040000000000006</v>
      </c>
      <c r="N218">
        <f t="shared" si="96"/>
        <v>0</v>
      </c>
      <c r="O218">
        <v>20681125.709906101</v>
      </c>
      <c r="AE218" s="14"/>
      <c r="AQ218" s="14"/>
      <c r="AT218" s="4"/>
      <c r="AU218" s="4"/>
      <c r="BF218" s="30"/>
      <c r="BH218" s="19"/>
    </row>
    <row r="219" spans="2:60" x14ac:dyDescent="0.3">
      <c r="B219">
        <f t="shared" si="90"/>
        <v>2021</v>
      </c>
      <c r="C219">
        <f t="shared" si="91"/>
        <v>11</v>
      </c>
      <c r="D219" s="1">
        <f t="shared" si="92"/>
        <v>44501</v>
      </c>
      <c r="E219">
        <f>_xlfn.XLOOKUP(D219,[1]nairu_estimates_v6!$A$2:$A$265,[1]nairu_estimates_v6!$P$2:$P$265)</f>
        <v>14.095778226643301</v>
      </c>
      <c r="F219">
        <f>_xlfn.XLOOKUP(D219,[1]nairu_estimates_v6!$A$2:$A$265,[1]nairu_estimates_v6!$V$2:$V$265)</f>
        <v>79.605536013176803</v>
      </c>
      <c r="G219">
        <v>24107528.735763978</v>
      </c>
      <c r="H219">
        <f t="shared" si="93"/>
        <v>0</v>
      </c>
      <c r="I219">
        <f t="shared" si="94"/>
        <v>0</v>
      </c>
      <c r="J219">
        <f t="shared" si="95"/>
        <v>0</v>
      </c>
      <c r="L219">
        <v>3.7736713886261E-2</v>
      </c>
      <c r="M219">
        <v>80.075599999999994</v>
      </c>
      <c r="N219">
        <f t="shared" si="96"/>
        <v>0</v>
      </c>
      <c r="O219">
        <v>20922897.112261899</v>
      </c>
      <c r="AE219" s="14"/>
      <c r="AQ219" s="14"/>
      <c r="AT219" s="4"/>
      <c r="AU219" s="4"/>
      <c r="BF219" s="30"/>
      <c r="BH219" s="19"/>
    </row>
    <row r="220" spans="2:60" x14ac:dyDescent="0.3">
      <c r="B220">
        <f t="shared" si="90"/>
        <v>2021</v>
      </c>
      <c r="C220">
        <f t="shared" si="91"/>
        <v>12</v>
      </c>
      <c r="D220" s="1">
        <f t="shared" si="92"/>
        <v>44531</v>
      </c>
      <c r="E220">
        <f>_xlfn.XLOOKUP(D220,[1]nairu_estimates_v6!$A$2:$A$265,[1]nairu_estimates_v6!$P$2:$P$265)</f>
        <v>14.233507709713701</v>
      </c>
      <c r="F220">
        <f>_xlfn.XLOOKUP(D220,[1]nairu_estimates_v6!$A$2:$A$265,[1]nairu_estimates_v6!$V$2:$V$265)</f>
        <v>79.633937135545295</v>
      </c>
      <c r="G220">
        <v>24148145.594793659</v>
      </c>
      <c r="H220">
        <f t="shared" si="93"/>
        <v>14.091686230524301</v>
      </c>
      <c r="I220">
        <f t="shared" si="94"/>
        <v>79.446294186554496</v>
      </c>
      <c r="J220">
        <f t="shared" si="95"/>
        <v>24026684.34118782</v>
      </c>
      <c r="L220">
        <v>3.7736713886261E-2</v>
      </c>
      <c r="M220">
        <v>79.311099999999996</v>
      </c>
      <c r="N220">
        <f t="shared" si="96"/>
        <v>80.142233333333323</v>
      </c>
      <c r="O220">
        <v>21242019.588779896</v>
      </c>
      <c r="AE220" s="14"/>
      <c r="AQ220" s="14"/>
      <c r="AT220" s="4"/>
      <c r="AU220" s="4"/>
      <c r="BF220" s="30"/>
      <c r="BH220" s="19"/>
    </row>
    <row r="221" spans="2:60" x14ac:dyDescent="0.3">
      <c r="B221">
        <f t="shared" si="90"/>
        <v>2022</v>
      </c>
      <c r="C221">
        <f t="shared" si="91"/>
        <v>1</v>
      </c>
      <c r="D221" s="1">
        <f t="shared" si="92"/>
        <v>44562</v>
      </c>
      <c r="E221">
        <f>_xlfn.XLOOKUP(D221,[1]nairu_estimates_v6!$A$2:$A$265,[1]nairu_estimates_v6!$P$2:$P$265)</f>
        <v>14.3638210287919</v>
      </c>
      <c r="F221">
        <f>_xlfn.XLOOKUP(D221,[1]nairu_estimates_v6!$A$2:$A$265,[1]nairu_estimates_v6!$V$2:$V$265)</f>
        <v>79.802788912276199</v>
      </c>
      <c r="G221">
        <v>24408614.7580541</v>
      </c>
      <c r="H221">
        <f t="shared" si="93"/>
        <v>0</v>
      </c>
      <c r="I221">
        <f t="shared" si="94"/>
        <v>0</v>
      </c>
      <c r="J221">
        <f t="shared" si="95"/>
        <v>0</v>
      </c>
      <c r="K221">
        <v>2.6600999999999999</v>
      </c>
      <c r="L221">
        <v>3.7901800125837298E-2</v>
      </c>
      <c r="M221">
        <v>82.398200000000003</v>
      </c>
      <c r="N221">
        <f t="shared" si="96"/>
        <v>0</v>
      </c>
      <c r="O221">
        <v>21434043.747743398</v>
      </c>
      <c r="AE221" s="14"/>
      <c r="AQ221" s="14"/>
      <c r="AT221" s="4"/>
      <c r="AU221" s="4"/>
      <c r="BF221" s="30"/>
      <c r="BH221" s="19"/>
    </row>
    <row r="222" spans="2:60" x14ac:dyDescent="0.3">
      <c r="B222">
        <f t="shared" si="90"/>
        <v>2022</v>
      </c>
      <c r="C222">
        <f t="shared" si="91"/>
        <v>2</v>
      </c>
      <c r="D222" s="1">
        <f t="shared" si="92"/>
        <v>44593</v>
      </c>
      <c r="E222">
        <f>_xlfn.XLOOKUP(D222,[1]nairu_estimates_v6!$A$2:$A$265,[1]nairu_estimates_v6!$P$2:$P$265)</f>
        <v>14.4822679538538</v>
      </c>
      <c r="F222">
        <f>_xlfn.XLOOKUP(D222,[1]nairu_estimates_v6!$A$2:$A$265,[1]nairu_estimates_v6!$V$2:$V$265)</f>
        <v>79.831159853072293</v>
      </c>
      <c r="G222">
        <v>24847962.716671158</v>
      </c>
      <c r="H222">
        <f t="shared" si="93"/>
        <v>0</v>
      </c>
      <c r="I222">
        <f t="shared" si="94"/>
        <v>0</v>
      </c>
      <c r="J222">
        <f t="shared" si="95"/>
        <v>0</v>
      </c>
      <c r="L222">
        <v>3.7901800125837298E-2</v>
      </c>
      <c r="M222">
        <v>80.440600000000003</v>
      </c>
      <c r="N222">
        <f t="shared" si="96"/>
        <v>0</v>
      </c>
      <c r="O222">
        <v>21926381.881925501</v>
      </c>
      <c r="AE222" s="14"/>
      <c r="AQ222" s="14"/>
      <c r="AT222" s="4"/>
      <c r="AU222" s="4"/>
      <c r="BF222" s="30"/>
      <c r="BH222" s="19"/>
    </row>
    <row r="223" spans="2:60" x14ac:dyDescent="0.3">
      <c r="B223">
        <f t="shared" si="90"/>
        <v>2022</v>
      </c>
      <c r="C223">
        <f t="shared" si="91"/>
        <v>3</v>
      </c>
      <c r="D223" s="1">
        <f t="shared" si="92"/>
        <v>44621</v>
      </c>
      <c r="E223">
        <f>_xlfn.XLOOKUP(D223,[1]nairu_estimates_v6!$A$2:$A$265,[1]nairu_estimates_v6!$P$2:$P$265)</f>
        <v>14.584479258246301</v>
      </c>
      <c r="F223">
        <f>_xlfn.XLOOKUP(D223,[1]nairu_estimates_v6!$A$2:$A$265,[1]nairu_estimates_v6!$V$2:$V$265)</f>
        <v>79.764526291638504</v>
      </c>
      <c r="G223">
        <v>24625051.21507024</v>
      </c>
      <c r="H223">
        <f t="shared" si="93"/>
        <v>14.476856080297333</v>
      </c>
      <c r="I223">
        <f t="shared" si="94"/>
        <v>79.799491685662332</v>
      </c>
      <c r="J223">
        <f t="shared" si="95"/>
        <v>24627209.563265163</v>
      </c>
      <c r="L223">
        <v>3.7901800125837298E-2</v>
      </c>
      <c r="M223">
        <v>80.701800000000006</v>
      </c>
      <c r="N223">
        <f t="shared" si="96"/>
        <v>81.180199999999999</v>
      </c>
      <c r="O223">
        <v>21767068.028074902</v>
      </c>
      <c r="AE223" s="14"/>
      <c r="AQ223" s="14"/>
      <c r="AT223" s="4"/>
      <c r="AU223" s="4"/>
      <c r="BF223" s="30"/>
      <c r="BH223" s="19"/>
    </row>
    <row r="224" spans="2:60" x14ac:dyDescent="0.3">
      <c r="B224">
        <f t="shared" si="90"/>
        <v>2022</v>
      </c>
      <c r="C224">
        <f t="shared" si="91"/>
        <v>4</v>
      </c>
      <c r="D224" s="1">
        <f t="shared" si="92"/>
        <v>44652</v>
      </c>
      <c r="E224">
        <f>_xlfn.XLOOKUP(D224,[1]nairu_estimates_v6!$A$2:$A$265,[1]nairu_estimates_v6!$P$2:$P$265)</f>
        <v>14.670166810556401</v>
      </c>
      <c r="F224">
        <f>_xlfn.XLOOKUP(D224,[1]nairu_estimates_v6!$A$2:$A$265,[1]nairu_estimates_v6!$V$2:$V$265)</f>
        <v>80.096487417219706</v>
      </c>
      <c r="G224">
        <v>24665474.910520606</v>
      </c>
      <c r="H224">
        <f t="shared" si="93"/>
        <v>0</v>
      </c>
      <c r="I224">
        <f t="shared" si="94"/>
        <v>0</v>
      </c>
      <c r="J224">
        <f t="shared" si="95"/>
        <v>0</v>
      </c>
      <c r="L224">
        <v>3.7901800125837298E-2</v>
      </c>
      <c r="M224">
        <v>82.894300000000001</v>
      </c>
      <c r="N224">
        <f t="shared" si="96"/>
        <v>0</v>
      </c>
      <c r="O224">
        <v>21933511.174219199</v>
      </c>
      <c r="AE224" s="14"/>
      <c r="AQ224" s="14"/>
      <c r="AT224" s="4"/>
      <c r="AU224" s="4"/>
      <c r="BF224" s="30"/>
      <c r="BH224" s="19"/>
    </row>
    <row r="225" spans="2:60" x14ac:dyDescent="0.3">
      <c r="B225">
        <f t="shared" si="90"/>
        <v>2022</v>
      </c>
      <c r="C225">
        <f t="shared" si="91"/>
        <v>5</v>
      </c>
      <c r="D225" s="1">
        <f t="shared" si="92"/>
        <v>44682</v>
      </c>
      <c r="E225">
        <f>_xlfn.XLOOKUP(D225,[1]nairu_estimates_v6!$A$2:$A$265,[1]nairu_estimates_v6!$P$2:$P$265)</f>
        <v>14.6944100590601</v>
      </c>
      <c r="F225">
        <f>_xlfn.XLOOKUP(D225,[1]nairu_estimates_v6!$A$2:$A$265,[1]nairu_estimates_v6!$V$2:$V$265)</f>
        <v>80.136211440778695</v>
      </c>
      <c r="G225">
        <v>24832647.088862579</v>
      </c>
      <c r="H225">
        <f t="shared" si="93"/>
        <v>0</v>
      </c>
      <c r="I225">
        <f t="shared" si="94"/>
        <v>0</v>
      </c>
      <c r="J225">
        <f t="shared" si="95"/>
        <v>0</v>
      </c>
      <c r="L225">
        <v>3.7901800125837298E-2</v>
      </c>
      <c r="M225">
        <v>81.676699999999997</v>
      </c>
      <c r="N225">
        <f t="shared" si="96"/>
        <v>0</v>
      </c>
      <c r="O225">
        <v>22237191.457123</v>
      </c>
      <c r="AE225" s="14"/>
      <c r="AQ225" s="14"/>
      <c r="AT225" s="4"/>
      <c r="AU225" s="4"/>
      <c r="BF225" s="30"/>
      <c r="BH225" s="19"/>
    </row>
    <row r="226" spans="2:60" x14ac:dyDescent="0.3">
      <c r="B226">
        <f t="shared" si="90"/>
        <v>2022</v>
      </c>
      <c r="C226">
        <f t="shared" si="91"/>
        <v>6</v>
      </c>
      <c r="D226" s="1">
        <f t="shared" si="92"/>
        <v>44713</v>
      </c>
      <c r="E226">
        <f>_xlfn.XLOOKUP(D226,[1]nairu_estimates_v6!$A$2:$A$265,[1]nairu_estimates_v6!$P$2:$P$265)</f>
        <v>14.654257845433801</v>
      </c>
      <c r="F226">
        <f>_xlfn.XLOOKUP(D226,[1]nairu_estimates_v6!$A$2:$A$265,[1]nairu_estimates_v6!$V$2:$V$265)</f>
        <v>80.211336748266106</v>
      </c>
      <c r="G226">
        <v>24842733.020950198</v>
      </c>
      <c r="H226">
        <f t="shared" si="93"/>
        <v>14.672944905016768</v>
      </c>
      <c r="I226">
        <f t="shared" si="94"/>
        <v>80.148011868754836</v>
      </c>
      <c r="J226">
        <f t="shared" si="95"/>
        <v>24780285.006777793</v>
      </c>
      <c r="L226">
        <v>3.7901800125837298E-2</v>
      </c>
      <c r="M226">
        <v>81.288499999999999</v>
      </c>
      <c r="N226">
        <f t="shared" si="96"/>
        <v>81.953166666666661</v>
      </c>
      <c r="O226">
        <v>22049596.989410397</v>
      </c>
      <c r="AE226" s="14"/>
      <c r="AQ226" s="14"/>
      <c r="AT226" s="4"/>
      <c r="AU226" s="4"/>
      <c r="BF226" s="30"/>
      <c r="BH226" s="19"/>
    </row>
    <row r="227" spans="2:60" x14ac:dyDescent="0.3">
      <c r="B227">
        <f t="shared" si="90"/>
        <v>2022</v>
      </c>
      <c r="C227">
        <f t="shared" si="91"/>
        <v>7</v>
      </c>
      <c r="D227" s="1">
        <f t="shared" si="92"/>
        <v>44743</v>
      </c>
      <c r="E227">
        <f>_xlfn.XLOOKUP(D227,[1]nairu_estimates_v6!$A$2:$A$265,[1]nairu_estimates_v6!$P$2:$P$265)</f>
        <v>14.572063011134601</v>
      </c>
      <c r="F227">
        <f>_xlfn.XLOOKUP(D227,[1]nairu_estimates_v6!$A$2:$A$265,[1]nairu_estimates_v6!$V$2:$V$265)</f>
        <v>80.554508390467603</v>
      </c>
      <c r="G227">
        <v>24728275.289261028</v>
      </c>
      <c r="H227">
        <f t="shared" si="93"/>
        <v>0</v>
      </c>
      <c r="I227">
        <f t="shared" si="94"/>
        <v>0</v>
      </c>
      <c r="J227">
        <f t="shared" si="95"/>
        <v>0</v>
      </c>
      <c r="L227">
        <v>3.7901800125837298E-2</v>
      </c>
      <c r="M227">
        <v>80.357100000000003</v>
      </c>
      <c r="N227">
        <f t="shared" si="96"/>
        <v>0</v>
      </c>
      <c r="O227">
        <v>22002137.432807401</v>
      </c>
      <c r="AE227" s="14"/>
      <c r="AQ227" s="14"/>
      <c r="AT227" s="4"/>
      <c r="AU227" s="4"/>
      <c r="BF227" s="30"/>
      <c r="BH227" s="19"/>
    </row>
    <row r="228" spans="2:60" x14ac:dyDescent="0.3">
      <c r="B228">
        <f t="shared" si="90"/>
        <v>2022</v>
      </c>
      <c r="C228">
        <f t="shared" si="91"/>
        <v>8</v>
      </c>
      <c r="D228" s="1">
        <f t="shared" si="92"/>
        <v>44774</v>
      </c>
      <c r="E228">
        <f>_xlfn.XLOOKUP(D228,[1]nairu_estimates_v6!$A$2:$A$265,[1]nairu_estimates_v6!$P$2:$P$265)</f>
        <v>14.4500620878413</v>
      </c>
      <c r="F228">
        <f>_xlfn.XLOOKUP(D228,[1]nairu_estimates_v6!$A$2:$A$265,[1]nairu_estimates_v6!$V$2:$V$265)</f>
        <v>80.694685575198903</v>
      </c>
      <c r="G228">
        <v>24861046.588970721</v>
      </c>
      <c r="H228">
        <f t="shared" si="93"/>
        <v>0</v>
      </c>
      <c r="I228">
        <f t="shared" si="94"/>
        <v>0</v>
      </c>
      <c r="J228">
        <f t="shared" si="95"/>
        <v>0</v>
      </c>
      <c r="L228">
        <v>3.7901800125837298E-2</v>
      </c>
      <c r="M228">
        <v>79.346000000000004</v>
      </c>
      <c r="N228">
        <f t="shared" si="96"/>
        <v>0</v>
      </c>
      <c r="O228">
        <v>22108144.415187597</v>
      </c>
      <c r="AE228" s="14"/>
      <c r="AQ228" s="14"/>
      <c r="AT228" s="4"/>
      <c r="AU228" s="4"/>
      <c r="BF228" s="30"/>
      <c r="BH228" s="19"/>
    </row>
    <row r="229" spans="2:60" x14ac:dyDescent="0.3">
      <c r="B229">
        <f t="shared" si="90"/>
        <v>2022</v>
      </c>
      <c r="C229">
        <f t="shared" si="91"/>
        <v>9</v>
      </c>
      <c r="D229" s="1">
        <f t="shared" si="92"/>
        <v>44805</v>
      </c>
      <c r="E229">
        <f>_xlfn.XLOOKUP(D229,[1]nairu_estimates_v6!$A$2:$A$265,[1]nairu_estimates_v6!$P$2:$P$265)</f>
        <v>14.3082442629519</v>
      </c>
      <c r="F229">
        <f>_xlfn.XLOOKUP(D229,[1]nairu_estimates_v6!$A$2:$A$265,[1]nairu_estimates_v6!$V$2:$V$265)</f>
        <v>80.765339703067099</v>
      </c>
      <c r="G229">
        <v>25219256.70707833</v>
      </c>
      <c r="H229">
        <f t="shared" si="93"/>
        <v>14.443456453975934</v>
      </c>
      <c r="I229">
        <f t="shared" si="94"/>
        <v>80.671511222911207</v>
      </c>
      <c r="J229">
        <f t="shared" si="95"/>
        <v>24936192.861770023</v>
      </c>
      <c r="L229">
        <v>3.7901800125837298E-2</v>
      </c>
      <c r="M229">
        <v>77.6631</v>
      </c>
      <c r="N229">
        <f t="shared" si="96"/>
        <v>79.122066666666669</v>
      </c>
      <c r="O229">
        <v>22298342.477814998</v>
      </c>
      <c r="AE229" s="14"/>
      <c r="AQ229" s="14"/>
      <c r="AT229" s="4"/>
      <c r="AU229" s="4"/>
      <c r="BF229" s="30"/>
      <c r="BH229" s="19"/>
    </row>
    <row r="230" spans="2:60" x14ac:dyDescent="0.3">
      <c r="B230">
        <f t="shared" si="90"/>
        <v>2022</v>
      </c>
      <c r="C230">
        <f t="shared" si="91"/>
        <v>10</v>
      </c>
      <c r="D230" s="1">
        <f t="shared" si="92"/>
        <v>44835</v>
      </c>
      <c r="E230">
        <f>_xlfn.XLOOKUP(D230,[1]nairu_estimates_v6!$A$2:$A$265,[1]nairu_estimates_v6!$P$2:$P$265)</f>
        <v>14.157184892110701</v>
      </c>
      <c r="F230">
        <f>_xlfn.XLOOKUP(D230,[1]nairu_estimates_v6!$A$2:$A$265,[1]nairu_estimates_v6!$V$2:$V$265)</f>
        <v>80.703590678489604</v>
      </c>
      <c r="G230">
        <v>24884325.389365062</v>
      </c>
      <c r="H230">
        <f t="shared" si="93"/>
        <v>0</v>
      </c>
      <c r="I230">
        <f t="shared" si="94"/>
        <v>0</v>
      </c>
      <c r="J230">
        <f t="shared" si="95"/>
        <v>0</v>
      </c>
      <c r="L230">
        <v>3.7901800125837298E-2</v>
      </c>
      <c r="M230">
        <v>79.446100000000001</v>
      </c>
      <c r="N230">
        <f t="shared" si="96"/>
        <v>0</v>
      </c>
      <c r="O230">
        <v>22239694.314474303</v>
      </c>
      <c r="AE230" s="14"/>
      <c r="AQ230" s="14"/>
      <c r="AT230" s="4"/>
      <c r="AU230" s="4"/>
      <c r="BF230" s="30"/>
      <c r="BH230" s="19"/>
    </row>
    <row r="231" spans="2:60" x14ac:dyDescent="0.3">
      <c r="B231">
        <f t="shared" si="90"/>
        <v>2022</v>
      </c>
      <c r="C231">
        <f t="shared" si="91"/>
        <v>11</v>
      </c>
      <c r="D231" s="1">
        <f t="shared" si="92"/>
        <v>44866</v>
      </c>
      <c r="E231">
        <f>_xlfn.XLOOKUP(D231,[1]nairu_estimates_v6!$A$2:$A$265,[1]nairu_estimates_v6!$P$2:$P$265)</f>
        <v>13.9928372116219</v>
      </c>
      <c r="F231">
        <f>_xlfn.XLOOKUP(D231,[1]nairu_estimates_v6!$A$2:$A$265,[1]nairu_estimates_v6!$V$2:$V$265)</f>
        <v>80.526876652244695</v>
      </c>
      <c r="G231">
        <v>24845583.38258969</v>
      </c>
      <c r="H231">
        <f t="shared" si="93"/>
        <v>0</v>
      </c>
      <c r="I231">
        <f t="shared" si="94"/>
        <v>0</v>
      </c>
      <c r="J231">
        <f t="shared" si="95"/>
        <v>0</v>
      </c>
      <c r="L231">
        <v>3.7901800125837298E-2</v>
      </c>
      <c r="M231">
        <v>77.129099999999994</v>
      </c>
      <c r="N231">
        <f t="shared" si="96"/>
        <v>0</v>
      </c>
      <c r="O231">
        <v>22139075.918737099</v>
      </c>
      <c r="AE231" s="14"/>
      <c r="AQ231" s="14"/>
      <c r="AT231" s="4"/>
      <c r="AU231" s="4"/>
      <c r="BF231" s="30"/>
      <c r="BH231" s="19"/>
    </row>
    <row r="232" spans="2:60" x14ac:dyDescent="0.3">
      <c r="B232">
        <f t="shared" si="90"/>
        <v>2022</v>
      </c>
      <c r="C232">
        <f t="shared" si="91"/>
        <v>12</v>
      </c>
      <c r="D232" s="1">
        <f t="shared" si="92"/>
        <v>44896</v>
      </c>
      <c r="E232">
        <f>_xlfn.XLOOKUP(D232,[1]nairu_estimates_v6!$A$2:$A$265,[1]nairu_estimates_v6!$P$2:$P$265)</f>
        <v>13.8264969059229</v>
      </c>
      <c r="F232">
        <f>_xlfn.XLOOKUP(D232,[1]nairu_estimates_v6!$A$2:$A$265,[1]nairu_estimates_v6!$V$2:$V$265)</f>
        <v>80.154003624474896</v>
      </c>
      <c r="G232">
        <v>25001221.932606179</v>
      </c>
      <c r="H232">
        <f t="shared" si="93"/>
        <v>13.992173003218502</v>
      </c>
      <c r="I232">
        <f t="shared" si="94"/>
        <v>80.461490318403079</v>
      </c>
      <c r="J232">
        <f t="shared" si="95"/>
        <v>24910376.901520312</v>
      </c>
      <c r="L232">
        <v>3.7901800125837298E-2</v>
      </c>
      <c r="M232">
        <v>77.254599999999996</v>
      </c>
      <c r="N232">
        <f t="shared" si="96"/>
        <v>77.943266666666659</v>
      </c>
      <c r="O232">
        <v>22250973.162482101</v>
      </c>
      <c r="AE232" s="14"/>
      <c r="AQ232" s="14"/>
      <c r="AT232" s="4"/>
      <c r="AU232" s="4"/>
      <c r="BF232" s="30"/>
      <c r="BH232" s="19"/>
    </row>
    <row r="233" spans="2:60" x14ac:dyDescent="0.3">
      <c r="B233">
        <f t="shared" si="90"/>
        <v>2023</v>
      </c>
      <c r="C233">
        <f t="shared" si="91"/>
        <v>1</v>
      </c>
      <c r="D233" s="1">
        <f t="shared" si="92"/>
        <v>44927</v>
      </c>
      <c r="E233">
        <f>_xlfn.XLOOKUP(D233,[1]nairu_estimates_v6!$A$2:$A$265,[1]nairu_estimates_v6!$P$2:$P$265)</f>
        <v>13.6594102603575</v>
      </c>
      <c r="F233">
        <f>_xlfn.XLOOKUP(D233,[1]nairu_estimates_v6!$A$2:$A$265,[1]nairu_estimates_v6!$V$2:$V$265)</f>
        <v>80.0615976925083</v>
      </c>
      <c r="G233">
        <v>25087728.375267368</v>
      </c>
      <c r="H233">
        <f t="shared" si="93"/>
        <v>0</v>
      </c>
      <c r="I233">
        <f t="shared" si="94"/>
        <v>0</v>
      </c>
      <c r="J233">
        <f t="shared" si="95"/>
        <v>0</v>
      </c>
      <c r="K233">
        <v>2.6825000000000001</v>
      </c>
      <c r="L233">
        <v>3.8016445934772498E-2</v>
      </c>
      <c r="M233">
        <v>79.576700000000002</v>
      </c>
      <c r="N233">
        <f t="shared" si="96"/>
        <v>0</v>
      </c>
      <c r="O233">
        <v>22263505.820755601</v>
      </c>
      <c r="AE233" s="14"/>
      <c r="AQ233" s="14"/>
      <c r="AT233" s="4"/>
      <c r="AU233" s="4"/>
      <c r="BF233" s="30"/>
      <c r="BH233" s="19"/>
    </row>
    <row r="234" spans="2:60" x14ac:dyDescent="0.3">
      <c r="B234">
        <f t="shared" si="90"/>
        <v>2023</v>
      </c>
      <c r="C234">
        <f t="shared" si="91"/>
        <v>2</v>
      </c>
      <c r="D234" s="1">
        <f t="shared" si="92"/>
        <v>44958</v>
      </c>
      <c r="E234">
        <f>_xlfn.XLOOKUP(D234,[1]nairu_estimates_v6!$A$2:$A$265,[1]nairu_estimates_v6!$P$2:$P$265)</f>
        <v>13.4931966904941</v>
      </c>
      <c r="F234">
        <f>_xlfn.XLOOKUP(D234,[1]nairu_estimates_v6!$A$2:$A$265,[1]nairu_estimates_v6!$V$2:$V$265)</f>
        <v>79.684200561590401</v>
      </c>
      <c r="G234">
        <v>25038574.380571142</v>
      </c>
      <c r="H234">
        <f t="shared" si="93"/>
        <v>0</v>
      </c>
      <c r="I234">
        <f t="shared" si="94"/>
        <v>0</v>
      </c>
      <c r="J234">
        <f t="shared" si="95"/>
        <v>0</v>
      </c>
      <c r="L234">
        <v>3.8016445934772498E-2</v>
      </c>
      <c r="M234">
        <v>77.735699999999994</v>
      </c>
      <c r="N234">
        <f t="shared" si="96"/>
        <v>0</v>
      </c>
      <c r="O234">
        <v>22458353.227855202</v>
      </c>
      <c r="AE234" s="14"/>
      <c r="AQ234" s="14"/>
      <c r="AT234" s="4"/>
      <c r="AU234" s="4"/>
      <c r="BF234" s="30"/>
      <c r="BH234" s="19"/>
    </row>
    <row r="235" spans="2:60" x14ac:dyDescent="0.3">
      <c r="B235">
        <f t="shared" si="90"/>
        <v>2023</v>
      </c>
      <c r="C235">
        <f t="shared" si="91"/>
        <v>3</v>
      </c>
      <c r="D235" s="1">
        <f t="shared" si="92"/>
        <v>44986</v>
      </c>
      <c r="E235">
        <f>_xlfn.XLOOKUP(D235,[1]nairu_estimates_v6!$A$2:$A$265,[1]nairu_estimates_v6!$P$2:$P$265)</f>
        <v>13.327503510066499</v>
      </c>
      <c r="F235">
        <f>_xlfn.XLOOKUP(D235,[1]nairu_estimates_v6!$A$2:$A$265,[1]nairu_estimates_v6!$V$2:$V$265)</f>
        <v>79.368151648889494</v>
      </c>
      <c r="G235">
        <v>25281894.227003772</v>
      </c>
      <c r="H235">
        <f t="shared" si="93"/>
        <v>13.493370153639367</v>
      </c>
      <c r="I235">
        <f t="shared" si="94"/>
        <v>79.704649967662732</v>
      </c>
      <c r="J235">
        <f t="shared" si="95"/>
        <v>25136065.660947427</v>
      </c>
      <c r="L235">
        <v>3.8016445934772498E-2</v>
      </c>
      <c r="M235">
        <v>79.145899999999997</v>
      </c>
      <c r="N235">
        <f t="shared" si="96"/>
        <v>78.819433333333336</v>
      </c>
      <c r="O235">
        <v>22871134.087953303</v>
      </c>
      <c r="AE235" s="14"/>
      <c r="AQ235" s="14"/>
      <c r="AT235" s="4"/>
      <c r="AU235" s="4"/>
      <c r="BF235" s="30"/>
      <c r="BH235" s="19"/>
    </row>
    <row r="236" spans="2:60" x14ac:dyDescent="0.3">
      <c r="B236">
        <f t="shared" si="90"/>
        <v>2023</v>
      </c>
      <c r="C236">
        <f t="shared" si="91"/>
        <v>4</v>
      </c>
      <c r="D236" s="1">
        <f t="shared" si="92"/>
        <v>45017</v>
      </c>
      <c r="E236">
        <f>_xlfn.XLOOKUP(D236,[1]nairu_estimates_v6!$A$2:$A$265,[1]nairu_estimates_v6!$P$2:$P$265)</f>
        <v>13.1554201876097</v>
      </c>
      <c r="F236">
        <f>_xlfn.XLOOKUP(D236,[1]nairu_estimates_v6!$A$2:$A$265,[1]nairu_estimates_v6!$V$2:$V$265)</f>
        <v>79.396906886494904</v>
      </c>
      <c r="G236">
        <v>25449583.255951319</v>
      </c>
      <c r="H236">
        <f t="shared" si="93"/>
        <v>0</v>
      </c>
      <c r="I236">
        <f t="shared" si="94"/>
        <v>0</v>
      </c>
      <c r="J236">
        <f t="shared" si="95"/>
        <v>0</v>
      </c>
      <c r="L236">
        <v>3.8016445934772498E-2</v>
      </c>
      <c r="M236">
        <v>80.125600000000006</v>
      </c>
      <c r="N236">
        <f t="shared" si="96"/>
        <v>0</v>
      </c>
      <c r="O236">
        <v>22742232.1471086</v>
      </c>
    </row>
    <row r="237" spans="2:60" x14ac:dyDescent="0.3">
      <c r="B237">
        <f t="shared" si="90"/>
        <v>2023</v>
      </c>
      <c r="C237">
        <f t="shared" si="91"/>
        <v>5</v>
      </c>
      <c r="D237" s="1">
        <f t="shared" si="92"/>
        <v>45047</v>
      </c>
      <c r="E237">
        <f>_xlfn.XLOOKUP(D237,[1]nairu_estimates_v6!$A$2:$A$265,[1]nairu_estimates_v6!$P$2:$P$265)</f>
        <v>12.979672485566001</v>
      </c>
      <c r="F237">
        <f>_xlfn.XLOOKUP(D237,[1]nairu_estimates_v6!$A$2:$A$265,[1]nairu_estimates_v6!$V$2:$V$265)</f>
        <v>79.185961437784997</v>
      </c>
      <c r="G237">
        <v>25182780.6905379</v>
      </c>
      <c r="H237">
        <f t="shared" si="93"/>
        <v>0</v>
      </c>
      <c r="I237">
        <f t="shared" si="94"/>
        <v>0</v>
      </c>
      <c r="J237">
        <f t="shared" si="95"/>
        <v>0</v>
      </c>
      <c r="L237">
        <v>3.8016445934772498E-2</v>
      </c>
      <c r="M237">
        <v>77.823599999999999</v>
      </c>
      <c r="N237">
        <f t="shared" si="96"/>
        <v>0</v>
      </c>
      <c r="O237">
        <v>22578376.323656201</v>
      </c>
    </row>
    <row r="238" spans="2:60" x14ac:dyDescent="0.3">
      <c r="B238">
        <f t="shared" si="90"/>
        <v>2023</v>
      </c>
      <c r="C238">
        <f t="shared" si="91"/>
        <v>6</v>
      </c>
      <c r="D238" s="1">
        <f t="shared" si="92"/>
        <v>45078</v>
      </c>
      <c r="E238">
        <f>_xlfn.XLOOKUP(D238,[1]nairu_estimates_v6!$A$2:$A$265,[1]nairu_estimates_v6!$P$2:$P$265)</f>
        <v>12.8027462613057</v>
      </c>
      <c r="F238">
        <f>_xlfn.XLOOKUP(D238,[1]nairu_estimates_v6!$A$2:$A$265,[1]nairu_estimates_v6!$V$2:$V$265)</f>
        <v>79.180755946256497</v>
      </c>
      <c r="G238">
        <v>25456594.38729516</v>
      </c>
      <c r="H238">
        <f t="shared" si="93"/>
        <v>12.979279644827132</v>
      </c>
      <c r="I238">
        <f t="shared" si="94"/>
        <v>79.254541423512137</v>
      </c>
      <c r="J238">
        <f t="shared" si="95"/>
        <v>25362986.111261457</v>
      </c>
      <c r="L238">
        <v>3.8016445934772498E-2</v>
      </c>
      <c r="M238">
        <v>78.957800000000006</v>
      </c>
      <c r="N238">
        <f t="shared" si="96"/>
        <v>78.969000000000008</v>
      </c>
      <c r="O238">
        <v>23069710.619935699</v>
      </c>
    </row>
    <row r="239" spans="2:60" x14ac:dyDescent="0.3">
      <c r="B239">
        <f t="shared" si="90"/>
        <v>2023</v>
      </c>
      <c r="C239">
        <f t="shared" si="91"/>
        <v>7</v>
      </c>
      <c r="D239" s="1">
        <f t="shared" si="92"/>
        <v>45108</v>
      </c>
      <c r="E239">
        <f>_xlfn.XLOOKUP(D239,[1]nairu_estimates_v6!$A$2:$A$265,[1]nairu_estimates_v6!$P$2:$P$265)</f>
        <v>12.618919096509501</v>
      </c>
      <c r="F239">
        <f>_xlfn.XLOOKUP(D239,[1]nairu_estimates_v6!$A$2:$A$265,[1]nairu_estimates_v6!$V$2:$V$265)</f>
        <v>79.306004355735794</v>
      </c>
      <c r="G239">
        <v>25559452.557789393</v>
      </c>
      <c r="H239">
        <f t="shared" si="93"/>
        <v>0</v>
      </c>
      <c r="I239">
        <f t="shared" si="94"/>
        <v>0</v>
      </c>
      <c r="J239">
        <f t="shared" si="95"/>
        <v>0</v>
      </c>
      <c r="L239">
        <v>3.8016445934772498E-2</v>
      </c>
      <c r="M239">
        <v>80.877700000000004</v>
      </c>
      <c r="N239">
        <f t="shared" si="96"/>
        <v>0</v>
      </c>
      <c r="O239">
        <v>23085421.868585702</v>
      </c>
    </row>
    <row r="240" spans="2:60" x14ac:dyDescent="0.3">
      <c r="B240">
        <f t="shared" si="90"/>
        <v>2023</v>
      </c>
      <c r="C240">
        <f t="shared" si="91"/>
        <v>8</v>
      </c>
      <c r="D240" s="1">
        <f t="shared" si="92"/>
        <v>45139</v>
      </c>
      <c r="E240">
        <f>_xlfn.XLOOKUP(D240,[1]nairu_estimates_v6!$A$2:$A$265,[1]nairu_estimates_v6!$P$2:$P$265)</f>
        <v>12.440908150662899</v>
      </c>
      <c r="F240">
        <f>_xlfn.XLOOKUP(D240,[1]nairu_estimates_v6!$A$2:$A$265,[1]nairu_estimates_v6!$V$2:$V$265)</f>
        <v>79.119652211175705</v>
      </c>
      <c r="G240">
        <v>25550145.387848403</v>
      </c>
      <c r="H240">
        <f t="shared" si="93"/>
        <v>0</v>
      </c>
      <c r="I240">
        <f t="shared" si="94"/>
        <v>0</v>
      </c>
      <c r="J240">
        <f t="shared" si="95"/>
        <v>0</v>
      </c>
      <c r="L240">
        <v>3.8016445934772498E-2</v>
      </c>
      <c r="M240">
        <v>78.95</v>
      </c>
      <c r="N240">
        <f t="shared" si="96"/>
        <v>0</v>
      </c>
      <c r="O240">
        <v>23074983.534812901</v>
      </c>
    </row>
    <row r="241" spans="2:15" x14ac:dyDescent="0.3">
      <c r="B241">
        <f t="shared" si="90"/>
        <v>2023</v>
      </c>
      <c r="C241">
        <f t="shared" si="91"/>
        <v>9</v>
      </c>
      <c r="D241" s="1">
        <f t="shared" si="92"/>
        <v>45170</v>
      </c>
      <c r="E241">
        <f>_xlfn.XLOOKUP(D241,[1]nairu_estimates_v6!$A$2:$A$265,[1]nairu_estimates_v6!$P$2:$P$265)</f>
        <v>12.2671997993831</v>
      </c>
      <c r="F241">
        <f>_xlfn.XLOOKUP(D241,[1]nairu_estimates_v6!$A$2:$A$265,[1]nairu_estimates_v6!$V$2:$V$265)</f>
        <v>79.103739426211106</v>
      </c>
      <c r="G241">
        <v>25564323.949917149</v>
      </c>
      <c r="H241">
        <f t="shared" si="93"/>
        <v>12.442342348851833</v>
      </c>
      <c r="I241">
        <f t="shared" si="94"/>
        <v>79.176465331040859</v>
      </c>
      <c r="J241">
        <f t="shared" si="95"/>
        <v>25557973.965184983</v>
      </c>
      <c r="L241">
        <v>3.8016445934772498E-2</v>
      </c>
      <c r="M241">
        <v>80.783000000000001</v>
      </c>
      <c r="N241">
        <f t="shared" si="96"/>
        <v>80.203566666666674</v>
      </c>
      <c r="O241">
        <v>23006951.419500001</v>
      </c>
    </row>
    <row r="242" spans="2:15" x14ac:dyDescent="0.3">
      <c r="B242">
        <f t="shared" si="90"/>
        <v>2023</v>
      </c>
      <c r="C242">
        <f t="shared" si="91"/>
        <v>10</v>
      </c>
      <c r="D242" s="1">
        <f t="shared" si="92"/>
        <v>45200</v>
      </c>
      <c r="E242">
        <f>_xlfn.XLOOKUP(D242,[1]nairu_estimates_v6!$A$2:$A$265,[1]nairu_estimates_v6!$P$2:$P$265)</f>
        <v>12.102423951232099</v>
      </c>
      <c r="F242">
        <f>_xlfn.XLOOKUP(D242,[1]nairu_estimates_v6!$A$2:$A$265,[1]nairu_estimates_v6!$V$2:$V$265)</f>
        <v>79.334441040300106</v>
      </c>
      <c r="G242">
        <v>25315276.00318313</v>
      </c>
      <c r="H242">
        <f t="shared" si="93"/>
        <v>0</v>
      </c>
      <c r="I242">
        <f t="shared" si="94"/>
        <v>0</v>
      </c>
      <c r="J242">
        <f t="shared" si="95"/>
        <v>0</v>
      </c>
      <c r="L242">
        <v>3.8016445934772498E-2</v>
      </c>
      <c r="M242">
        <v>79.447599999999994</v>
      </c>
      <c r="N242">
        <f t="shared" si="96"/>
        <v>0</v>
      </c>
      <c r="O242">
        <v>22769833.3112939</v>
      </c>
    </row>
    <row r="243" spans="2:15" x14ac:dyDescent="0.3">
      <c r="B243">
        <f t="shared" si="90"/>
        <v>2023</v>
      </c>
      <c r="C243">
        <f t="shared" si="91"/>
        <v>11</v>
      </c>
      <c r="D243" s="1">
        <f t="shared" si="92"/>
        <v>45231</v>
      </c>
      <c r="E243">
        <f>_xlfn.XLOOKUP(D243,[1]nairu_estimates_v6!$A$2:$A$265,[1]nairu_estimates_v6!$P$2:$P$265)</f>
        <v>11.9429927716408</v>
      </c>
      <c r="F243">
        <f>_xlfn.XLOOKUP(D243,[1]nairu_estimates_v6!$A$2:$A$265,[1]nairu_estimates_v6!$V$2:$V$265)</f>
        <v>79.288579552895499</v>
      </c>
      <c r="G243">
        <v>25502852.43362857</v>
      </c>
      <c r="H243">
        <f t="shared" si="93"/>
        <v>0</v>
      </c>
      <c r="I243">
        <f t="shared" si="94"/>
        <v>0</v>
      </c>
      <c r="J243">
        <f t="shared" si="95"/>
        <v>0</v>
      </c>
      <c r="L243">
        <v>3.8016445934772498E-2</v>
      </c>
      <c r="M243">
        <v>78.214399999999998</v>
      </c>
      <c r="N243">
        <f t="shared" si="96"/>
        <v>0</v>
      </c>
      <c r="O243">
        <v>22845245.039060902</v>
      </c>
    </row>
    <row r="244" spans="2:15" x14ac:dyDescent="0.3">
      <c r="B244">
        <f t="shared" si="90"/>
        <v>2023</v>
      </c>
      <c r="C244">
        <f t="shared" si="91"/>
        <v>12</v>
      </c>
      <c r="D244" s="1">
        <f t="shared" si="92"/>
        <v>45261</v>
      </c>
      <c r="E244">
        <f>_xlfn.XLOOKUP(D244,[1]nairu_estimates_v6!$A$2:$A$265,[1]nairu_estimates_v6!$P$2:$P$265)</f>
        <v>11.789663227653399</v>
      </c>
      <c r="F244">
        <f>_xlfn.XLOOKUP(D244,[1]nairu_estimates_v6!$A$2:$A$265,[1]nairu_estimates_v6!$V$2:$V$265)</f>
        <v>79.485027526930907</v>
      </c>
      <c r="G244">
        <v>25387174.351006679</v>
      </c>
      <c r="H244">
        <f t="shared" si="93"/>
        <v>11.945026650175434</v>
      </c>
      <c r="I244">
        <f t="shared" si="94"/>
        <v>79.369349373375499</v>
      </c>
      <c r="J244">
        <f t="shared" si="95"/>
        <v>25401767.595939457</v>
      </c>
      <c r="L244">
        <v>3.8016445934772498E-2</v>
      </c>
      <c r="M244">
        <v>77.484099999999998</v>
      </c>
      <c r="N244">
        <f t="shared" si="96"/>
        <v>78.382033333333325</v>
      </c>
      <c r="O244">
        <v>22694977.599482</v>
      </c>
    </row>
    <row r="245" spans="2:15" x14ac:dyDescent="0.3">
      <c r="B245">
        <f t="shared" si="90"/>
        <v>2024</v>
      </c>
      <c r="C245">
        <f t="shared" si="91"/>
        <v>1</v>
      </c>
      <c r="D245" s="1">
        <f t="shared" si="92"/>
        <v>45292</v>
      </c>
      <c r="E245">
        <f>_xlfn.XLOOKUP(D245,[1]nairu_estimates_v6!$A$2:$A$265,[1]nairu_estimates_v6!$P$2:$P$265)</f>
        <v>11.648277040896801</v>
      </c>
      <c r="F245">
        <f>_xlfn.XLOOKUP(D245,[1]nairu_estimates_v6!$A$2:$A$265,[1]nairu_estimates_v6!$V$2:$V$265)</f>
        <v>79.486476206698498</v>
      </c>
      <c r="G245">
        <v>25439976.871958811</v>
      </c>
      <c r="H245">
        <f t="shared" si="93"/>
        <v>0</v>
      </c>
      <c r="I245">
        <f t="shared" si="94"/>
        <v>0</v>
      </c>
      <c r="J245">
        <f t="shared" si="95"/>
        <v>0</v>
      </c>
      <c r="K245" s="6">
        <f>0.0232*B245-44.214</f>
        <v>2.7427999999999955</v>
      </c>
      <c r="L245" s="6">
        <f>D421</f>
        <v>3.6063317963424185E-2</v>
      </c>
      <c r="M245" s="6">
        <v>78.761700000000005</v>
      </c>
      <c r="N245">
        <f t="shared" si="96"/>
        <v>0</v>
      </c>
      <c r="O245">
        <v>22824965.816938702</v>
      </c>
    </row>
    <row r="246" spans="2:15" x14ac:dyDescent="0.3">
      <c r="B246">
        <f t="shared" si="90"/>
        <v>2024</v>
      </c>
      <c r="C246">
        <f t="shared" si="91"/>
        <v>2</v>
      </c>
      <c r="D246" s="1">
        <f t="shared" si="92"/>
        <v>45323</v>
      </c>
      <c r="E246">
        <f>_xlfn.XLOOKUP(D246,[1]nairu_estimates_v6!$A$2:$A$265,[1]nairu_estimates_v6!$P$2:$P$265)</f>
        <v>11.514839500945699</v>
      </c>
      <c r="F246">
        <f>_xlfn.XLOOKUP(D246,[1]nairu_estimates_v6!$A$2:$A$265,[1]nairu_estimates_v6!$V$2:$V$265)</f>
        <v>79.327575117993106</v>
      </c>
      <c r="G246">
        <v>25398347.414587844</v>
      </c>
      <c r="H246">
        <f t="shared" si="93"/>
        <v>0</v>
      </c>
      <c r="I246">
        <f t="shared" si="94"/>
        <v>0</v>
      </c>
      <c r="J246">
        <f t="shared" si="95"/>
        <v>0</v>
      </c>
      <c r="M246">
        <v>77.244299999999996</v>
      </c>
      <c r="N246">
        <f t="shared" si="96"/>
        <v>0</v>
      </c>
      <c r="O246">
        <v>22708646.852371503</v>
      </c>
    </row>
    <row r="247" spans="2:15" x14ac:dyDescent="0.3">
      <c r="B247">
        <f t="shared" ref="B247:B280" si="97">IF(C246=12,B246+1,B246)</f>
        <v>2024</v>
      </c>
      <c r="C247">
        <f t="shared" ref="C247:C280" si="98">IF(C246=12,1,C246+1)</f>
        <v>3</v>
      </c>
      <c r="D247" s="1">
        <f t="shared" ref="D247:D280" si="99">DATE(B247,C247,1)</f>
        <v>45352</v>
      </c>
      <c r="E247">
        <f>_xlfn.XLOOKUP(D247,[1]nairu_estimates_v6!$A$2:$A$265,[1]nairu_estimates_v6!$P$2:$P$265)</f>
        <v>11.392306048871101</v>
      </c>
      <c r="F247">
        <f>_xlfn.XLOOKUP(D247,[1]nairu_estimates_v6!$A$2:$A$265,[1]nairu_estimates_v6!$V$2:$V$265)</f>
        <v>79.094241137507296</v>
      </c>
      <c r="G247">
        <v>25426675.908208977</v>
      </c>
      <c r="H247">
        <f t="shared" si="93"/>
        <v>11.518474196904533</v>
      </c>
      <c r="I247">
        <f t="shared" si="94"/>
        <v>79.30276415406631</v>
      </c>
      <c r="J247">
        <f t="shared" si="95"/>
        <v>25421666.731585208</v>
      </c>
      <c r="M247">
        <v>77.721900000000005</v>
      </c>
      <c r="N247">
        <f t="shared" si="96"/>
        <v>77.909300000000002</v>
      </c>
      <c r="O247">
        <v>22703265.618170898</v>
      </c>
    </row>
    <row r="248" spans="2:15" x14ac:dyDescent="0.3">
      <c r="B248">
        <f t="shared" si="97"/>
        <v>2024</v>
      </c>
      <c r="C248">
        <f t="shared" si="98"/>
        <v>4</v>
      </c>
      <c r="D248" s="1">
        <f t="shared" si="99"/>
        <v>45383</v>
      </c>
      <c r="E248">
        <f>_xlfn.XLOOKUP(D248,[1]nairu_estimates_v6!$A$2:$A$265,[1]nairu_estimates_v6!$P$2:$P$265)</f>
        <v>11.280974486026199</v>
      </c>
      <c r="F248">
        <f>_xlfn.XLOOKUP(D248,[1]nairu_estimates_v6!$A$2:$A$265,[1]nairu_estimates_v6!$V$2:$V$265)</f>
        <v>79.0535873799288</v>
      </c>
      <c r="G248">
        <v>25598228.191126622</v>
      </c>
      <c r="H248">
        <f t="shared" si="93"/>
        <v>0</v>
      </c>
      <c r="I248">
        <f t="shared" si="94"/>
        <v>0</v>
      </c>
      <c r="J248">
        <f t="shared" si="95"/>
        <v>0</v>
      </c>
      <c r="M248">
        <v>78.9285</v>
      </c>
      <c r="N248">
        <f t="shared" si="96"/>
        <v>0</v>
      </c>
      <c r="O248">
        <v>22885142.030680101</v>
      </c>
    </row>
    <row r="249" spans="2:15" x14ac:dyDescent="0.3">
      <c r="B249">
        <f t="shared" si="97"/>
        <v>2024</v>
      </c>
      <c r="C249">
        <f t="shared" si="98"/>
        <v>5</v>
      </c>
      <c r="D249" s="1">
        <f t="shared" si="99"/>
        <v>45413</v>
      </c>
      <c r="E249">
        <f>_xlfn.XLOOKUP(D249,[1]nairu_estimates_v6!$A$2:$A$265,[1]nairu_estimates_v6!$P$2:$P$265)</f>
        <v>11.1814981698581</v>
      </c>
      <c r="F249">
        <f>_xlfn.XLOOKUP(D249,[1]nairu_estimates_v6!$A$2:$A$265,[1]nairu_estimates_v6!$V$2:$V$265)</f>
        <v>78.822058303112897</v>
      </c>
      <c r="G249">
        <v>25638659.767627709</v>
      </c>
      <c r="H249">
        <f t="shared" si="93"/>
        <v>0</v>
      </c>
      <c r="I249">
        <f t="shared" si="94"/>
        <v>0</v>
      </c>
      <c r="J249">
        <f t="shared" si="95"/>
        <v>0</v>
      </c>
      <c r="M249">
        <v>78.631200000000007</v>
      </c>
      <c r="N249">
        <f t="shared" si="96"/>
        <v>0</v>
      </c>
      <c r="O249">
        <v>23022245.459174</v>
      </c>
    </row>
    <row r="250" spans="2:15" x14ac:dyDescent="0.3">
      <c r="B250">
        <f t="shared" si="97"/>
        <v>2024</v>
      </c>
      <c r="C250">
        <f t="shared" si="98"/>
        <v>6</v>
      </c>
      <c r="D250" s="1">
        <f t="shared" si="99"/>
        <v>45444</v>
      </c>
      <c r="E250">
        <f>_xlfn.XLOOKUP(D250,[1]nairu_estimates_v6!$A$2:$A$265,[1]nairu_estimates_v6!$P$2:$P$265)</f>
        <v>11.093365517402001</v>
      </c>
      <c r="F250">
        <f>_xlfn.XLOOKUP(D250,[1]nairu_estimates_v6!$A$2:$A$265,[1]nairu_estimates_v6!$V$2:$V$265)</f>
        <v>78.680555222142402</v>
      </c>
      <c r="G250">
        <v>25575829.191537999</v>
      </c>
      <c r="H250">
        <f t="shared" si="93"/>
        <v>11.185279391095433</v>
      </c>
      <c r="I250">
        <f t="shared" si="94"/>
        <v>78.852066968394695</v>
      </c>
      <c r="J250">
        <f t="shared" si="95"/>
        <v>25604239.050097447</v>
      </c>
      <c r="M250">
        <v>78.740799999999993</v>
      </c>
      <c r="N250">
        <f t="shared" si="96"/>
        <v>78.766833333333338</v>
      </c>
      <c r="O250">
        <v>22910728.640696898</v>
      </c>
    </row>
    <row r="251" spans="2:15" x14ac:dyDescent="0.3">
      <c r="B251">
        <f t="shared" si="97"/>
        <v>2024</v>
      </c>
      <c r="C251">
        <f t="shared" si="98"/>
        <v>7</v>
      </c>
      <c r="D251" s="1">
        <f t="shared" si="99"/>
        <v>45474</v>
      </c>
      <c r="E251">
        <f>_xlfn.XLOOKUP(D251,[1]nairu_estimates_v6!$A$2:$A$265,[1]nairu_estimates_v6!$P$2:$P$265)</f>
        <v>11.010441816223601</v>
      </c>
      <c r="F251">
        <f>_xlfn.XLOOKUP(D251,[1]nairu_estimates_v6!$A$2:$A$265,[1]nairu_estimates_v6!$V$2:$V$265)</f>
        <v>78.714105599306393</v>
      </c>
      <c r="G251">
        <v>25659341.532447949</v>
      </c>
      <c r="H251">
        <f t="shared" si="93"/>
        <v>0</v>
      </c>
      <c r="I251">
        <f t="shared" si="94"/>
        <v>0</v>
      </c>
      <c r="J251">
        <f t="shared" si="95"/>
        <v>0</v>
      </c>
      <c r="M251">
        <v>78.935000000000002</v>
      </c>
      <c r="N251">
        <f t="shared" si="96"/>
        <v>0</v>
      </c>
      <c r="O251">
        <v>23070973.7694217</v>
      </c>
    </row>
    <row r="252" spans="2:15" x14ac:dyDescent="0.3">
      <c r="B252">
        <f t="shared" si="97"/>
        <v>2024</v>
      </c>
      <c r="C252">
        <f t="shared" si="98"/>
        <v>8</v>
      </c>
      <c r="D252" s="1">
        <f t="shared" si="99"/>
        <v>45505</v>
      </c>
      <c r="E252">
        <f>_xlfn.XLOOKUP(D252,[1]nairu_estimates_v6!$A$2:$A$265,[1]nairu_estimates_v6!$P$2:$P$265)</f>
        <v>10.9326295451459</v>
      </c>
      <c r="F252">
        <f>_xlfn.XLOOKUP(D252,[1]nairu_estimates_v6!$A$2:$A$265,[1]nairu_estimates_v6!$V$2:$V$265)</f>
        <v>78.707013072200098</v>
      </c>
      <c r="G252">
        <v>25936336.16610077</v>
      </c>
      <c r="H252">
        <f t="shared" si="93"/>
        <v>0</v>
      </c>
      <c r="I252">
        <f t="shared" si="94"/>
        <v>0</v>
      </c>
      <c r="J252">
        <f t="shared" si="95"/>
        <v>0</v>
      </c>
      <c r="M252">
        <v>78.299099999999996</v>
      </c>
      <c r="N252">
        <f t="shared" si="96"/>
        <v>0</v>
      </c>
      <c r="O252">
        <v>23320012.057078902</v>
      </c>
    </row>
    <row r="253" spans="2:15" x14ac:dyDescent="0.3">
      <c r="B253">
        <f t="shared" si="97"/>
        <v>2024</v>
      </c>
      <c r="C253">
        <f t="shared" si="98"/>
        <v>9</v>
      </c>
      <c r="D253" s="1">
        <f t="shared" si="99"/>
        <v>45536</v>
      </c>
      <c r="E253">
        <f>_xlfn.XLOOKUP(D253,[1]nairu_estimates_v6!$A$2:$A$265,[1]nairu_estimates_v6!$P$2:$P$265)</f>
        <v>10.861838446243</v>
      </c>
      <c r="F253">
        <f>_xlfn.XLOOKUP(D253,[1]nairu_estimates_v6!$A$2:$A$265,[1]nairu_estimates_v6!$V$2:$V$265)</f>
        <v>78.710801794609907</v>
      </c>
      <c r="G253">
        <v>25650203.73679338</v>
      </c>
      <c r="H253">
        <f t="shared" si="93"/>
        <v>10.934969935870834</v>
      </c>
      <c r="I253">
        <f t="shared" si="94"/>
        <v>78.710640155372133</v>
      </c>
      <c r="J253">
        <f t="shared" si="95"/>
        <v>25748627.145114034</v>
      </c>
      <c r="M253">
        <v>78.835300000000004</v>
      </c>
      <c r="N253">
        <f t="shared" si="96"/>
        <v>78.689800000000005</v>
      </c>
      <c r="O253">
        <v>23116476.6327032</v>
      </c>
    </row>
    <row r="254" spans="2:15" x14ac:dyDescent="0.3">
      <c r="B254">
        <f t="shared" si="97"/>
        <v>2024</v>
      </c>
      <c r="C254">
        <f t="shared" si="98"/>
        <v>10</v>
      </c>
      <c r="D254" s="1">
        <f t="shared" si="99"/>
        <v>45566</v>
      </c>
      <c r="E254">
        <f>_xlfn.XLOOKUP(D254,[1]nairu_estimates_v6!$A$2:$A$265,[1]nairu_estimates_v6!$P$2:$P$265)</f>
        <v>10.7910561508599</v>
      </c>
      <c r="F254">
        <f>_xlfn.XLOOKUP(D254,[1]nairu_estimates_v6!$A$2:$A$265,[1]nairu_estimates_v6!$V$2:$V$265)</f>
        <v>78.740534794950094</v>
      </c>
      <c r="G254">
        <v>25665044.368791386</v>
      </c>
      <c r="H254">
        <f t="shared" si="93"/>
        <v>0</v>
      </c>
      <c r="I254">
        <f t="shared" si="94"/>
        <v>0</v>
      </c>
      <c r="J254">
        <f t="shared" si="95"/>
        <v>0</v>
      </c>
      <c r="M254">
        <v>76.496899999999997</v>
      </c>
      <c r="N254">
        <f t="shared" si="96"/>
        <v>0</v>
      </c>
      <c r="O254">
        <v>23120929.232336</v>
      </c>
    </row>
    <row r="255" spans="2:15" x14ac:dyDescent="0.3">
      <c r="B255">
        <f t="shared" si="97"/>
        <v>2024</v>
      </c>
      <c r="C255">
        <f t="shared" si="98"/>
        <v>11</v>
      </c>
      <c r="D255" s="1">
        <f t="shared" si="99"/>
        <v>45597</v>
      </c>
      <c r="E255">
        <f>_xlfn.XLOOKUP(D255,[1]nairu_estimates_v6!$A$2:$A$265,[1]nairu_estimates_v6!$P$2:$P$265)</f>
        <v>10.726438220247999</v>
      </c>
      <c r="F255">
        <f>_xlfn.XLOOKUP(D255,[1]nairu_estimates_v6!$A$2:$A$265,[1]nairu_estimates_v6!$V$2:$V$265)</f>
        <v>78.683685183163306</v>
      </c>
      <c r="G255">
        <v>25710300.37388308</v>
      </c>
      <c r="H255">
        <f t="shared" si="93"/>
        <v>0</v>
      </c>
      <c r="I255">
        <f t="shared" si="94"/>
        <v>0</v>
      </c>
      <c r="J255">
        <f t="shared" si="95"/>
        <v>0</v>
      </c>
      <c r="M255">
        <v>79.113399999999999</v>
      </c>
      <c r="N255">
        <f t="shared" si="96"/>
        <v>0</v>
      </c>
      <c r="O255">
        <v>23256609.073465303</v>
      </c>
    </row>
    <row r="256" spans="2:15" x14ac:dyDescent="0.3">
      <c r="B256">
        <f t="shared" si="97"/>
        <v>2024</v>
      </c>
      <c r="C256">
        <f t="shared" si="98"/>
        <v>12</v>
      </c>
      <c r="D256" s="1">
        <f t="shared" si="99"/>
        <v>45627</v>
      </c>
      <c r="E256">
        <f>_xlfn.XLOOKUP(D256,[1]nairu_estimates_v6!$A$2:$A$265,[1]nairu_estimates_v6!$P$2:$P$265)</f>
        <v>10.6622662377873</v>
      </c>
      <c r="F256">
        <f>_xlfn.XLOOKUP(D256,[1]nairu_estimates_v6!$A$2:$A$265,[1]nairu_estimates_v6!$V$2:$V$265)</f>
        <v>78.705559280196596</v>
      </c>
      <c r="G256">
        <v>25987785.43974214</v>
      </c>
      <c r="H256">
        <f t="shared" si="93"/>
        <v>10.726586869631733</v>
      </c>
      <c r="I256">
        <f t="shared" si="94"/>
        <v>78.70992641943667</v>
      </c>
      <c r="J256">
        <f t="shared" si="95"/>
        <v>25787710.060805541</v>
      </c>
      <c r="M256">
        <v>76.9435</v>
      </c>
      <c r="N256">
        <f t="shared" si="96"/>
        <v>77.517933333333332</v>
      </c>
      <c r="O256">
        <v>23492513.817662701</v>
      </c>
    </row>
    <row r="257" spans="2:15" x14ac:dyDescent="0.3">
      <c r="B257">
        <f t="shared" si="97"/>
        <v>2025</v>
      </c>
      <c r="C257">
        <f t="shared" si="98"/>
        <v>1</v>
      </c>
      <c r="D257" s="1">
        <f t="shared" si="99"/>
        <v>45658</v>
      </c>
      <c r="E257">
        <f>_xlfn.XLOOKUP(D257,[1]nairu_estimates_v6!$A$2:$A$265,[1]nairu_estimates_v6!$P$2:$P$265)</f>
        <v>10.599001566124601</v>
      </c>
      <c r="F257">
        <f>_xlfn.XLOOKUP(D257,[1]nairu_estimates_v6!$A$2:$A$265,[1]nairu_estimates_v6!$V$2:$V$265)</f>
        <v>78.423830037411605</v>
      </c>
      <c r="G257">
        <v>26195456.772755619</v>
      </c>
      <c r="H257">
        <f t="shared" si="93"/>
        <v>0</v>
      </c>
      <c r="I257">
        <f t="shared" si="94"/>
        <v>0</v>
      </c>
      <c r="J257">
        <f t="shared" si="95"/>
        <v>0</v>
      </c>
      <c r="K257" s="6">
        <f>0.0232*B257-44.214</f>
        <v>2.7659999999999982</v>
      </c>
      <c r="L257" s="6">
        <f>D422</f>
        <v>3.6166466700818273E-2</v>
      </c>
      <c r="M257" s="6">
        <v>78.381799999999998</v>
      </c>
      <c r="N257">
        <f t="shared" si="96"/>
        <v>0</v>
      </c>
      <c r="O257">
        <v>23743056.914860301</v>
      </c>
    </row>
    <row r="258" spans="2:15" x14ac:dyDescent="0.3">
      <c r="B258">
        <f t="shared" si="97"/>
        <v>2025</v>
      </c>
      <c r="C258">
        <f t="shared" si="98"/>
        <v>2</v>
      </c>
      <c r="D258" s="1">
        <f t="shared" si="99"/>
        <v>45689</v>
      </c>
      <c r="E258">
        <f>_xlfn.XLOOKUP(D258,[1]nairu_estimates_v6!$A$2:$A$265,[1]nairu_estimates_v6!$P$2:$P$265)</f>
        <v>10.533566038112699</v>
      </c>
      <c r="F258">
        <f>_xlfn.XLOOKUP(D258,[1]nairu_estimates_v6!$A$2:$A$265,[1]nairu_estimates_v6!$V$2:$V$265)</f>
        <v>78.513213376627704</v>
      </c>
      <c r="G258">
        <v>26140852.91352703</v>
      </c>
      <c r="H258">
        <f t="shared" si="93"/>
        <v>0</v>
      </c>
      <c r="I258">
        <f t="shared" si="94"/>
        <v>0</v>
      </c>
      <c r="J258">
        <f t="shared" si="95"/>
        <v>0</v>
      </c>
      <c r="M258">
        <v>79.159800000000004</v>
      </c>
      <c r="N258">
        <f t="shared" si="96"/>
        <v>0</v>
      </c>
      <c r="O258">
        <v>23693198.470465701</v>
      </c>
    </row>
    <row r="259" spans="2:15" x14ac:dyDescent="0.3">
      <c r="B259">
        <f t="shared" si="97"/>
        <v>2025</v>
      </c>
      <c r="C259">
        <f t="shared" si="98"/>
        <v>3</v>
      </c>
      <c r="D259" s="1">
        <f t="shared" si="99"/>
        <v>45717</v>
      </c>
      <c r="E259">
        <f>_xlfn.XLOOKUP(D259,[1]nairu_estimates_v6!$A$2:$A$265,[1]nairu_estimates_v6!$P$2:$P$265)</f>
        <v>10.470633207641299</v>
      </c>
      <c r="F259">
        <f>_xlfn.XLOOKUP(D259,[1]nairu_estimates_v6!$A$2:$A$265,[1]nairu_estimates_v6!$V$2:$V$265)</f>
        <v>78.312385868428706</v>
      </c>
      <c r="G259">
        <v>26132040.169519521</v>
      </c>
      <c r="H259">
        <f t="shared" si="93"/>
        <v>10.5344002706262</v>
      </c>
      <c r="I259">
        <f t="shared" si="94"/>
        <v>78.416476427489329</v>
      </c>
      <c r="J259">
        <f t="shared" si="95"/>
        <v>26156116.618600726</v>
      </c>
      <c r="M259">
        <v>79.928100000000001</v>
      </c>
      <c r="N259">
        <f t="shared" si="96"/>
        <v>79.156566666666677</v>
      </c>
      <c r="O259">
        <v>23751717.870451</v>
      </c>
    </row>
    <row r="260" spans="2:15" x14ac:dyDescent="0.3">
      <c r="B260">
        <f t="shared" si="97"/>
        <v>2025</v>
      </c>
      <c r="C260">
        <f t="shared" si="98"/>
        <v>4</v>
      </c>
      <c r="D260" s="1">
        <f t="shared" si="99"/>
        <v>45748</v>
      </c>
      <c r="E260">
        <f>_xlfn.XLOOKUP(D260,[1]nairu_estimates_v6!$A$2:$A$265,[1]nairu_estimates_v6!$P$2:$P$265)</f>
        <v>10.4139461303351</v>
      </c>
      <c r="F260">
        <f>_xlfn.XLOOKUP(D260,[1]nairu_estimates_v6!$A$2:$A$265,[1]nairu_estimates_v6!$V$2:$V$265)</f>
        <v>78.320884461979603</v>
      </c>
      <c r="G260">
        <v>25868774.069252621</v>
      </c>
      <c r="H260">
        <f t="shared" si="93"/>
        <v>0</v>
      </c>
      <c r="I260">
        <f t="shared" si="94"/>
        <v>0</v>
      </c>
      <c r="J260">
        <f t="shared" si="95"/>
        <v>0</v>
      </c>
      <c r="M260">
        <v>79.864500000000007</v>
      </c>
      <c r="N260">
        <f t="shared" si="96"/>
        <v>0</v>
      </c>
      <c r="O260">
        <v>23596955.1787927</v>
      </c>
    </row>
    <row r="261" spans="2:15" x14ac:dyDescent="0.3">
      <c r="B261">
        <f t="shared" si="97"/>
        <v>2025</v>
      </c>
      <c r="C261">
        <f t="shared" si="98"/>
        <v>5</v>
      </c>
      <c r="D261" s="1">
        <f t="shared" si="99"/>
        <v>45778</v>
      </c>
      <c r="E261">
        <f>_xlfn.XLOOKUP(D261,[1]nairu_estimates_v6!$A$2:$A$265,[1]nairu_estimates_v6!$P$2:$P$265)</f>
        <v>10.3533920923308</v>
      </c>
      <c r="F261">
        <f>_xlfn.XLOOKUP(D261,[1]nairu_estimates_v6!$A$2:$A$265,[1]nairu_estimates_v6!$V$2:$V$265)</f>
        <v>78.431206669006002</v>
      </c>
      <c r="G261">
        <v>25943380.799443148</v>
      </c>
      <c r="H261">
        <f t="shared" ref="H261:H324" si="100">IF(OR(C261=3,C261=6,C261=9,C261=12),AVERAGE(E259:E261),0)</f>
        <v>0</v>
      </c>
      <c r="I261">
        <f t="shared" ref="I261:I324" si="101">IF(OR(C261=3,C261=6,C261=9,C261=12),AVERAGE(F259:F261),0)</f>
        <v>0</v>
      </c>
      <c r="J261">
        <f t="shared" si="95"/>
        <v>0</v>
      </c>
      <c r="M261">
        <v>79.120099999999994</v>
      </c>
      <c r="N261">
        <f t="shared" si="96"/>
        <v>0</v>
      </c>
      <c r="O261">
        <v>23614064.968696799</v>
      </c>
    </row>
    <row r="262" spans="2:15" x14ac:dyDescent="0.3">
      <c r="B262">
        <f t="shared" si="97"/>
        <v>2025</v>
      </c>
      <c r="C262">
        <f t="shared" si="98"/>
        <v>6</v>
      </c>
      <c r="D262" s="1">
        <f t="shared" si="99"/>
        <v>45809</v>
      </c>
      <c r="E262">
        <f>_xlfn.XLOOKUP(D262,[1]nairu_estimates_v6!$A$2:$A$265,[1]nairu_estimates_v6!$P$2:$P$265)</f>
        <v>10.2933325000915</v>
      </c>
      <c r="F262">
        <f>_xlfn.XLOOKUP(D262,[1]nairu_estimates_v6!$A$2:$A$265,[1]nairu_estimates_v6!$V$2:$V$265)</f>
        <v>78.623856565158107</v>
      </c>
      <c r="G262">
        <v>25996207.089886863</v>
      </c>
      <c r="H262">
        <f t="shared" si="100"/>
        <v>10.3535569075858</v>
      </c>
      <c r="I262">
        <f t="shared" si="101"/>
        <v>78.458649232047904</v>
      </c>
      <c r="J262">
        <f t="shared" ref="J262:J280" si="102">IF(OR(C262=3,C262=6,C262=9,C262=12),AVERAGE(G260:G262),0)</f>
        <v>25936120.652860876</v>
      </c>
      <c r="M262">
        <v>80.375799999999998</v>
      </c>
      <c r="N262">
        <f t="shared" ref="N262:N280" si="103">IF(OR(C262=3,C262=6,C262=9,C262=12),AVERAGE(M260:M262),0)</f>
        <v>79.786799999999999</v>
      </c>
      <c r="O262">
        <v>23717925.032896601</v>
      </c>
    </row>
    <row r="263" spans="2:15" x14ac:dyDescent="0.3">
      <c r="B263">
        <f t="shared" si="97"/>
        <v>2025</v>
      </c>
      <c r="C263">
        <f t="shared" si="98"/>
        <v>7</v>
      </c>
      <c r="D263" s="1">
        <f t="shared" si="99"/>
        <v>45839</v>
      </c>
      <c r="E263">
        <f>_xlfn.XLOOKUP(D263,[1]nairu_estimates_v6!$A$2:$A$265,[1]nairu_estimates_v6!$P$2:$P$265)</f>
        <v>10.236961818702399</v>
      </c>
      <c r="F263">
        <f>_xlfn.XLOOKUP(D263,[1]nairu_estimates_v6!$A$2:$A$265,[1]nairu_estimates_v6!$V$2:$V$265)</f>
        <v>78.782682277608501</v>
      </c>
      <c r="G263">
        <v>26172500.685300931</v>
      </c>
      <c r="H263">
        <f t="shared" si="100"/>
        <v>0</v>
      </c>
      <c r="I263">
        <f t="shared" si="101"/>
        <v>0</v>
      </c>
      <c r="J263">
        <f t="shared" si="102"/>
        <v>0</v>
      </c>
      <c r="M263">
        <v>78.568200000000004</v>
      </c>
      <c r="N263">
        <f t="shared" si="103"/>
        <v>0</v>
      </c>
      <c r="O263">
        <v>23811981.217276301</v>
      </c>
    </row>
    <row r="264" spans="2:15" x14ac:dyDescent="0.3">
      <c r="B264">
        <f t="shared" si="97"/>
        <v>2025</v>
      </c>
      <c r="C264">
        <f t="shared" si="98"/>
        <v>8</v>
      </c>
      <c r="D264" s="1">
        <f t="shared" si="99"/>
        <v>45870</v>
      </c>
      <c r="E264">
        <f>_xlfn.XLOOKUP(D264,[1]nairu_estimates_v6!$A$2:$A$265,[1]nairu_estimates_v6!$P$2:$P$265)</f>
        <v>10.1836640690178</v>
      </c>
      <c r="F264">
        <f>_xlfn.XLOOKUP(D264,[1]nairu_estimates_v6!$A$2:$A$265,[1]nairu_estimates_v6!$V$2:$V$265)</f>
        <v>78.826590113669198</v>
      </c>
      <c r="G264">
        <v>26051032.900439288</v>
      </c>
      <c r="H264">
        <f t="shared" si="100"/>
        <v>0</v>
      </c>
      <c r="I264">
        <f t="shared" si="101"/>
        <v>0</v>
      </c>
      <c r="J264">
        <f t="shared" si="102"/>
        <v>0</v>
      </c>
      <c r="M264">
        <v>79.867400000000004</v>
      </c>
      <c r="N264">
        <f t="shared" si="103"/>
        <v>0</v>
      </c>
      <c r="O264">
        <v>23709248.959743001</v>
      </c>
    </row>
    <row r="265" spans="2:15" x14ac:dyDescent="0.3">
      <c r="B265">
        <f t="shared" si="97"/>
        <v>2025</v>
      </c>
      <c r="C265">
        <f t="shared" si="98"/>
        <v>9</v>
      </c>
      <c r="D265" s="1">
        <f t="shared" si="99"/>
        <v>45901</v>
      </c>
      <c r="E265">
        <f>_xlfn.XLOOKUP(D265,[1]nairu_estimates_v6!$A$2:$A$265,[1]nairu_estimates_v6!$P$2:$P$265)</f>
        <v>10.134073342572201</v>
      </c>
      <c r="F265">
        <f>_xlfn.XLOOKUP(D265,[1]nairu_estimates_v6!$A$2:$A$265,[1]nairu_estimates_v6!$V$2:$V$265)</f>
        <v>79.025722614616498</v>
      </c>
      <c r="G265">
        <v>26145928.325274982</v>
      </c>
      <c r="H265">
        <f t="shared" si="100"/>
        <v>10.184899743430799</v>
      </c>
      <c r="I265">
        <f t="shared" si="101"/>
        <v>78.878331668631404</v>
      </c>
      <c r="J265">
        <f t="shared" si="102"/>
        <v>26123153.970338404</v>
      </c>
      <c r="M265">
        <v>79.679400000000001</v>
      </c>
      <c r="N265">
        <f t="shared" si="103"/>
        <v>79.37166666666667</v>
      </c>
      <c r="O265">
        <v>23834414.1963346</v>
      </c>
    </row>
    <row r="266" spans="2:15" x14ac:dyDescent="0.3">
      <c r="B266">
        <f t="shared" si="97"/>
        <v>2025</v>
      </c>
      <c r="C266">
        <f t="shared" si="98"/>
        <v>10</v>
      </c>
      <c r="D266" s="1">
        <f t="shared" si="99"/>
        <v>45931</v>
      </c>
      <c r="E266">
        <f>_xlfn.XLOOKUP(D266,[1]nairu_estimates_v6!$A$2:$A$265,[1]nairu_estimates_v6!$P$2:$P$265)</f>
        <v>10.085521142966501</v>
      </c>
      <c r="F266">
        <f>_xlfn.XLOOKUP(D266,[1]nairu_estimates_v6!$A$2:$A$265,[1]nairu_estimates_v6!$V$2:$V$265)</f>
        <v>78.965498132187605</v>
      </c>
      <c r="G266">
        <v>26458185.137046371</v>
      </c>
      <c r="H266">
        <f t="shared" si="100"/>
        <v>0</v>
      </c>
      <c r="I266">
        <f t="shared" si="101"/>
        <v>0</v>
      </c>
      <c r="J266">
        <f t="shared" si="102"/>
        <v>0</v>
      </c>
      <c r="M266">
        <v>77.472899999999996</v>
      </c>
      <c r="N266">
        <f t="shared" si="103"/>
        <v>0</v>
      </c>
      <c r="O266">
        <v>24104915.691935901</v>
      </c>
    </row>
    <row r="267" spans="2:15" x14ac:dyDescent="0.3">
      <c r="B267">
        <f t="shared" si="97"/>
        <v>2025</v>
      </c>
      <c r="C267">
        <f t="shared" si="98"/>
        <v>11</v>
      </c>
      <c r="D267" s="1">
        <f t="shared" si="99"/>
        <v>45962</v>
      </c>
      <c r="E267">
        <f>_xlfn.XLOOKUP(D267,[1]nairu_estimates_v6!$A$2:$A$265,[1]nairu_estimates_v6!$P$2:$P$265)</f>
        <v>10.0358168249586</v>
      </c>
      <c r="F267">
        <f>_xlfn.XLOOKUP(D267,[1]nairu_estimates_v6!$A$2:$A$265,[1]nairu_estimates_v6!$V$2:$V$265)</f>
        <v>79.084244458729302</v>
      </c>
      <c r="G267">
        <v>26419425.546379469</v>
      </c>
      <c r="H267">
        <f t="shared" si="100"/>
        <v>0</v>
      </c>
      <c r="I267">
        <f t="shared" si="101"/>
        <v>0</v>
      </c>
      <c r="J267">
        <f t="shared" si="102"/>
        <v>0</v>
      </c>
      <c r="N267">
        <f t="shared" si="103"/>
        <v>0</v>
      </c>
      <c r="O267">
        <v>24235494.270052802</v>
      </c>
    </row>
    <row r="268" spans="2:15" x14ac:dyDescent="0.3">
      <c r="B268">
        <f t="shared" si="97"/>
        <v>2025</v>
      </c>
      <c r="C268">
        <f t="shared" si="98"/>
        <v>12</v>
      </c>
      <c r="D268" s="1">
        <f t="shared" si="99"/>
        <v>45992</v>
      </c>
      <c r="E268">
        <f>_xlfn.XLOOKUP(D268,[1]nairu_estimates_v6!$A$2:$A$265,[1]nairu_estimates_v6!$P$2:$P$265)</f>
        <v>9.9840874856885495</v>
      </c>
      <c r="F268">
        <f>_xlfn.XLOOKUP(D268,[1]nairu_estimates_v6!$A$2:$A$265,[1]nairu_estimates_v6!$V$2:$V$265)</f>
        <v>79.158608828817506</v>
      </c>
      <c r="G268">
        <v>26316755.59117417</v>
      </c>
      <c r="H268">
        <f t="shared" si="100"/>
        <v>10.035141817871216</v>
      </c>
      <c r="I268">
        <f t="shared" si="101"/>
        <v>79.0694504732448</v>
      </c>
      <c r="J268">
        <f t="shared" si="102"/>
        <v>26398122.091533337</v>
      </c>
      <c r="N268">
        <f t="shared" si="103"/>
        <v>77.472899999999996</v>
      </c>
      <c r="O268">
        <v>24116227.228494298</v>
      </c>
    </row>
    <row r="269" spans="2:15" x14ac:dyDescent="0.3">
      <c r="B269">
        <f t="shared" si="97"/>
        <v>2026</v>
      </c>
      <c r="C269">
        <f t="shared" si="98"/>
        <v>1</v>
      </c>
      <c r="D269" s="1">
        <f t="shared" si="99"/>
        <v>46023</v>
      </c>
      <c r="E269" t="e">
        <f>_xlfn.XLOOKUP(D269,[1]nairu_estimates_v6!$A$2:$A$265,[1]nairu_estimates_v6!$P$2:$P$265)</f>
        <v>#N/A</v>
      </c>
      <c r="F269" t="e">
        <f>_xlfn.XLOOKUP(D269,[1]nairu_estimates_v6!$A$2:$A$265,[1]nairu_estimates_v6!$V$2:$V$265)</f>
        <v>#N/A</v>
      </c>
      <c r="G269">
        <v>26372885.667459313</v>
      </c>
      <c r="H269">
        <f t="shared" si="100"/>
        <v>0</v>
      </c>
      <c r="I269">
        <f t="shared" si="101"/>
        <v>0</v>
      </c>
      <c r="J269">
        <f t="shared" si="102"/>
        <v>0</v>
      </c>
      <c r="K269" s="6">
        <f>0.0232*B269-44.214</f>
        <v>2.789200000000001</v>
      </c>
      <c r="L269" s="6">
        <f>D423</f>
        <v>3.626961543821236E-2</v>
      </c>
      <c r="M269" s="6"/>
      <c r="N269">
        <f t="shared" si="103"/>
        <v>0</v>
      </c>
      <c r="O269">
        <v>24076628.195689403</v>
      </c>
    </row>
    <row r="270" spans="2:15" x14ac:dyDescent="0.3">
      <c r="B270">
        <f t="shared" si="97"/>
        <v>2026</v>
      </c>
      <c r="C270">
        <f t="shared" si="98"/>
        <v>2</v>
      </c>
      <c r="D270" s="1">
        <f t="shared" si="99"/>
        <v>46054</v>
      </c>
      <c r="E270" t="e">
        <f>_xlfn.XLOOKUP(D270,[1]nairu_estimates_v6!$A$2:$A$265,[1]nairu_estimates_v6!$P$2:$P$265)</f>
        <v>#N/A</v>
      </c>
      <c r="F270" t="e">
        <f>_xlfn.XLOOKUP(D270,[1]nairu_estimates_v6!$A$2:$A$265,[1]nairu_estimates_v6!$V$2:$V$265)</f>
        <v>#N/A</v>
      </c>
      <c r="G270">
        <v>26549886.779183019</v>
      </c>
      <c r="H270">
        <f t="shared" si="100"/>
        <v>0</v>
      </c>
      <c r="I270">
        <f t="shared" si="101"/>
        <v>0</v>
      </c>
      <c r="J270">
        <f t="shared" si="102"/>
        <v>0</v>
      </c>
      <c r="N270">
        <f t="shared" si="103"/>
        <v>0</v>
      </c>
      <c r="O270">
        <v>24331053.8853909</v>
      </c>
    </row>
    <row r="271" spans="2:15" x14ac:dyDescent="0.3">
      <c r="B271">
        <f t="shared" si="97"/>
        <v>2026</v>
      </c>
      <c r="C271">
        <f t="shared" si="98"/>
        <v>3</v>
      </c>
      <c r="D271" s="1">
        <f t="shared" si="99"/>
        <v>46082</v>
      </c>
      <c r="E271" t="e">
        <f>_xlfn.XLOOKUP(D271,[1]nairu_estimates_v6!$A$2:$A$265,[1]nairu_estimates_v6!$P$2:$P$265)</f>
        <v>#N/A</v>
      </c>
      <c r="F271" t="e">
        <f>_xlfn.XLOOKUP(D271,[1]nairu_estimates_v6!$A$2:$A$265,[1]nairu_estimates_v6!$V$2:$V$265)</f>
        <v>#N/A</v>
      </c>
      <c r="G271">
        <v>26607651.729959093</v>
      </c>
      <c r="H271" t="e">
        <f t="shared" si="100"/>
        <v>#N/A</v>
      </c>
      <c r="I271" t="e">
        <f t="shared" si="101"/>
        <v>#N/A</v>
      </c>
      <c r="J271">
        <f t="shared" si="102"/>
        <v>26510141.392200474</v>
      </c>
      <c r="N271" t="e">
        <f t="shared" si="103"/>
        <v>#DIV/0!</v>
      </c>
      <c r="O271">
        <v>24391141.014392599</v>
      </c>
    </row>
    <row r="272" spans="2:15" x14ac:dyDescent="0.3">
      <c r="B272">
        <f t="shared" si="97"/>
        <v>2026</v>
      </c>
      <c r="C272">
        <f t="shared" si="98"/>
        <v>4</v>
      </c>
      <c r="D272" s="1">
        <f t="shared" si="99"/>
        <v>46113</v>
      </c>
      <c r="E272" t="e">
        <f>_xlfn.XLOOKUP(D272,[1]nairu_estimates_v6!$A$2:$A$265,[1]nairu_estimates_v6!$P$2:$P$265)</f>
        <v>#N/A</v>
      </c>
      <c r="F272" t="e">
        <f>_xlfn.XLOOKUP(D272,[1]nairu_estimates_v6!$A$2:$A$265,[1]nairu_estimates_v6!$V$2:$V$265)</f>
        <v>#N/A</v>
      </c>
      <c r="H272">
        <f t="shared" si="100"/>
        <v>0</v>
      </c>
      <c r="I272">
        <f t="shared" si="101"/>
        <v>0</v>
      </c>
      <c r="J272">
        <f t="shared" si="102"/>
        <v>0</v>
      </c>
      <c r="N272">
        <f t="shared" si="103"/>
        <v>0</v>
      </c>
    </row>
    <row r="273" spans="2:14" x14ac:dyDescent="0.3">
      <c r="B273">
        <f t="shared" si="97"/>
        <v>2026</v>
      </c>
      <c r="C273">
        <f t="shared" si="98"/>
        <v>5</v>
      </c>
      <c r="D273" s="1">
        <f t="shared" si="99"/>
        <v>46143</v>
      </c>
      <c r="E273" t="e">
        <f>_xlfn.XLOOKUP(D273,[1]nairu_estimates_v6!$A$2:$A$265,[1]nairu_estimates_v6!$P$2:$P$265)</f>
        <v>#N/A</v>
      </c>
      <c r="F273" t="e">
        <f>_xlfn.XLOOKUP(D273,[1]nairu_estimates_v6!$A$2:$A$265,[1]nairu_estimates_v6!$V$2:$V$265)</f>
        <v>#N/A</v>
      </c>
      <c r="H273">
        <f t="shared" si="100"/>
        <v>0</v>
      </c>
      <c r="I273">
        <f t="shared" si="101"/>
        <v>0</v>
      </c>
      <c r="J273">
        <f t="shared" si="102"/>
        <v>0</v>
      </c>
      <c r="N273">
        <f t="shared" si="103"/>
        <v>0</v>
      </c>
    </row>
    <row r="274" spans="2:14" x14ac:dyDescent="0.3">
      <c r="B274">
        <f t="shared" si="97"/>
        <v>2026</v>
      </c>
      <c r="C274">
        <f t="shared" si="98"/>
        <v>6</v>
      </c>
      <c r="D274" s="1">
        <f t="shared" si="99"/>
        <v>46174</v>
      </c>
      <c r="E274" t="e">
        <f>_xlfn.XLOOKUP(D274,[1]nairu_estimates_v6!$A$2:$A$265,[1]nairu_estimates_v6!$P$2:$P$265)</f>
        <v>#N/A</v>
      </c>
      <c r="F274" t="e">
        <f>_xlfn.XLOOKUP(D274,[1]nairu_estimates_v6!$A$2:$A$265,[1]nairu_estimates_v6!$V$2:$V$265)</f>
        <v>#N/A</v>
      </c>
      <c r="H274" t="e">
        <f t="shared" si="100"/>
        <v>#N/A</v>
      </c>
      <c r="I274" t="e">
        <f t="shared" si="101"/>
        <v>#N/A</v>
      </c>
      <c r="J274" t="e">
        <f t="shared" si="102"/>
        <v>#DIV/0!</v>
      </c>
      <c r="N274" t="e">
        <f t="shared" si="103"/>
        <v>#DIV/0!</v>
      </c>
    </row>
    <row r="275" spans="2:14" x14ac:dyDescent="0.3">
      <c r="B275">
        <f t="shared" si="97"/>
        <v>2026</v>
      </c>
      <c r="C275">
        <f t="shared" si="98"/>
        <v>7</v>
      </c>
      <c r="D275" s="1">
        <f t="shared" si="99"/>
        <v>46204</v>
      </c>
      <c r="E275" t="e">
        <f>_xlfn.XLOOKUP(D275,[1]nairu_estimates_v6!$A$2:$A$265,[1]nairu_estimates_v6!$P$2:$P$265)</f>
        <v>#N/A</v>
      </c>
      <c r="F275" t="e">
        <f>_xlfn.XLOOKUP(D275,[1]nairu_estimates_v6!$A$2:$A$265,[1]nairu_estimates_v6!$V$2:$V$265)</f>
        <v>#N/A</v>
      </c>
      <c r="H275">
        <f t="shared" si="100"/>
        <v>0</v>
      </c>
      <c r="I275">
        <f t="shared" si="101"/>
        <v>0</v>
      </c>
      <c r="J275">
        <f t="shared" si="102"/>
        <v>0</v>
      </c>
      <c r="N275">
        <f t="shared" si="103"/>
        <v>0</v>
      </c>
    </row>
    <row r="276" spans="2:14" x14ac:dyDescent="0.3">
      <c r="B276">
        <f t="shared" si="97"/>
        <v>2026</v>
      </c>
      <c r="C276">
        <f t="shared" si="98"/>
        <v>8</v>
      </c>
      <c r="D276" s="1">
        <f t="shared" si="99"/>
        <v>46235</v>
      </c>
      <c r="E276" t="e">
        <f>_xlfn.XLOOKUP(D276,[1]nairu_estimates_v6!$A$2:$A$265,[1]nairu_estimates_v6!$P$2:$P$265)</f>
        <v>#N/A</v>
      </c>
      <c r="F276" t="e">
        <f>_xlfn.XLOOKUP(D276,[1]nairu_estimates_v6!$A$2:$A$265,[1]nairu_estimates_v6!$V$2:$V$265)</f>
        <v>#N/A</v>
      </c>
      <c r="H276">
        <f t="shared" si="100"/>
        <v>0</v>
      </c>
      <c r="I276">
        <f t="shared" si="101"/>
        <v>0</v>
      </c>
      <c r="J276">
        <f t="shared" si="102"/>
        <v>0</v>
      </c>
      <c r="N276">
        <f t="shared" si="103"/>
        <v>0</v>
      </c>
    </row>
    <row r="277" spans="2:14" x14ac:dyDescent="0.3">
      <c r="B277">
        <f t="shared" si="97"/>
        <v>2026</v>
      </c>
      <c r="C277">
        <f t="shared" si="98"/>
        <v>9</v>
      </c>
      <c r="D277" s="1">
        <f t="shared" si="99"/>
        <v>46266</v>
      </c>
      <c r="E277" t="e">
        <f>_xlfn.XLOOKUP(D277,[1]nairu_estimates_v6!$A$2:$A$265,[1]nairu_estimates_v6!$P$2:$P$265)</f>
        <v>#N/A</v>
      </c>
      <c r="F277" t="e">
        <f>_xlfn.XLOOKUP(D277,[1]nairu_estimates_v6!$A$2:$A$265,[1]nairu_estimates_v6!$V$2:$V$265)</f>
        <v>#N/A</v>
      </c>
      <c r="H277" t="e">
        <f t="shared" si="100"/>
        <v>#N/A</v>
      </c>
      <c r="I277" t="e">
        <f t="shared" si="101"/>
        <v>#N/A</v>
      </c>
      <c r="J277" t="e">
        <f t="shared" si="102"/>
        <v>#DIV/0!</v>
      </c>
      <c r="N277" t="e">
        <f t="shared" si="103"/>
        <v>#DIV/0!</v>
      </c>
    </row>
    <row r="278" spans="2:14" x14ac:dyDescent="0.3">
      <c r="B278">
        <f t="shared" si="97"/>
        <v>2026</v>
      </c>
      <c r="C278">
        <f t="shared" si="98"/>
        <v>10</v>
      </c>
      <c r="D278" s="1">
        <f t="shared" si="99"/>
        <v>46296</v>
      </c>
      <c r="E278" t="e">
        <f>_xlfn.XLOOKUP(D278,[1]nairu_estimates_v6!$A$2:$A$265,[1]nairu_estimates_v6!$P$2:$P$265)</f>
        <v>#N/A</v>
      </c>
      <c r="F278" t="e">
        <f>_xlfn.XLOOKUP(D278,[1]nairu_estimates_v6!$A$2:$A$265,[1]nairu_estimates_v6!$V$2:$V$265)</f>
        <v>#N/A</v>
      </c>
      <c r="H278">
        <f t="shared" si="100"/>
        <v>0</v>
      </c>
      <c r="I278">
        <f t="shared" si="101"/>
        <v>0</v>
      </c>
      <c r="J278">
        <f t="shared" si="102"/>
        <v>0</v>
      </c>
      <c r="N278">
        <f t="shared" si="103"/>
        <v>0</v>
      </c>
    </row>
    <row r="279" spans="2:14" x14ac:dyDescent="0.3">
      <c r="B279">
        <f t="shared" si="97"/>
        <v>2026</v>
      </c>
      <c r="C279">
        <f t="shared" si="98"/>
        <v>11</v>
      </c>
      <c r="D279" s="1">
        <f t="shared" si="99"/>
        <v>46327</v>
      </c>
      <c r="E279" t="e">
        <f>_xlfn.XLOOKUP(D279,[1]nairu_estimates_v6!$A$2:$A$265,[1]nairu_estimates_v6!$P$2:$P$265)</f>
        <v>#N/A</v>
      </c>
      <c r="F279" t="e">
        <f>_xlfn.XLOOKUP(D279,[1]nairu_estimates_v6!$A$2:$A$265,[1]nairu_estimates_v6!$V$2:$V$265)</f>
        <v>#N/A</v>
      </c>
      <c r="H279">
        <f t="shared" si="100"/>
        <v>0</v>
      </c>
      <c r="I279">
        <f t="shared" si="101"/>
        <v>0</v>
      </c>
      <c r="J279">
        <f t="shared" si="102"/>
        <v>0</v>
      </c>
      <c r="N279">
        <f t="shared" si="103"/>
        <v>0</v>
      </c>
    </row>
    <row r="280" spans="2:14" x14ac:dyDescent="0.3">
      <c r="B280">
        <f t="shared" si="97"/>
        <v>2026</v>
      </c>
      <c r="C280">
        <f t="shared" si="98"/>
        <v>12</v>
      </c>
      <c r="D280" s="1">
        <f t="shared" si="99"/>
        <v>46357</v>
      </c>
      <c r="E280" t="e">
        <f>_xlfn.XLOOKUP(D280,[1]nairu_estimates_v6!$A$2:$A$265,[1]nairu_estimates_v6!$P$2:$P$265)</f>
        <v>#N/A</v>
      </c>
      <c r="F280" t="e">
        <f>_xlfn.XLOOKUP(D280,[1]nairu_estimates_v6!$A$2:$A$265,[1]nairu_estimates_v6!$V$2:$V$265)</f>
        <v>#N/A</v>
      </c>
      <c r="H280" t="e">
        <f t="shared" si="100"/>
        <v>#N/A</v>
      </c>
      <c r="I280" t="e">
        <f t="shared" si="101"/>
        <v>#N/A</v>
      </c>
      <c r="J280" t="e">
        <f t="shared" si="102"/>
        <v>#DIV/0!</v>
      </c>
      <c r="N280" t="e">
        <f t="shared" si="103"/>
        <v>#DIV/0!</v>
      </c>
    </row>
    <row r="281" spans="2:14" x14ac:dyDescent="0.3">
      <c r="D281" s="1"/>
    </row>
    <row r="282" spans="2:14" x14ac:dyDescent="0.3">
      <c r="B282" t="s">
        <v>24</v>
      </c>
      <c r="C282" t="s">
        <v>23</v>
      </c>
      <c r="D282" s="1" t="s">
        <v>41</v>
      </c>
    </row>
    <row r="283" spans="2:14" x14ac:dyDescent="0.3">
      <c r="B283" s="5">
        <v>1960</v>
      </c>
      <c r="C283" s="3">
        <v>1.08025991916657</v>
      </c>
      <c r="D283" s="20" cm="1">
        <f t="array" ref="D283:D420">_xlfn.XLOOKUP(B283:B420,[3]Data!$D$2814:$D$2887,[3]Data!$AB$2814:$AB$2887)</f>
        <v>3.0749361962079998E-2</v>
      </c>
    </row>
    <row r="284" spans="2:14" x14ac:dyDescent="0.3">
      <c r="B284" s="5">
        <v>1961</v>
      </c>
      <c r="C284" s="3">
        <v>1.0842691659927399</v>
      </c>
      <c r="D284" s="20">
        <v>3.05878613144159E-2</v>
      </c>
    </row>
    <row r="285" spans="2:14" x14ac:dyDescent="0.3">
      <c r="B285" s="5">
        <v>1962</v>
      </c>
      <c r="C285" s="3">
        <v>1.0882933139801001</v>
      </c>
      <c r="D285" s="20">
        <v>3.03252059966326E-2</v>
      </c>
    </row>
    <row r="286" spans="2:14" x14ac:dyDescent="0.3">
      <c r="B286" s="5">
        <v>1963</v>
      </c>
      <c r="C286" s="3">
        <v>1.0923322439193699</v>
      </c>
      <c r="D286" s="20">
        <v>2.99048591405153E-2</v>
      </c>
    </row>
    <row r="287" spans="2:14" x14ac:dyDescent="0.3">
      <c r="B287" s="5">
        <v>1964</v>
      </c>
      <c r="C287" s="3">
        <v>1.09638631343842</v>
      </c>
      <c r="D287" s="20">
        <v>2.9602816328406299E-2</v>
      </c>
    </row>
    <row r="288" spans="2:14" x14ac:dyDescent="0.3">
      <c r="B288" s="5">
        <v>1965</v>
      </c>
      <c r="C288" s="3">
        <v>1.1004552841186499</v>
      </c>
      <c r="D288" s="20">
        <v>2.9343118891119999E-2</v>
      </c>
    </row>
    <row r="289" spans="2:4" x14ac:dyDescent="0.3">
      <c r="B289" s="5">
        <v>1966</v>
      </c>
      <c r="C289" s="3">
        <v>1.1132552623748799</v>
      </c>
      <c r="D289" s="20">
        <v>2.9123343527316999E-2</v>
      </c>
    </row>
    <row r="290" spans="2:4" x14ac:dyDescent="0.3">
      <c r="B290" s="5">
        <v>1967</v>
      </c>
      <c r="C290" s="3">
        <v>1.12620401382446</v>
      </c>
      <c r="D290" s="20">
        <v>2.8910169377923001E-2</v>
      </c>
    </row>
    <row r="291" spans="2:4" x14ac:dyDescent="0.3">
      <c r="B291" s="5">
        <v>1968</v>
      </c>
      <c r="C291" s="3">
        <v>1.13930332660675</v>
      </c>
      <c r="D291" s="20">
        <v>2.8714239597320598E-2</v>
      </c>
    </row>
    <row r="292" spans="2:4" x14ac:dyDescent="0.3">
      <c r="B292" s="5">
        <v>1969</v>
      </c>
      <c r="C292" s="3">
        <v>1.15255510807037</v>
      </c>
      <c r="D292" s="20">
        <v>2.8684044256806401E-2</v>
      </c>
    </row>
    <row r="293" spans="2:4" x14ac:dyDescent="0.3">
      <c r="B293" s="5">
        <v>1970</v>
      </c>
      <c r="C293" s="3">
        <v>1.1659609079361</v>
      </c>
      <c r="D293" s="20">
        <v>2.88545582443476E-2</v>
      </c>
    </row>
    <row r="294" spans="2:4" x14ac:dyDescent="0.3">
      <c r="B294" s="5">
        <v>1971</v>
      </c>
      <c r="C294" s="3">
        <v>1.1776256561279299</v>
      </c>
      <c r="D294" s="20">
        <v>2.9216967523097999E-2</v>
      </c>
    </row>
    <row r="295" spans="2:4" x14ac:dyDescent="0.3">
      <c r="B295" s="5">
        <v>1972</v>
      </c>
      <c r="C295" s="3">
        <v>1.1894069910049401</v>
      </c>
      <c r="D295" s="20">
        <v>2.9582122340798399E-2</v>
      </c>
    </row>
    <row r="296" spans="2:4" x14ac:dyDescent="0.3">
      <c r="B296" s="5">
        <v>1973</v>
      </c>
      <c r="C296" s="3">
        <v>1.20130634307861</v>
      </c>
      <c r="D296" s="20">
        <v>2.9785281047224998E-2</v>
      </c>
    </row>
    <row r="297" spans="2:4" x14ac:dyDescent="0.3">
      <c r="B297" s="5">
        <v>1974</v>
      </c>
      <c r="C297" s="3">
        <v>1.21332454681396</v>
      </c>
      <c r="D297" s="20">
        <v>2.9921909794211402E-2</v>
      </c>
    </row>
    <row r="298" spans="2:4" x14ac:dyDescent="0.3">
      <c r="B298" s="5">
        <v>1975</v>
      </c>
      <c r="C298" s="3">
        <v>1.22546315193176</v>
      </c>
      <c r="D298" s="20">
        <v>3.0118808150291401E-2</v>
      </c>
    </row>
    <row r="299" spans="2:4" x14ac:dyDescent="0.3">
      <c r="B299" s="5">
        <v>1976</v>
      </c>
      <c r="C299" s="3">
        <v>1.2564957141876201</v>
      </c>
      <c r="D299" s="20">
        <v>3.0409855768084498E-2</v>
      </c>
    </row>
    <row r="300" spans="2:4" x14ac:dyDescent="0.3">
      <c r="B300" s="5">
        <v>1977</v>
      </c>
      <c r="C300" s="3">
        <v>1.28831422328949</v>
      </c>
      <c r="D300" s="20">
        <v>3.0623123049735999E-2</v>
      </c>
    </row>
    <row r="301" spans="2:4" x14ac:dyDescent="0.3">
      <c r="B301" s="5">
        <v>1978</v>
      </c>
      <c r="C301" s="3">
        <v>1.32093834877014</v>
      </c>
      <c r="D301" s="20">
        <v>3.07548400014639E-2</v>
      </c>
    </row>
    <row r="302" spans="2:4" x14ac:dyDescent="0.3">
      <c r="B302" s="5">
        <v>1979</v>
      </c>
      <c r="C302" s="3">
        <v>1.3543887138366699</v>
      </c>
      <c r="D302" s="20">
        <v>3.10240089893341E-2</v>
      </c>
    </row>
    <row r="303" spans="2:4" x14ac:dyDescent="0.3">
      <c r="B303" s="5">
        <v>1980</v>
      </c>
      <c r="C303" s="3">
        <v>1.3886860609054601</v>
      </c>
      <c r="D303" s="20">
        <v>3.1352080404758502E-2</v>
      </c>
    </row>
    <row r="304" spans="2:4" x14ac:dyDescent="0.3">
      <c r="B304" s="5">
        <v>1981</v>
      </c>
      <c r="C304" s="3">
        <v>1.4185416698455799</v>
      </c>
      <c r="D304" s="20">
        <v>3.1636826694011702E-2</v>
      </c>
    </row>
    <row r="305" spans="2:4" x14ac:dyDescent="0.3">
      <c r="B305" s="5">
        <v>1982</v>
      </c>
      <c r="C305" s="3">
        <v>1.4490391016006501</v>
      </c>
      <c r="D305" s="20">
        <v>3.1842038035392803E-2</v>
      </c>
    </row>
    <row r="306" spans="2:4" x14ac:dyDescent="0.3">
      <c r="B306" s="5">
        <v>1983</v>
      </c>
      <c r="C306" s="3">
        <v>1.48019218444824</v>
      </c>
      <c r="D306" s="20">
        <v>3.1869612634181997E-2</v>
      </c>
    </row>
    <row r="307" spans="2:4" x14ac:dyDescent="0.3">
      <c r="B307" s="5">
        <v>1984</v>
      </c>
      <c r="C307" s="3">
        <v>1.5120151042938199</v>
      </c>
      <c r="D307" s="20">
        <v>3.1744997948408099E-2</v>
      </c>
    </row>
    <row r="308" spans="2:4" x14ac:dyDescent="0.3">
      <c r="B308" s="5">
        <v>1985</v>
      </c>
      <c r="C308" s="3">
        <v>1.54452216625214</v>
      </c>
      <c r="D308" s="20">
        <v>3.1453862786293002E-2</v>
      </c>
    </row>
    <row r="309" spans="2:4" x14ac:dyDescent="0.3">
      <c r="B309" s="5">
        <v>1986</v>
      </c>
      <c r="C309" s="3">
        <v>1.5927263498306301</v>
      </c>
      <c r="D309" s="20">
        <v>3.1100137159228301E-2</v>
      </c>
    </row>
    <row r="310" spans="2:4" x14ac:dyDescent="0.3">
      <c r="B310" s="5">
        <v>1987</v>
      </c>
      <c r="C310" s="3">
        <v>1.64243495464325</v>
      </c>
      <c r="D310" s="20">
        <v>3.0944572761654899E-2</v>
      </c>
    </row>
    <row r="311" spans="2:4" x14ac:dyDescent="0.3">
      <c r="B311" s="5">
        <v>1988</v>
      </c>
      <c r="C311" s="3">
        <v>1.6936948299407999</v>
      </c>
      <c r="D311" s="20">
        <v>3.09615023434162E-2</v>
      </c>
    </row>
    <row r="312" spans="2:4" x14ac:dyDescent="0.3">
      <c r="B312" s="5">
        <v>1989</v>
      </c>
      <c r="C312" s="3">
        <v>1.7372694015502901</v>
      </c>
      <c r="D312" s="20">
        <v>3.09768561273813E-2</v>
      </c>
    </row>
    <row r="313" spans="2:4" x14ac:dyDescent="0.3">
      <c r="B313" s="5">
        <v>1990</v>
      </c>
      <c r="C313" s="3">
        <v>1.77798140048981</v>
      </c>
      <c r="D313" s="20">
        <v>3.0966009944677401E-2</v>
      </c>
    </row>
    <row r="314" spans="2:4" x14ac:dyDescent="0.3">
      <c r="B314" s="5">
        <v>1991</v>
      </c>
      <c r="C314" s="3">
        <v>1.80208075046539</v>
      </c>
      <c r="D314" s="20">
        <v>3.0800620093941699E-2</v>
      </c>
    </row>
    <row r="315" spans="2:4" x14ac:dyDescent="0.3">
      <c r="B315" s="5">
        <v>1992</v>
      </c>
      <c r="C315" s="3">
        <v>1.8265067338943499</v>
      </c>
      <c r="D315" s="20">
        <v>3.0539384111762002E-2</v>
      </c>
    </row>
    <row r="316" spans="2:4" x14ac:dyDescent="0.3">
      <c r="B316" s="5">
        <v>1993</v>
      </c>
      <c r="C316" s="3">
        <v>1.85126388072968</v>
      </c>
      <c r="D316" s="20">
        <v>3.0781492590904201E-2</v>
      </c>
    </row>
    <row r="317" spans="2:4" x14ac:dyDescent="0.3">
      <c r="B317" s="5">
        <v>1994</v>
      </c>
      <c r="C317" s="3">
        <v>1.8763564825057999</v>
      </c>
      <c r="D317" s="20">
        <v>3.1438928097486503E-2</v>
      </c>
    </row>
    <row r="318" spans="2:4" x14ac:dyDescent="0.3">
      <c r="B318" s="5">
        <v>1995</v>
      </c>
      <c r="C318" s="3">
        <v>1.9017893075943</v>
      </c>
      <c r="D318" s="20">
        <v>3.19398269057274E-2</v>
      </c>
    </row>
    <row r="319" spans="2:4" x14ac:dyDescent="0.3">
      <c r="B319" s="5">
        <v>1996</v>
      </c>
      <c r="C319" s="3">
        <v>1.91660988330841</v>
      </c>
      <c r="D319" s="20">
        <v>3.2205794006586103E-2</v>
      </c>
    </row>
    <row r="320" spans="2:4" x14ac:dyDescent="0.3">
      <c r="B320" s="5">
        <v>1997</v>
      </c>
      <c r="C320" s="3">
        <v>1.9315459728241</v>
      </c>
      <c r="D320" s="20">
        <v>3.2424516975879697E-2</v>
      </c>
    </row>
    <row r="321" spans="2:4" x14ac:dyDescent="0.3">
      <c r="B321" s="5">
        <v>1998</v>
      </c>
      <c r="C321" s="3">
        <v>1.9465982913970901</v>
      </c>
      <c r="D321" s="20">
        <v>3.2562412321567501E-2</v>
      </c>
    </row>
    <row r="322" spans="2:4" x14ac:dyDescent="0.3">
      <c r="B322" s="5">
        <v>1999</v>
      </c>
      <c r="C322" s="3">
        <v>1.9617680311203001</v>
      </c>
      <c r="D322" s="20">
        <v>3.2406870275735897E-2</v>
      </c>
    </row>
    <row r="323" spans="2:4" x14ac:dyDescent="0.3">
      <c r="B323" s="5">
        <v>2000</v>
      </c>
      <c r="C323" s="3">
        <v>1.97705602645874</v>
      </c>
      <c r="D323" s="20">
        <v>3.2072391360998202E-2</v>
      </c>
    </row>
    <row r="324" spans="2:4" x14ac:dyDescent="0.3">
      <c r="B324" s="5">
        <v>2001</v>
      </c>
      <c r="C324" s="3">
        <v>1.98404741287231</v>
      </c>
      <c r="D324" s="20">
        <v>3.18518243730068E-2</v>
      </c>
    </row>
    <row r="325" spans="2:4" x14ac:dyDescent="0.3">
      <c r="B325" s="5">
        <v>2002</v>
      </c>
      <c r="C325" s="3">
        <v>1.9910635948181199</v>
      </c>
      <c r="D325" s="20">
        <v>3.1760107725858702E-2</v>
      </c>
    </row>
    <row r="326" spans="2:4" x14ac:dyDescent="0.3">
      <c r="B326" s="5">
        <v>2003</v>
      </c>
      <c r="C326" s="3">
        <v>1.9981044530868499</v>
      </c>
      <c r="D326" s="20">
        <v>3.1762082129716901E-2</v>
      </c>
    </row>
    <row r="327" spans="2:4" x14ac:dyDescent="0.3">
      <c r="B327" s="5">
        <v>2004</v>
      </c>
      <c r="C327" s="3">
        <v>2.0051703453064</v>
      </c>
      <c r="D327" s="20">
        <v>3.1810741871595397E-2</v>
      </c>
    </row>
    <row r="328" spans="2:4" x14ac:dyDescent="0.3">
      <c r="B328" s="5">
        <v>2005</v>
      </c>
      <c r="C328" s="3">
        <v>2.0122611522674601</v>
      </c>
      <c r="D328" s="20">
        <v>3.1943887472152703E-2</v>
      </c>
    </row>
    <row r="329" spans="2:4" x14ac:dyDescent="0.3">
      <c r="B329" s="5">
        <v>2006</v>
      </c>
      <c r="C329" s="3">
        <v>2.0145583152771001</v>
      </c>
      <c r="D329" s="20">
        <v>3.2420206815004397E-2</v>
      </c>
    </row>
    <row r="330" spans="2:4" x14ac:dyDescent="0.3">
      <c r="B330" s="5">
        <v>2007</v>
      </c>
      <c r="C330" s="3">
        <v>2.0168583393096902</v>
      </c>
      <c r="D330" s="20">
        <v>3.3165283501148203E-2</v>
      </c>
    </row>
    <row r="331" spans="2:4" x14ac:dyDescent="0.3">
      <c r="B331" s="5">
        <v>2008</v>
      </c>
      <c r="C331" s="3">
        <v>2.0191607475280802</v>
      </c>
      <c r="D331" s="20">
        <v>3.3944629132747699E-2</v>
      </c>
    </row>
    <row r="332" spans="2:4" x14ac:dyDescent="0.3">
      <c r="B332" s="5">
        <v>2009</v>
      </c>
      <c r="C332" s="3">
        <v>2.0214657783508301</v>
      </c>
      <c r="D332" s="20">
        <v>3.4526836127042798E-2</v>
      </c>
    </row>
    <row r="333" spans="2:4" x14ac:dyDescent="0.3">
      <c r="B333" s="5">
        <v>2010</v>
      </c>
      <c r="C333" s="3">
        <v>2.0237736701965301</v>
      </c>
      <c r="D333" s="20">
        <v>3.4942641854286201E-2</v>
      </c>
    </row>
    <row r="334" spans="2:4" x14ac:dyDescent="0.3">
      <c r="B334" s="5">
        <v>2011</v>
      </c>
      <c r="C334" s="3">
        <v>2.04913234710693</v>
      </c>
      <c r="D334" s="20">
        <v>3.5686161369085298E-2</v>
      </c>
    </row>
    <row r="335" spans="2:4" x14ac:dyDescent="0.3">
      <c r="B335" s="5">
        <v>2012</v>
      </c>
      <c r="C335" s="3">
        <v>2.0748088359832799</v>
      </c>
      <c r="D335" s="20">
        <v>3.65020483732224E-2</v>
      </c>
    </row>
    <row r="336" spans="2:4" x14ac:dyDescent="0.3">
      <c r="B336" s="5">
        <v>2013</v>
      </c>
      <c r="C336" s="3">
        <v>2.1008071899414098</v>
      </c>
      <c r="D336" s="20">
        <v>3.7031713873147999E-2</v>
      </c>
    </row>
    <row r="337" spans="2:4" x14ac:dyDescent="0.3">
      <c r="B337" s="5">
        <v>2014</v>
      </c>
      <c r="C337" s="3">
        <v>2.1271312236785902</v>
      </c>
      <c r="D337" s="20">
        <v>3.7471737712621703E-2</v>
      </c>
    </row>
    <row r="338" spans="2:4" x14ac:dyDescent="0.3">
      <c r="B338" s="5">
        <v>2015</v>
      </c>
      <c r="C338" s="3">
        <v>2.1537849903106698</v>
      </c>
      <c r="D338" s="20">
        <v>3.7777654826641097E-2</v>
      </c>
    </row>
    <row r="339" spans="2:4" x14ac:dyDescent="0.3">
      <c r="B339" s="5">
        <v>2016</v>
      </c>
      <c r="C339" s="3">
        <v>2.1565275192260702</v>
      </c>
      <c r="D339" s="20">
        <v>3.7806391716003397E-2</v>
      </c>
    </row>
    <row r="340" spans="2:4" x14ac:dyDescent="0.3">
      <c r="B340" s="5">
        <v>2017</v>
      </c>
      <c r="C340" s="3">
        <v>2.1592791080474898</v>
      </c>
      <c r="D340" s="20">
        <v>3.7680886685848201E-2</v>
      </c>
    </row>
    <row r="341" spans="2:4" x14ac:dyDescent="0.3">
      <c r="B341" s="5">
        <v>2018</v>
      </c>
      <c r="C341" s="3">
        <v>2.1620397567749001</v>
      </c>
      <c r="D341" s="20">
        <v>3.7647020071744898E-2</v>
      </c>
    </row>
    <row r="342" spans="2:4" x14ac:dyDescent="0.3">
      <c r="B342" s="5">
        <v>2019</v>
      </c>
      <c r="C342" s="3">
        <v>2.1648092269897501</v>
      </c>
      <c r="D342" s="20">
        <v>3.7836160510778399E-2</v>
      </c>
    </row>
    <row r="343" spans="2:4" x14ac:dyDescent="0.3">
      <c r="B343" s="5">
        <v>2020</v>
      </c>
      <c r="C343" s="3">
        <v>2.1675879955291801</v>
      </c>
      <c r="D343" s="20">
        <v>3.7847474217414898E-2</v>
      </c>
    </row>
    <row r="344" spans="2:4" x14ac:dyDescent="0.3">
      <c r="B344" s="5">
        <v>2021</v>
      </c>
      <c r="C344" s="3">
        <v>2.1703760623931898</v>
      </c>
      <c r="D344" s="20">
        <v>3.7736713886261E-2</v>
      </c>
    </row>
    <row r="345" spans="2:4" x14ac:dyDescent="0.3">
      <c r="B345" s="5">
        <v>2022</v>
      </c>
      <c r="C345" s="3">
        <v>2.1731729507446298</v>
      </c>
      <c r="D345" s="20">
        <v>3.7901800125837298E-2</v>
      </c>
    </row>
    <row r="346" spans="2:4" x14ac:dyDescent="0.3">
      <c r="B346" s="5">
        <v>2023</v>
      </c>
      <c r="C346" s="3">
        <v>2.1759793758392298</v>
      </c>
      <c r="D346" s="20">
        <v>3.8016445934772498E-2</v>
      </c>
    </row>
    <row r="347" spans="2:4" x14ac:dyDescent="0.3">
      <c r="B347" s="5">
        <v>1950</v>
      </c>
      <c r="C347" s="3">
        <v>1.44564461708069</v>
      </c>
      <c r="D347" s="20">
        <v>3.2730326056480401E-2</v>
      </c>
    </row>
    <row r="348" spans="2:4" x14ac:dyDescent="0.3">
      <c r="B348" s="5">
        <v>1951</v>
      </c>
      <c r="C348" s="3">
        <v>1.4591041803360001</v>
      </c>
      <c r="D348" s="20">
        <v>3.2613616436719901E-2</v>
      </c>
    </row>
    <row r="349" spans="2:4" x14ac:dyDescent="0.3">
      <c r="B349" s="5">
        <v>1952</v>
      </c>
      <c r="C349" s="3">
        <v>1.47268915176392</v>
      </c>
      <c r="D349" s="20">
        <v>3.2621704041957897E-2</v>
      </c>
    </row>
    <row r="350" spans="2:4" x14ac:dyDescent="0.3">
      <c r="B350" s="5">
        <v>1953</v>
      </c>
      <c r="C350" s="3">
        <v>1.48640060424805</v>
      </c>
      <c r="D350" s="20">
        <v>3.2950628548860598E-2</v>
      </c>
    </row>
    <row r="351" spans="2:4" x14ac:dyDescent="0.3">
      <c r="B351" s="5">
        <v>1954</v>
      </c>
      <c r="C351" s="3">
        <v>1.50023972988129</v>
      </c>
      <c r="D351" s="20">
        <v>3.3508121967315702E-2</v>
      </c>
    </row>
    <row r="352" spans="2:4" x14ac:dyDescent="0.3">
      <c r="B352" s="5">
        <v>1955</v>
      </c>
      <c r="C352" s="3">
        <v>1.5142076015472401</v>
      </c>
      <c r="D352" s="20">
        <v>3.39003764092922E-2</v>
      </c>
    </row>
    <row r="353" spans="2:4" x14ac:dyDescent="0.3">
      <c r="B353" s="5">
        <v>1956</v>
      </c>
      <c r="C353" s="3">
        <v>1.5274010896682699</v>
      </c>
      <c r="D353" s="20">
        <v>3.3995091915130601E-2</v>
      </c>
    </row>
    <row r="354" spans="2:4" x14ac:dyDescent="0.3">
      <c r="B354" s="5">
        <v>1957</v>
      </c>
      <c r="C354" s="3">
        <v>1.54070961475372</v>
      </c>
      <c r="D354" s="20">
        <v>3.3360164612531697E-2</v>
      </c>
    </row>
    <row r="355" spans="2:4" x14ac:dyDescent="0.3">
      <c r="B355" s="5">
        <v>1958</v>
      </c>
      <c r="C355" s="3">
        <v>1.5541340112686199</v>
      </c>
      <c r="D355" s="20">
        <v>3.22980806231499E-2</v>
      </c>
    </row>
    <row r="356" spans="2:4" x14ac:dyDescent="0.3">
      <c r="B356" s="5">
        <v>1959</v>
      </c>
      <c r="C356" s="3">
        <v>1.5676753520965601</v>
      </c>
      <c r="D356" s="20">
        <v>3.1317289918661097E-2</v>
      </c>
    </row>
    <row r="357" spans="2:4" x14ac:dyDescent="0.3">
      <c r="B357" s="5">
        <v>1960</v>
      </c>
      <c r="C357" s="3">
        <v>1.5813347101211499</v>
      </c>
      <c r="D357" s="20">
        <v>3.0749361962079998E-2</v>
      </c>
    </row>
    <row r="358" spans="2:4" x14ac:dyDescent="0.3">
      <c r="B358" s="5">
        <v>1961</v>
      </c>
      <c r="C358" s="3">
        <v>1.5913459062576301</v>
      </c>
      <c r="D358" s="20">
        <v>3.05878613144159E-2</v>
      </c>
    </row>
    <row r="359" spans="2:4" x14ac:dyDescent="0.3">
      <c r="B359" s="5">
        <v>1962</v>
      </c>
      <c r="C359" s="3">
        <v>1.6014204025268599</v>
      </c>
      <c r="D359" s="20">
        <v>3.03252059966326E-2</v>
      </c>
    </row>
    <row r="360" spans="2:4" x14ac:dyDescent="0.3">
      <c r="B360" s="5">
        <v>1963</v>
      </c>
      <c r="C360" s="3">
        <v>1.6115587949752801</v>
      </c>
      <c r="D360" s="20">
        <v>2.99048591405153E-2</v>
      </c>
    </row>
    <row r="361" spans="2:4" x14ac:dyDescent="0.3">
      <c r="B361" s="5">
        <v>1964</v>
      </c>
      <c r="C361" s="3">
        <v>1.6217612028121899</v>
      </c>
      <c r="D361" s="20">
        <v>2.9602816328406299E-2</v>
      </c>
    </row>
    <row r="362" spans="2:4" x14ac:dyDescent="0.3">
      <c r="B362" s="5">
        <v>1965</v>
      </c>
      <c r="C362" s="3">
        <v>1.6320283412933401</v>
      </c>
      <c r="D362" s="20">
        <v>2.9343118891119999E-2</v>
      </c>
    </row>
    <row r="363" spans="2:4" x14ac:dyDescent="0.3">
      <c r="B363" s="5">
        <v>1966</v>
      </c>
      <c r="C363" s="3">
        <v>1.6423604488372801</v>
      </c>
      <c r="D363" s="20">
        <v>2.9123343527316999E-2</v>
      </c>
    </row>
    <row r="364" spans="2:4" x14ac:dyDescent="0.3">
      <c r="B364" s="5">
        <v>1967</v>
      </c>
      <c r="C364" s="3">
        <v>1.6527578830719001</v>
      </c>
      <c r="D364" s="20">
        <v>2.8910169377923001E-2</v>
      </c>
    </row>
    <row r="365" spans="2:4" x14ac:dyDescent="0.3">
      <c r="B365" s="5">
        <v>1968</v>
      </c>
      <c r="C365" s="3">
        <v>1.6632212400436399</v>
      </c>
      <c r="D365" s="20">
        <v>2.8714239597320598E-2</v>
      </c>
    </row>
    <row r="366" spans="2:4" x14ac:dyDescent="0.3">
      <c r="B366" s="5">
        <v>1969</v>
      </c>
      <c r="C366" s="3">
        <v>1.67375075817108</v>
      </c>
      <c r="D366" s="20">
        <v>2.8684044256806401E-2</v>
      </c>
    </row>
    <row r="367" spans="2:4" x14ac:dyDescent="0.3">
      <c r="B367" s="5">
        <v>1970</v>
      </c>
      <c r="C367" s="3">
        <v>1.6843469142913801</v>
      </c>
      <c r="D367" s="20">
        <v>2.88545582443476E-2</v>
      </c>
    </row>
    <row r="368" spans="2:4" x14ac:dyDescent="0.3">
      <c r="B368" s="5">
        <v>1971</v>
      </c>
      <c r="C368" s="3">
        <v>1.6970304250717201</v>
      </c>
      <c r="D368" s="20">
        <v>2.9216967523097999E-2</v>
      </c>
    </row>
    <row r="369" spans="2:4" x14ac:dyDescent="0.3">
      <c r="B369" s="5">
        <v>1972</v>
      </c>
      <c r="C369" s="3">
        <v>1.7096486091613801</v>
      </c>
      <c r="D369" s="20">
        <v>2.9582122340798399E-2</v>
      </c>
    </row>
    <row r="370" spans="2:4" x14ac:dyDescent="0.3">
      <c r="B370" s="5">
        <v>1973</v>
      </c>
      <c r="C370" s="3">
        <v>1.7193431854248</v>
      </c>
      <c r="D370" s="20">
        <v>2.9785281047224998E-2</v>
      </c>
    </row>
    <row r="371" spans="2:4" x14ac:dyDescent="0.3">
      <c r="B371" s="5">
        <v>1974</v>
      </c>
      <c r="C371" s="3">
        <v>1.72909271717072</v>
      </c>
      <c r="D371" s="20">
        <v>2.9921909794211402E-2</v>
      </c>
    </row>
    <row r="372" spans="2:4" x14ac:dyDescent="0.3">
      <c r="B372" s="5">
        <v>1975</v>
      </c>
      <c r="C372" s="3">
        <v>1.73889756202698</v>
      </c>
      <c r="D372" s="20">
        <v>3.0118808150291401E-2</v>
      </c>
    </row>
    <row r="373" spans="2:4" x14ac:dyDescent="0.3">
      <c r="B373" s="5">
        <v>1976</v>
      </c>
      <c r="C373" s="3">
        <v>1.74875795841217</v>
      </c>
      <c r="D373" s="20">
        <v>3.0409855768084498E-2</v>
      </c>
    </row>
    <row r="374" spans="2:4" x14ac:dyDescent="0.3">
      <c r="B374" s="5">
        <v>1977</v>
      </c>
      <c r="C374" s="3">
        <v>1.7586742639541599</v>
      </c>
      <c r="D374" s="20">
        <v>3.0623123049735999E-2</v>
      </c>
    </row>
    <row r="375" spans="2:4" x14ac:dyDescent="0.3">
      <c r="B375" s="5">
        <v>1978</v>
      </c>
      <c r="C375" s="3">
        <v>1.7686468362808201</v>
      </c>
      <c r="D375" s="20">
        <v>3.07548400014639E-2</v>
      </c>
    </row>
    <row r="376" spans="2:4" x14ac:dyDescent="0.3">
      <c r="B376" s="5">
        <v>1979</v>
      </c>
      <c r="C376" s="3">
        <v>1.77867591381073</v>
      </c>
      <c r="D376" s="20">
        <v>3.10240089893341E-2</v>
      </c>
    </row>
    <row r="377" spans="2:4" x14ac:dyDescent="0.3">
      <c r="B377" s="5">
        <v>1980</v>
      </c>
      <c r="C377" s="3">
        <v>1.78876197338104</v>
      </c>
      <c r="D377" s="20">
        <v>3.1352080404758502E-2</v>
      </c>
    </row>
    <row r="378" spans="2:4" x14ac:dyDescent="0.3">
      <c r="B378" s="5">
        <v>1981</v>
      </c>
      <c r="C378" s="3">
        <v>1.8015400171279901</v>
      </c>
      <c r="D378" s="20">
        <v>3.1636826694011702E-2</v>
      </c>
    </row>
    <row r="379" spans="2:4" x14ac:dyDescent="0.3">
      <c r="B379" s="5">
        <v>1982</v>
      </c>
      <c r="C379" s="3">
        <v>1.81440949440002</v>
      </c>
      <c r="D379" s="20">
        <v>3.1842038035392803E-2</v>
      </c>
    </row>
    <row r="380" spans="2:4" x14ac:dyDescent="0.3">
      <c r="B380" s="5">
        <v>1983</v>
      </c>
      <c r="C380" s="3">
        <v>1.8273708820343</v>
      </c>
      <c r="D380" s="20">
        <v>3.1869612634181997E-2</v>
      </c>
    </row>
    <row r="381" spans="2:4" x14ac:dyDescent="0.3">
      <c r="B381" s="5">
        <v>1984</v>
      </c>
      <c r="C381" s="3">
        <v>1.8404247760772701</v>
      </c>
      <c r="D381" s="20">
        <v>3.1744997948408099E-2</v>
      </c>
    </row>
    <row r="382" spans="2:4" x14ac:dyDescent="0.3">
      <c r="B382" s="5">
        <v>1985</v>
      </c>
      <c r="C382" s="3">
        <v>1.85357201099396</v>
      </c>
      <c r="D382" s="20">
        <v>3.1453862786293002E-2</v>
      </c>
    </row>
    <row r="383" spans="2:4" x14ac:dyDescent="0.3">
      <c r="B383" s="5">
        <v>1986</v>
      </c>
      <c r="C383" s="3">
        <v>1.8668131828308101</v>
      </c>
      <c r="D383" s="20">
        <v>3.1100137159228301E-2</v>
      </c>
    </row>
    <row r="384" spans="2:4" x14ac:dyDescent="0.3">
      <c r="B384" s="5">
        <v>1987</v>
      </c>
      <c r="C384" s="3">
        <v>1.88014888763428</v>
      </c>
      <c r="D384" s="20">
        <v>3.0944572761654899E-2</v>
      </c>
    </row>
    <row r="385" spans="2:4" x14ac:dyDescent="0.3">
      <c r="B385" s="5">
        <v>1988</v>
      </c>
      <c r="C385" s="3">
        <v>1.8935798406601001</v>
      </c>
      <c r="D385" s="20">
        <v>3.09615023434162E-2</v>
      </c>
    </row>
    <row r="386" spans="2:4" x14ac:dyDescent="0.3">
      <c r="B386" s="5">
        <v>1989</v>
      </c>
      <c r="C386" s="3">
        <v>1.9071067571639999</v>
      </c>
      <c r="D386" s="20">
        <v>3.09768561273813E-2</v>
      </c>
    </row>
    <row r="387" spans="2:4" x14ac:dyDescent="0.3">
      <c r="B387" s="5">
        <v>1990</v>
      </c>
      <c r="C387" s="3">
        <v>1.9207303524017301</v>
      </c>
      <c r="D387" s="20">
        <v>3.0966009944677401E-2</v>
      </c>
    </row>
    <row r="388" spans="2:4" x14ac:dyDescent="0.3">
      <c r="B388" s="5">
        <v>1991</v>
      </c>
      <c r="C388" s="3">
        <v>1.94368135929108</v>
      </c>
      <c r="D388" s="20">
        <v>3.0800620093941699E-2</v>
      </c>
    </row>
    <row r="389" spans="2:4" x14ac:dyDescent="0.3">
      <c r="B389" s="5">
        <v>1992</v>
      </c>
      <c r="C389" s="3">
        <v>1.96690678596497</v>
      </c>
      <c r="D389" s="20">
        <v>3.0539384111762002E-2</v>
      </c>
    </row>
    <row r="390" spans="2:4" x14ac:dyDescent="0.3">
      <c r="B390" s="5">
        <v>1993</v>
      </c>
      <c r="C390" s="3">
        <v>1.9904094934463501</v>
      </c>
      <c r="D390" s="20">
        <v>3.0781492590904201E-2</v>
      </c>
    </row>
    <row r="391" spans="2:4" x14ac:dyDescent="0.3">
      <c r="B391" s="5">
        <v>1994</v>
      </c>
      <c r="C391" s="3">
        <v>2.0141932964325</v>
      </c>
      <c r="D391" s="20">
        <v>3.1438928097486503E-2</v>
      </c>
    </row>
    <row r="392" spans="2:4" x14ac:dyDescent="0.3">
      <c r="B392" s="5">
        <v>1995</v>
      </c>
      <c r="C392" s="3">
        <v>2.0382611751556401</v>
      </c>
      <c r="D392" s="20">
        <v>3.19398269057274E-2</v>
      </c>
    </row>
    <row r="393" spans="2:4" x14ac:dyDescent="0.3">
      <c r="B393" s="5">
        <v>1996</v>
      </c>
      <c r="C393" s="3">
        <v>2.0626165866851802</v>
      </c>
      <c r="D393" s="20">
        <v>3.2205794006586103E-2</v>
      </c>
    </row>
    <row r="394" spans="2:4" x14ac:dyDescent="0.3">
      <c r="B394" s="5">
        <v>1997</v>
      </c>
      <c r="C394" s="3">
        <v>2.0872631072997998</v>
      </c>
      <c r="D394" s="20">
        <v>3.2424516975879697E-2</v>
      </c>
    </row>
    <row r="395" spans="2:4" x14ac:dyDescent="0.3">
      <c r="B395" s="5">
        <v>1998</v>
      </c>
      <c r="C395" s="3">
        <v>2.11220407485962</v>
      </c>
      <c r="D395" s="20">
        <v>3.2562412321567501E-2</v>
      </c>
    </row>
    <row r="396" spans="2:4" x14ac:dyDescent="0.3">
      <c r="B396" s="5">
        <v>1999</v>
      </c>
      <c r="C396" s="3">
        <v>2.1374430656433101</v>
      </c>
      <c r="D396" s="20">
        <v>3.2406870275735897E-2</v>
      </c>
    </row>
    <row r="397" spans="2:4" x14ac:dyDescent="0.3">
      <c r="B397" s="5">
        <v>2000</v>
      </c>
      <c r="C397" s="3">
        <v>2.1629836559295699</v>
      </c>
      <c r="D397" s="20">
        <v>3.2072391360998202E-2</v>
      </c>
    </row>
    <row r="398" spans="2:4" x14ac:dyDescent="0.3">
      <c r="B398" s="5">
        <v>2001</v>
      </c>
      <c r="C398" s="3">
        <v>2.1843111515045202</v>
      </c>
      <c r="D398" s="20">
        <v>3.18518243730068E-2</v>
      </c>
    </row>
    <row r="399" spans="2:4" x14ac:dyDescent="0.3">
      <c r="B399" s="5">
        <v>2002</v>
      </c>
      <c r="C399" s="3">
        <v>2.2058489322662398</v>
      </c>
      <c r="D399" s="20">
        <v>3.1760107725858702E-2</v>
      </c>
    </row>
    <row r="400" spans="2:4" x14ac:dyDescent="0.3">
      <c r="B400" s="5">
        <v>2003</v>
      </c>
      <c r="C400" s="3">
        <v>2.22759914398193</v>
      </c>
      <c r="D400" s="20">
        <v>3.1762082129716901E-2</v>
      </c>
    </row>
    <row r="401" spans="2:4" x14ac:dyDescent="0.3">
      <c r="B401" s="5">
        <v>2004</v>
      </c>
      <c r="C401" s="3">
        <v>2.2495639324188201</v>
      </c>
      <c r="D401" s="20">
        <v>3.1810741871595397E-2</v>
      </c>
    </row>
    <row r="402" spans="2:4" x14ac:dyDescent="0.3">
      <c r="B402" s="5">
        <v>2005</v>
      </c>
      <c r="C402" s="3">
        <v>2.2717452049255402</v>
      </c>
      <c r="D402" s="20">
        <v>3.1943887472152703E-2</v>
      </c>
    </row>
    <row r="403" spans="2:4" x14ac:dyDescent="0.3">
      <c r="B403" s="5">
        <v>2006</v>
      </c>
      <c r="C403" s="3">
        <v>2.2941451072692902</v>
      </c>
      <c r="D403" s="20">
        <v>3.2420206815004397E-2</v>
      </c>
    </row>
    <row r="404" spans="2:4" x14ac:dyDescent="0.3">
      <c r="B404" s="5">
        <v>2007</v>
      </c>
      <c r="C404" s="3">
        <v>2.3167660236358598</v>
      </c>
      <c r="D404" s="20">
        <v>3.3165283501148203E-2</v>
      </c>
    </row>
    <row r="405" spans="2:4" x14ac:dyDescent="0.3">
      <c r="B405" s="5">
        <v>2008</v>
      </c>
      <c r="C405" s="3">
        <v>2.3396098613739</v>
      </c>
      <c r="D405" s="20">
        <v>3.3944629132747699E-2</v>
      </c>
    </row>
    <row r="406" spans="2:4" x14ac:dyDescent="0.3">
      <c r="B406" s="5">
        <v>2009</v>
      </c>
      <c r="C406" s="3">
        <v>2.3626790046691899</v>
      </c>
      <c r="D406" s="20">
        <v>3.4526836127042798E-2</v>
      </c>
    </row>
    <row r="407" spans="2:4" x14ac:dyDescent="0.3">
      <c r="B407" s="5">
        <v>2010</v>
      </c>
      <c r="C407" s="3">
        <v>2.38597559928894</v>
      </c>
      <c r="D407" s="20">
        <v>3.4942641854286201E-2</v>
      </c>
    </row>
    <row r="408" spans="2:4" x14ac:dyDescent="0.3">
      <c r="B408" s="5">
        <v>2011</v>
      </c>
      <c r="C408" s="3">
        <v>2.41068816184998</v>
      </c>
      <c r="D408" s="20">
        <v>3.5686161369085298E-2</v>
      </c>
    </row>
    <row r="409" spans="2:4" x14ac:dyDescent="0.3">
      <c r="B409" s="5">
        <v>2012</v>
      </c>
      <c r="C409" s="3">
        <v>2.4356567859649698</v>
      </c>
      <c r="D409" s="20">
        <v>3.65020483732224E-2</v>
      </c>
    </row>
    <row r="410" spans="2:4" x14ac:dyDescent="0.3">
      <c r="B410" s="5">
        <v>2013</v>
      </c>
      <c r="C410" s="3">
        <v>2.4608843326568599</v>
      </c>
      <c r="D410" s="20">
        <v>3.7031713873147999E-2</v>
      </c>
    </row>
    <row r="411" spans="2:4" x14ac:dyDescent="0.3">
      <c r="B411" s="5">
        <v>2014</v>
      </c>
      <c r="C411" s="3">
        <v>2.4863727092742902</v>
      </c>
      <c r="D411" s="20">
        <v>3.7471737712621703E-2</v>
      </c>
    </row>
    <row r="412" spans="2:4" x14ac:dyDescent="0.3">
      <c r="B412" s="5">
        <v>2015</v>
      </c>
      <c r="C412" s="3">
        <v>2.5121252536773699</v>
      </c>
      <c r="D412" s="20">
        <v>3.7777654826641097E-2</v>
      </c>
    </row>
    <row r="413" spans="2:4" x14ac:dyDescent="0.3">
      <c r="B413" s="5">
        <v>2016</v>
      </c>
      <c r="C413" s="3">
        <v>2.5381448268890399</v>
      </c>
      <c r="D413" s="20">
        <v>3.7806391716003397E-2</v>
      </c>
    </row>
    <row r="414" spans="2:4" x14ac:dyDescent="0.3">
      <c r="B414" s="5">
        <v>2017</v>
      </c>
      <c r="C414" s="3">
        <v>2.5629780292511</v>
      </c>
      <c r="D414" s="20">
        <v>3.7680886685848201E-2</v>
      </c>
    </row>
    <row r="415" spans="2:4" x14ac:dyDescent="0.3">
      <c r="B415" s="5">
        <v>2018</v>
      </c>
      <c r="C415" s="3">
        <v>2.5808203220367401</v>
      </c>
      <c r="D415" s="20">
        <v>3.7647020071744898E-2</v>
      </c>
    </row>
    <row r="416" spans="2:4" x14ac:dyDescent="0.3">
      <c r="B416" s="5">
        <v>2019</v>
      </c>
      <c r="C416" s="3">
        <v>2.59878706932068</v>
      </c>
      <c r="D416" s="20">
        <v>3.7836160510778399E-2</v>
      </c>
    </row>
    <row r="417" spans="2:4" x14ac:dyDescent="0.3">
      <c r="B417" s="5">
        <v>2020</v>
      </c>
      <c r="C417" s="3">
        <v>2.6168789863586399</v>
      </c>
      <c r="D417" s="20">
        <v>3.7847474217414898E-2</v>
      </c>
    </row>
    <row r="418" spans="2:4" x14ac:dyDescent="0.3">
      <c r="B418" s="5">
        <v>2021</v>
      </c>
      <c r="C418" s="3">
        <v>2.6382591724395801</v>
      </c>
      <c r="D418" s="20">
        <v>3.7736713886261E-2</v>
      </c>
    </row>
    <row r="419" spans="2:4" x14ac:dyDescent="0.3">
      <c r="B419" s="5">
        <v>2022</v>
      </c>
      <c r="C419" s="3">
        <v>2.6601254940032999</v>
      </c>
      <c r="D419" s="20">
        <v>3.7901800125837298E-2</v>
      </c>
    </row>
    <row r="420" spans="2:4" x14ac:dyDescent="0.3">
      <c r="B420" s="5">
        <v>2023</v>
      </c>
      <c r="C420" s="3">
        <v>2.6824913024902299</v>
      </c>
      <c r="D420" s="20">
        <v>3.8016445934772498E-2</v>
      </c>
    </row>
    <row r="421" spans="2:4" x14ac:dyDescent="0.3">
      <c r="B421" s="5">
        <v>2024</v>
      </c>
      <c r="D421" s="6">
        <f>INTERCEPT(_xlfn.ANCHORARRAY($D$283),$B$283:$B$420)+SLOPE(_xlfn.ANCHORARRAY($D$283),$B$283:$B$420)*B421</f>
        <v>3.6063317963424185E-2</v>
      </c>
    </row>
    <row r="422" spans="2:4" x14ac:dyDescent="0.3">
      <c r="B422" s="5">
        <v>2025</v>
      </c>
      <c r="D422" s="6">
        <f t="shared" ref="D422:D423" si="104">INTERCEPT(_xlfn.ANCHORARRAY($D$283),$B$283:$B$420)+SLOPE(_xlfn.ANCHORARRAY($D$283),$B$283:$B$420)*B422</f>
        <v>3.6166466700818273E-2</v>
      </c>
    </row>
    <row r="423" spans="2:4" x14ac:dyDescent="0.3">
      <c r="B423" s="5">
        <v>2026</v>
      </c>
      <c r="D423" s="6">
        <f t="shared" si="104"/>
        <v>3.626961543821236E-2</v>
      </c>
    </row>
  </sheetData>
  <mergeCells count="7">
    <mergeCell ref="AW2:BD2"/>
    <mergeCell ref="AP97:AP98"/>
    <mergeCell ref="AL2:AV2"/>
    <mergeCell ref="Q2:S3"/>
    <mergeCell ref="T2:X2"/>
    <mergeCell ref="AH97:AI98"/>
    <mergeCell ref="Y2:AK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Miguel Arias Mejía</dc:creator>
  <cp:lastModifiedBy>José Miguel Arias Mejía</cp:lastModifiedBy>
  <dcterms:created xsi:type="dcterms:W3CDTF">2026-05-11T14:01:22Z</dcterms:created>
  <dcterms:modified xsi:type="dcterms:W3CDTF">2026-05-12T17:14:12Z</dcterms:modified>
</cp:coreProperties>
</file>