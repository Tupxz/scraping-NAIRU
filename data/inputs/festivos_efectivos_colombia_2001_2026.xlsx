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ew folder (4)\Coyuntura Económica (Grupo)\PIB Potencial\"/>
    </mc:Choice>
  </mc:AlternateContent>
  <xr:revisionPtr revIDLastSave="0" documentId="13_ncr:20001_{D37FA1D6-2DE9-49AE-A822-2636DCB0D231}" xr6:coauthVersionLast="47" xr6:coauthVersionMax="47" xr10:uidLastSave="{00000000-0000-0000-0000-000000000000}"/>
  <bookViews>
    <workbookView xWindow="28680" yWindow="360" windowWidth="25440" windowHeight="15270" xr2:uid="{00000000-000D-0000-FFFF-FFFF00000000}"/>
  </bookViews>
  <sheets>
    <sheet name="Resumen trimestral" sheetId="1" r:id="rId1"/>
    <sheet name="Festivos por día" sheetId="2" r:id="rId2"/>
    <sheet name="Detalle por festivo" sheetId="3" r:id="rId3"/>
    <sheet name="Reglas y fuente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1" l="1"/>
  <c r="H108" i="1"/>
  <c r="G108" i="1"/>
  <c r="F108" i="1"/>
  <c r="E108" i="1"/>
  <c r="I107" i="1"/>
  <c r="H107" i="1"/>
  <c r="G107" i="1"/>
  <c r="F107" i="1"/>
  <c r="E107" i="1"/>
  <c r="I106" i="1"/>
  <c r="H106" i="1"/>
  <c r="G106" i="1"/>
  <c r="F106" i="1"/>
  <c r="E106" i="1"/>
  <c r="I105" i="1"/>
  <c r="H105" i="1"/>
  <c r="G105" i="1"/>
  <c r="F105" i="1"/>
  <c r="E105" i="1"/>
  <c r="I104" i="1"/>
  <c r="H104" i="1"/>
  <c r="G104" i="1"/>
  <c r="F104" i="1"/>
  <c r="E104" i="1"/>
  <c r="I103" i="1"/>
  <c r="H103" i="1"/>
  <c r="G103" i="1"/>
  <c r="F103" i="1"/>
  <c r="E103" i="1"/>
  <c r="I102" i="1"/>
  <c r="H102" i="1"/>
  <c r="G102" i="1"/>
  <c r="F102" i="1"/>
  <c r="E102" i="1"/>
  <c r="I101" i="1"/>
  <c r="H101" i="1"/>
  <c r="G101" i="1"/>
  <c r="F101" i="1"/>
  <c r="E101" i="1"/>
  <c r="I100" i="1"/>
  <c r="H100" i="1"/>
  <c r="G100" i="1"/>
  <c r="F100" i="1"/>
  <c r="E100" i="1"/>
  <c r="I99" i="1"/>
  <c r="H99" i="1"/>
  <c r="G99" i="1"/>
  <c r="F99" i="1"/>
  <c r="E99" i="1"/>
  <c r="I98" i="1"/>
  <c r="H98" i="1"/>
  <c r="G98" i="1"/>
  <c r="F98" i="1"/>
  <c r="E98" i="1"/>
  <c r="I97" i="1"/>
  <c r="H97" i="1"/>
  <c r="G97" i="1"/>
  <c r="F97" i="1"/>
  <c r="E97" i="1"/>
  <c r="I96" i="1"/>
  <c r="H96" i="1"/>
  <c r="G96" i="1"/>
  <c r="F96" i="1"/>
  <c r="E96" i="1"/>
  <c r="I95" i="1"/>
  <c r="H95" i="1"/>
  <c r="G95" i="1"/>
  <c r="F95" i="1"/>
  <c r="E95" i="1"/>
  <c r="I94" i="1"/>
  <c r="H94" i="1"/>
  <c r="G94" i="1"/>
  <c r="F94" i="1"/>
  <c r="E94" i="1"/>
  <c r="I93" i="1"/>
  <c r="H93" i="1"/>
  <c r="G93" i="1"/>
  <c r="F93" i="1"/>
  <c r="E93" i="1"/>
  <c r="I92" i="1"/>
  <c r="H92" i="1"/>
  <c r="G92" i="1"/>
  <c r="F92" i="1"/>
  <c r="E92" i="1"/>
  <c r="I91" i="1"/>
  <c r="H91" i="1"/>
  <c r="G91" i="1"/>
  <c r="F91" i="1"/>
  <c r="E91" i="1"/>
  <c r="I90" i="1"/>
  <c r="H90" i="1"/>
  <c r="G90" i="1"/>
  <c r="F90" i="1"/>
  <c r="E90" i="1"/>
  <c r="I89" i="1"/>
  <c r="H89" i="1"/>
  <c r="G89" i="1"/>
  <c r="F89" i="1"/>
  <c r="E89" i="1"/>
  <c r="I88" i="1"/>
  <c r="H88" i="1"/>
  <c r="G88" i="1"/>
  <c r="F88" i="1"/>
  <c r="E88" i="1"/>
  <c r="I87" i="1"/>
  <c r="H87" i="1"/>
  <c r="G87" i="1"/>
  <c r="F87" i="1"/>
  <c r="E87" i="1"/>
  <c r="I86" i="1"/>
  <c r="H86" i="1"/>
  <c r="G86" i="1"/>
  <c r="F86" i="1"/>
  <c r="E86" i="1"/>
  <c r="I85" i="1"/>
  <c r="H85" i="1"/>
  <c r="G85" i="1"/>
  <c r="F85" i="1"/>
  <c r="E85" i="1"/>
  <c r="I84" i="1"/>
  <c r="H84" i="1"/>
  <c r="G84" i="1"/>
  <c r="F84" i="1"/>
  <c r="E84" i="1"/>
  <c r="I83" i="1"/>
  <c r="H83" i="1"/>
  <c r="G83" i="1"/>
  <c r="F83" i="1"/>
  <c r="E83" i="1"/>
  <c r="I82" i="1"/>
  <c r="H82" i="1"/>
  <c r="G82" i="1"/>
  <c r="F82" i="1"/>
  <c r="E82" i="1"/>
  <c r="I81" i="1"/>
  <c r="H81" i="1"/>
  <c r="G81" i="1"/>
  <c r="F81" i="1"/>
  <c r="E81" i="1"/>
  <c r="I80" i="1"/>
  <c r="H80" i="1"/>
  <c r="G80" i="1"/>
  <c r="F80" i="1"/>
  <c r="E80" i="1"/>
  <c r="I79" i="1"/>
  <c r="H79" i="1"/>
  <c r="G79" i="1"/>
  <c r="F79" i="1"/>
  <c r="E79" i="1"/>
  <c r="I78" i="1"/>
  <c r="H78" i="1"/>
  <c r="G78" i="1"/>
  <c r="F78" i="1"/>
  <c r="E78" i="1"/>
  <c r="I77" i="1"/>
  <c r="H77" i="1"/>
  <c r="G77" i="1"/>
  <c r="F77" i="1"/>
  <c r="E77" i="1"/>
  <c r="I76" i="1"/>
  <c r="H76" i="1"/>
  <c r="G76" i="1"/>
  <c r="F76" i="1"/>
  <c r="E76" i="1"/>
  <c r="I75" i="1"/>
  <c r="H75" i="1"/>
  <c r="G75" i="1"/>
  <c r="F75" i="1"/>
  <c r="E75" i="1"/>
  <c r="I74" i="1"/>
  <c r="H74" i="1"/>
  <c r="G74" i="1"/>
  <c r="F74" i="1"/>
  <c r="E74" i="1"/>
  <c r="I73" i="1"/>
  <c r="H73" i="1"/>
  <c r="G73" i="1"/>
  <c r="F73" i="1"/>
  <c r="E73" i="1"/>
  <c r="I72" i="1"/>
  <c r="H72" i="1"/>
  <c r="G72" i="1"/>
  <c r="F72" i="1"/>
  <c r="E72" i="1"/>
  <c r="I71" i="1"/>
  <c r="H71" i="1"/>
  <c r="G71" i="1"/>
  <c r="F71" i="1"/>
  <c r="E71" i="1"/>
  <c r="I70" i="1"/>
  <c r="H70" i="1"/>
  <c r="G70" i="1"/>
  <c r="F70" i="1"/>
  <c r="E70" i="1"/>
  <c r="I69" i="1"/>
  <c r="H69" i="1"/>
  <c r="G69" i="1"/>
  <c r="F69" i="1"/>
  <c r="E69" i="1"/>
  <c r="I68" i="1"/>
  <c r="H68" i="1"/>
  <c r="G68" i="1"/>
  <c r="F68" i="1"/>
  <c r="E68" i="1"/>
  <c r="I67" i="1"/>
  <c r="H67" i="1"/>
  <c r="G67" i="1"/>
  <c r="F67" i="1"/>
  <c r="E67" i="1"/>
  <c r="N25" i="1" s="1"/>
  <c r="P25" i="1" s="1"/>
  <c r="I66" i="1"/>
  <c r="H66" i="1"/>
  <c r="G66" i="1"/>
  <c r="F66" i="1"/>
  <c r="E66" i="1"/>
  <c r="I65" i="1"/>
  <c r="H65" i="1"/>
  <c r="G65" i="1"/>
  <c r="F65" i="1"/>
  <c r="E65" i="1"/>
  <c r="I64" i="1"/>
  <c r="H64" i="1"/>
  <c r="G64" i="1"/>
  <c r="F64" i="1"/>
  <c r="E64" i="1"/>
  <c r="I63" i="1"/>
  <c r="H63" i="1"/>
  <c r="G63" i="1"/>
  <c r="F63" i="1"/>
  <c r="E63" i="1"/>
  <c r="I62" i="1"/>
  <c r="H62" i="1"/>
  <c r="G62" i="1"/>
  <c r="F62" i="1"/>
  <c r="E62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N23" i="1" s="1"/>
  <c r="I58" i="1"/>
  <c r="H58" i="1"/>
  <c r="G58" i="1"/>
  <c r="F58" i="1"/>
  <c r="E58" i="1"/>
  <c r="I57" i="1"/>
  <c r="H57" i="1"/>
  <c r="G57" i="1"/>
  <c r="F57" i="1"/>
  <c r="E57" i="1"/>
  <c r="I56" i="1"/>
  <c r="H56" i="1"/>
  <c r="G56" i="1"/>
  <c r="F56" i="1"/>
  <c r="E56" i="1"/>
  <c r="I55" i="1"/>
  <c r="H55" i="1"/>
  <c r="G55" i="1"/>
  <c r="F55" i="1"/>
  <c r="E55" i="1"/>
  <c r="I54" i="1"/>
  <c r="H54" i="1"/>
  <c r="G54" i="1"/>
  <c r="F54" i="1"/>
  <c r="E54" i="1"/>
  <c r="I53" i="1"/>
  <c r="H53" i="1"/>
  <c r="G53" i="1"/>
  <c r="F53" i="1"/>
  <c r="E53" i="1"/>
  <c r="I52" i="1"/>
  <c r="H52" i="1"/>
  <c r="G52" i="1"/>
  <c r="F52" i="1"/>
  <c r="E52" i="1"/>
  <c r="I51" i="1"/>
  <c r="H51" i="1"/>
  <c r="G51" i="1"/>
  <c r="F51" i="1"/>
  <c r="E51" i="1"/>
  <c r="N21" i="1" s="1"/>
  <c r="I50" i="1"/>
  <c r="H50" i="1"/>
  <c r="G50" i="1"/>
  <c r="F50" i="1"/>
  <c r="E50" i="1"/>
  <c r="I49" i="1"/>
  <c r="H49" i="1"/>
  <c r="G49" i="1"/>
  <c r="F49" i="1"/>
  <c r="E49" i="1"/>
  <c r="I48" i="1"/>
  <c r="H48" i="1"/>
  <c r="G48" i="1"/>
  <c r="F48" i="1"/>
  <c r="E48" i="1"/>
  <c r="I47" i="1"/>
  <c r="H47" i="1"/>
  <c r="G47" i="1"/>
  <c r="F47" i="1"/>
  <c r="E47" i="1"/>
  <c r="I46" i="1"/>
  <c r="H46" i="1"/>
  <c r="G46" i="1"/>
  <c r="F46" i="1"/>
  <c r="E46" i="1"/>
  <c r="I45" i="1"/>
  <c r="H45" i="1"/>
  <c r="G45" i="1"/>
  <c r="F45" i="1"/>
  <c r="E45" i="1"/>
  <c r="I44" i="1"/>
  <c r="H44" i="1"/>
  <c r="G44" i="1"/>
  <c r="F44" i="1"/>
  <c r="E44" i="1"/>
  <c r="I43" i="1"/>
  <c r="H43" i="1"/>
  <c r="G43" i="1"/>
  <c r="F43" i="1"/>
  <c r="E43" i="1"/>
  <c r="I42" i="1"/>
  <c r="H42" i="1"/>
  <c r="G42" i="1"/>
  <c r="F42" i="1"/>
  <c r="E42" i="1"/>
  <c r="I41" i="1"/>
  <c r="H41" i="1"/>
  <c r="G41" i="1"/>
  <c r="F41" i="1"/>
  <c r="E41" i="1"/>
  <c r="I40" i="1"/>
  <c r="H40" i="1"/>
  <c r="G40" i="1"/>
  <c r="F40" i="1"/>
  <c r="E40" i="1"/>
  <c r="I39" i="1"/>
  <c r="H39" i="1"/>
  <c r="G39" i="1"/>
  <c r="F39" i="1"/>
  <c r="E39" i="1"/>
  <c r="I38" i="1"/>
  <c r="H38" i="1"/>
  <c r="G38" i="1"/>
  <c r="F38" i="1"/>
  <c r="E38" i="1"/>
  <c r="I37" i="1"/>
  <c r="H37" i="1"/>
  <c r="G37" i="1"/>
  <c r="F37" i="1"/>
  <c r="E37" i="1"/>
  <c r="I36" i="1"/>
  <c r="H36" i="1"/>
  <c r="G36" i="1"/>
  <c r="F36" i="1"/>
  <c r="E36" i="1"/>
  <c r="O35" i="1"/>
  <c r="N35" i="1"/>
  <c r="M35" i="1"/>
  <c r="L35" i="1"/>
  <c r="P35" i="1" s="1"/>
  <c r="I35" i="1"/>
  <c r="H35" i="1"/>
  <c r="G35" i="1"/>
  <c r="F35" i="1"/>
  <c r="E35" i="1"/>
  <c r="O34" i="1"/>
  <c r="N34" i="1"/>
  <c r="M34" i="1"/>
  <c r="L34" i="1"/>
  <c r="P34" i="1" s="1"/>
  <c r="I34" i="1"/>
  <c r="H34" i="1"/>
  <c r="G34" i="1"/>
  <c r="F34" i="1"/>
  <c r="E34" i="1"/>
  <c r="P33" i="1"/>
  <c r="O33" i="1"/>
  <c r="N33" i="1"/>
  <c r="M33" i="1"/>
  <c r="L33" i="1"/>
  <c r="I33" i="1"/>
  <c r="H33" i="1"/>
  <c r="G33" i="1"/>
  <c r="F33" i="1"/>
  <c r="E33" i="1"/>
  <c r="O32" i="1"/>
  <c r="N32" i="1"/>
  <c r="M32" i="1"/>
  <c r="L32" i="1"/>
  <c r="P32" i="1" s="1"/>
  <c r="I32" i="1"/>
  <c r="H32" i="1"/>
  <c r="G32" i="1"/>
  <c r="F32" i="1"/>
  <c r="E32" i="1"/>
  <c r="O31" i="1"/>
  <c r="N31" i="1"/>
  <c r="M31" i="1"/>
  <c r="L31" i="1"/>
  <c r="P31" i="1" s="1"/>
  <c r="I31" i="1"/>
  <c r="H31" i="1"/>
  <c r="G31" i="1"/>
  <c r="F31" i="1"/>
  <c r="E31" i="1"/>
  <c r="O30" i="1"/>
  <c r="N30" i="1"/>
  <c r="P30" i="1" s="1"/>
  <c r="M30" i="1"/>
  <c r="L30" i="1"/>
  <c r="I30" i="1"/>
  <c r="H30" i="1"/>
  <c r="G30" i="1"/>
  <c r="F30" i="1"/>
  <c r="E30" i="1"/>
  <c r="P29" i="1"/>
  <c r="O29" i="1"/>
  <c r="N29" i="1"/>
  <c r="M29" i="1"/>
  <c r="L29" i="1"/>
  <c r="I29" i="1"/>
  <c r="H29" i="1"/>
  <c r="G29" i="1"/>
  <c r="F29" i="1"/>
  <c r="E29" i="1"/>
  <c r="O28" i="1"/>
  <c r="N28" i="1"/>
  <c r="M28" i="1"/>
  <c r="P28" i="1" s="1"/>
  <c r="L28" i="1"/>
  <c r="I28" i="1"/>
  <c r="H28" i="1"/>
  <c r="G28" i="1"/>
  <c r="F28" i="1"/>
  <c r="E28" i="1"/>
  <c r="O15" i="1" s="1"/>
  <c r="O27" i="1"/>
  <c r="N27" i="1"/>
  <c r="M27" i="1"/>
  <c r="L27" i="1"/>
  <c r="P27" i="1" s="1"/>
  <c r="I27" i="1"/>
  <c r="H27" i="1"/>
  <c r="G27" i="1"/>
  <c r="F27" i="1"/>
  <c r="E27" i="1"/>
  <c r="N15" i="1" s="1"/>
  <c r="O26" i="1"/>
  <c r="N26" i="1"/>
  <c r="M26" i="1"/>
  <c r="L26" i="1"/>
  <c r="P26" i="1" s="1"/>
  <c r="I26" i="1"/>
  <c r="H26" i="1"/>
  <c r="G26" i="1"/>
  <c r="F26" i="1"/>
  <c r="E26" i="1"/>
  <c r="O25" i="1"/>
  <c r="M25" i="1"/>
  <c r="L25" i="1"/>
  <c r="I25" i="1"/>
  <c r="H25" i="1"/>
  <c r="G25" i="1"/>
  <c r="F25" i="1"/>
  <c r="E25" i="1"/>
  <c r="O24" i="1"/>
  <c r="N24" i="1"/>
  <c r="M24" i="1"/>
  <c r="L24" i="1"/>
  <c r="P24" i="1" s="1"/>
  <c r="I24" i="1"/>
  <c r="H24" i="1"/>
  <c r="G24" i="1"/>
  <c r="F24" i="1"/>
  <c r="E24" i="1"/>
  <c r="O23" i="1"/>
  <c r="M23" i="1"/>
  <c r="L23" i="1"/>
  <c r="I23" i="1"/>
  <c r="H23" i="1"/>
  <c r="G23" i="1"/>
  <c r="F23" i="1"/>
  <c r="E23" i="1"/>
  <c r="O22" i="1"/>
  <c r="N22" i="1"/>
  <c r="P22" i="1" s="1"/>
  <c r="M22" i="1"/>
  <c r="L22" i="1"/>
  <c r="I22" i="1"/>
  <c r="H22" i="1"/>
  <c r="G22" i="1"/>
  <c r="F22" i="1"/>
  <c r="E22" i="1"/>
  <c r="O21" i="1"/>
  <c r="M21" i="1"/>
  <c r="L21" i="1"/>
  <c r="I21" i="1"/>
  <c r="H21" i="1"/>
  <c r="G21" i="1"/>
  <c r="F21" i="1"/>
  <c r="E21" i="1"/>
  <c r="L14" i="1" s="1"/>
  <c r="P14" i="1" s="1"/>
  <c r="O20" i="1"/>
  <c r="N20" i="1"/>
  <c r="M20" i="1"/>
  <c r="P20" i="1" s="1"/>
  <c r="L20" i="1"/>
  <c r="I20" i="1"/>
  <c r="H20" i="1"/>
  <c r="G20" i="1"/>
  <c r="F20" i="1"/>
  <c r="E20" i="1"/>
  <c r="O13" i="1" s="1"/>
  <c r="O19" i="1"/>
  <c r="N19" i="1"/>
  <c r="M19" i="1"/>
  <c r="L19" i="1"/>
  <c r="P19" i="1" s="1"/>
  <c r="I19" i="1"/>
  <c r="H19" i="1"/>
  <c r="G19" i="1"/>
  <c r="F19" i="1"/>
  <c r="E19" i="1"/>
  <c r="N13" i="1" s="1"/>
  <c r="O18" i="1"/>
  <c r="N18" i="1"/>
  <c r="M18" i="1"/>
  <c r="L18" i="1"/>
  <c r="P18" i="1" s="1"/>
  <c r="I18" i="1"/>
  <c r="H18" i="1"/>
  <c r="G18" i="1"/>
  <c r="F18" i="1"/>
  <c r="E18" i="1"/>
  <c r="P17" i="1"/>
  <c r="O17" i="1"/>
  <c r="N17" i="1"/>
  <c r="M17" i="1"/>
  <c r="L17" i="1"/>
  <c r="I17" i="1"/>
  <c r="H17" i="1"/>
  <c r="G17" i="1"/>
  <c r="F17" i="1"/>
  <c r="E17" i="1"/>
  <c r="O16" i="1"/>
  <c r="N16" i="1"/>
  <c r="M16" i="1"/>
  <c r="L16" i="1"/>
  <c r="P16" i="1" s="1"/>
  <c r="I16" i="1"/>
  <c r="H16" i="1"/>
  <c r="G16" i="1"/>
  <c r="F16" i="1"/>
  <c r="E16" i="1"/>
  <c r="O12" i="1" s="1"/>
  <c r="M15" i="1"/>
  <c r="L15" i="1"/>
  <c r="I15" i="1"/>
  <c r="H15" i="1"/>
  <c r="G15" i="1"/>
  <c r="F15" i="1"/>
  <c r="E15" i="1"/>
  <c r="O14" i="1"/>
  <c r="N14" i="1"/>
  <c r="M14" i="1"/>
  <c r="I14" i="1"/>
  <c r="H14" i="1"/>
  <c r="G14" i="1"/>
  <c r="F14" i="1"/>
  <c r="E14" i="1"/>
  <c r="M13" i="1"/>
  <c r="L13" i="1"/>
  <c r="I13" i="1"/>
  <c r="H13" i="1"/>
  <c r="G13" i="1"/>
  <c r="F13" i="1"/>
  <c r="E13" i="1"/>
  <c r="L12" i="1" s="1"/>
  <c r="P12" i="1" s="1"/>
  <c r="N12" i="1"/>
  <c r="M12" i="1"/>
  <c r="I12" i="1"/>
  <c r="H12" i="1"/>
  <c r="G12" i="1"/>
  <c r="F12" i="1"/>
  <c r="E12" i="1"/>
  <c r="O11" i="1" s="1"/>
  <c r="N11" i="1"/>
  <c r="L11" i="1"/>
  <c r="I11" i="1"/>
  <c r="H11" i="1"/>
  <c r="G11" i="1"/>
  <c r="F11" i="1"/>
  <c r="E11" i="1"/>
  <c r="I10" i="1"/>
  <c r="H10" i="1"/>
  <c r="G10" i="1"/>
  <c r="F10" i="1"/>
  <c r="E10" i="1"/>
  <c r="M11" i="1" s="1"/>
  <c r="I9" i="1"/>
  <c r="H9" i="1"/>
  <c r="G9" i="1"/>
  <c r="F9" i="1"/>
  <c r="E9" i="1"/>
  <c r="I8" i="1"/>
  <c r="H8" i="1"/>
  <c r="G8" i="1"/>
  <c r="F8" i="1"/>
  <c r="E8" i="1"/>
  <c r="O10" i="1" s="1"/>
  <c r="I7" i="1"/>
  <c r="H7" i="1"/>
  <c r="G7" i="1"/>
  <c r="F7" i="1"/>
  <c r="E7" i="1"/>
  <c r="L5" i="1" s="1"/>
  <c r="I6" i="1"/>
  <c r="L6" i="1" s="1"/>
  <c r="H6" i="1"/>
  <c r="G6" i="1"/>
  <c r="F6" i="1"/>
  <c r="E6" i="1"/>
  <c r="M10" i="1" s="1"/>
  <c r="I5" i="1"/>
  <c r="H5" i="1"/>
  <c r="G5" i="1"/>
  <c r="F5" i="1"/>
  <c r="E5" i="1"/>
  <c r="L10" i="1" s="1"/>
  <c r="P23" i="1" l="1"/>
  <c r="P21" i="1"/>
  <c r="P11" i="1"/>
  <c r="P15" i="1"/>
  <c r="P13" i="1"/>
  <c r="N10" i="1"/>
  <c r="P10" i="1" s="1"/>
</calcChain>
</file>

<file path=xl/sharedStrings.xml><?xml version="1.0" encoding="utf-8"?>
<sst xmlns="http://schemas.openxmlformats.org/spreadsheetml/2006/main" count="7209" uniqueCount="581">
  <si>
    <t>Festivos efectivos por trimestre — Colombia (2001–2026)</t>
  </si>
  <si>
    <t>Parámetros y controles</t>
  </si>
  <si>
    <t>Definición principal: número de fechas festivas observadas distintas que generan un día adicional de descanso; un festivo fijo en domingo no suma y dos celebraciones que coinciden en la misma fecha suman un solo día.</t>
  </si>
  <si>
    <t>Fecha de corte</t>
  </si>
  <si>
    <t>Primer año</t>
  </si>
  <si>
    <t>Año</t>
  </si>
  <si>
    <t>Trimestre</t>
  </si>
  <si>
    <t>Inicio</t>
  </si>
  <si>
    <t>Fin</t>
  </si>
  <si>
    <t>Festivos efectivos</t>
  </si>
  <si>
    <t>Fechas festivas únicas</t>
  </si>
  <si>
    <t>Domingos sin traslado</t>
  </si>
  <si>
    <t>Coincidencias</t>
  </si>
  <si>
    <t>Efectivos hasta corte</t>
  </si>
  <si>
    <t>Último año</t>
  </si>
  <si>
    <t>T1</t>
  </si>
  <si>
    <t>Total calendario completo</t>
  </si>
  <si>
    <t>T2</t>
  </si>
  <si>
    <t>Total hasta fecha de corte</t>
  </si>
  <si>
    <t>T3</t>
  </si>
  <si>
    <t>T4</t>
  </si>
  <si>
    <t>Total anual</t>
  </si>
  <si>
    <t>Fechas festivas observadas y conteo de efectividad</t>
  </si>
  <si>
    <t>Cada fila es una fecha observada única. Si dos celebraciones llegan al mismo lunes, aparecen agregadas y la fecha cuenta una sola vez.</t>
  </si>
  <si>
    <t>Fecha observada</t>
  </si>
  <si>
    <t>Día</t>
  </si>
  <si>
    <t>Celebración(es)</t>
  </si>
  <si>
    <t>Fecha(s) nominal(es)</t>
  </si>
  <si>
    <t>N.º celebraciones</t>
  </si>
  <si>
    <t>Efectivo</t>
  </si>
  <si>
    <t>Coincidencia</t>
  </si>
  <si>
    <t>Justificación</t>
  </si>
  <si>
    <t>Norma(s)</t>
  </si>
  <si>
    <t>Fuente(s)</t>
  </si>
  <si>
    <t>Ocurrido al corte</t>
  </si>
  <si>
    <t>lunes</t>
  </si>
  <si>
    <t>Año Nuevo</t>
  </si>
  <si>
    <t>2001-01-01</t>
  </si>
  <si>
    <t>Cuenta como día efectivo; el descanso observado no cae en domingo.</t>
  </si>
  <si>
    <t>Ley 51 de 1983</t>
  </si>
  <si>
    <t>https://www.funcionpublica.gov.co/eva/gestornormativo/norma.php?i=4954</t>
  </si>
  <si>
    <t>Epifanía / Reyes Magos</t>
  </si>
  <si>
    <t>2001-01-06</t>
  </si>
  <si>
    <t>San José</t>
  </si>
  <si>
    <t>2001-03-19</t>
  </si>
  <si>
    <t>jueves</t>
  </si>
  <si>
    <t>Jueves Santo</t>
  </si>
  <si>
    <t>2001-04-12</t>
  </si>
  <si>
    <t>viernes</t>
  </si>
  <si>
    <t>Viernes Santo</t>
  </si>
  <si>
    <t>2001-04-13</t>
  </si>
  <si>
    <t>martes</t>
  </si>
  <si>
    <t>Día del Trabajo</t>
  </si>
  <si>
    <t>2001-05-01</t>
  </si>
  <si>
    <t>Ascensión del Señor</t>
  </si>
  <si>
    <t>2001-05-24</t>
  </si>
  <si>
    <t>Corpus Christi</t>
  </si>
  <si>
    <t>2001-06-14</t>
  </si>
  <si>
    <t>Sagrado Corazón de Jesús</t>
  </si>
  <si>
    <t>2001-06-22</t>
  </si>
  <si>
    <t>San Pedro y San Pablo</t>
  </si>
  <si>
    <t>2001-06-29</t>
  </si>
  <si>
    <t>Independencia de Colombia</t>
  </si>
  <si>
    <t>2001-07-20</t>
  </si>
  <si>
    <t>Batalla de Boyacá</t>
  </si>
  <si>
    <t>2001-08-07</t>
  </si>
  <si>
    <t>Asunción de la Virgen</t>
  </si>
  <si>
    <t>2001-08-15</t>
  </si>
  <si>
    <t>Día de la Diversidad Étnica y Cultural</t>
  </si>
  <si>
    <t>2001-10-12</t>
  </si>
  <si>
    <t>Todos los Santos</t>
  </si>
  <si>
    <t>2001-11-01</t>
  </si>
  <si>
    <t>Independencia de Cartagena</t>
  </si>
  <si>
    <t>2001-11-11</t>
  </si>
  <si>
    <t>sábado</t>
  </si>
  <si>
    <t>Inmaculada Concepción</t>
  </si>
  <si>
    <t>2001-12-08</t>
  </si>
  <si>
    <t>Navidad</t>
  </si>
  <si>
    <t>2001-12-25</t>
  </si>
  <si>
    <t>2002-01-01</t>
  </si>
  <si>
    <t>2002-01-06</t>
  </si>
  <si>
    <t>2002-03-19</t>
  </si>
  <si>
    <t>2002-03-28</t>
  </si>
  <si>
    <t>2002-03-29</t>
  </si>
  <si>
    <t>miércoles</t>
  </si>
  <si>
    <t>2002-05-01</t>
  </si>
  <si>
    <t>2002-05-09</t>
  </si>
  <si>
    <t>2002-05-30</t>
  </si>
  <si>
    <t>2002-06-07</t>
  </si>
  <si>
    <t>2002-06-29</t>
  </si>
  <si>
    <t>2002-07-20</t>
  </si>
  <si>
    <t>2002-08-07</t>
  </si>
  <si>
    <t>2002-08-15</t>
  </si>
  <si>
    <t>2002-10-12</t>
  </si>
  <si>
    <t>2002-11-01</t>
  </si>
  <si>
    <t>2002-11-11</t>
  </si>
  <si>
    <t>domingo</t>
  </si>
  <si>
    <t>2002-12-08</t>
  </si>
  <si>
    <t>No cuenta como día efectivo adicional: cae en domingo y no tiene traslado legal.</t>
  </si>
  <si>
    <t>2002-12-25</t>
  </si>
  <si>
    <t>2003-01-01</t>
  </si>
  <si>
    <t>2003-01-06</t>
  </si>
  <si>
    <t>2003-03-19</t>
  </si>
  <si>
    <t>2003-04-17</t>
  </si>
  <si>
    <t>2003-04-18</t>
  </si>
  <si>
    <t>2003-05-01</t>
  </si>
  <si>
    <t>2003-05-29</t>
  </si>
  <si>
    <t>2003-06-19</t>
  </si>
  <si>
    <t>Sagrado Corazón de Jesús | San Pedro y San Pablo</t>
  </si>
  <si>
    <t>2003-06-27 | 2003-06-29</t>
  </si>
  <si>
    <t>2003-07-20</t>
  </si>
  <si>
    <t>2003-08-07</t>
  </si>
  <si>
    <t>2003-08-15</t>
  </si>
  <si>
    <t>2003-10-12</t>
  </si>
  <si>
    <t>2003-11-01</t>
  </si>
  <si>
    <t>2003-11-11</t>
  </si>
  <si>
    <t>2003-12-08</t>
  </si>
  <si>
    <t>2003-12-25</t>
  </si>
  <si>
    <t>2004-01-01</t>
  </si>
  <si>
    <t>2004-01-06</t>
  </si>
  <si>
    <t>2004-03-19</t>
  </si>
  <si>
    <t>2004-04-08</t>
  </si>
  <si>
    <t>2004-04-09</t>
  </si>
  <si>
    <t>2004-05-01</t>
  </si>
  <si>
    <t>2004-05-20</t>
  </si>
  <si>
    <t>2004-06-10</t>
  </si>
  <si>
    <t>2004-06-18</t>
  </si>
  <si>
    <t>2004-06-29</t>
  </si>
  <si>
    <t>2004-07-20</t>
  </si>
  <si>
    <t>2004-08-07</t>
  </si>
  <si>
    <t>2004-08-15</t>
  </si>
  <si>
    <t>2004-10-12</t>
  </si>
  <si>
    <t>2004-11-01</t>
  </si>
  <si>
    <t>2004-11-11</t>
  </si>
  <si>
    <t>2004-12-08</t>
  </si>
  <si>
    <t>2004-12-25</t>
  </si>
  <si>
    <t>2005-01-01</t>
  </si>
  <si>
    <t>2005-01-06</t>
  </si>
  <si>
    <t>2005-03-19</t>
  </si>
  <si>
    <t>2005-03-24</t>
  </si>
  <si>
    <t>2005-03-25</t>
  </si>
  <si>
    <t>2005-05-01</t>
  </si>
  <si>
    <t>2005-05-05</t>
  </si>
  <si>
    <t>2005-05-26</t>
  </si>
  <si>
    <t>2005-06-03</t>
  </si>
  <si>
    <t>2005-06-29</t>
  </si>
  <si>
    <t>2005-07-20</t>
  </si>
  <si>
    <t>2005-08-07</t>
  </si>
  <si>
    <t>2005-08-15</t>
  </si>
  <si>
    <t>2005-10-12</t>
  </si>
  <si>
    <t>2005-11-01</t>
  </si>
  <si>
    <t>2005-11-11</t>
  </si>
  <si>
    <t>2005-12-08</t>
  </si>
  <si>
    <t>2005-12-25</t>
  </si>
  <si>
    <t>2006-01-01</t>
  </si>
  <si>
    <t>2006-01-06</t>
  </si>
  <si>
    <t>2006-03-19</t>
  </si>
  <si>
    <t>2006-04-13</t>
  </si>
  <si>
    <t>2006-04-14</t>
  </si>
  <si>
    <t>2006-05-01</t>
  </si>
  <si>
    <t>2006-05-25</t>
  </si>
  <si>
    <t>2006-06-15</t>
  </si>
  <si>
    <t>2006-06-23</t>
  </si>
  <si>
    <t>2006-06-29</t>
  </si>
  <si>
    <t>2006-07-20</t>
  </si>
  <si>
    <t>2006-08-07</t>
  </si>
  <si>
    <t>2006-08-15</t>
  </si>
  <si>
    <t>2006-10-12</t>
  </si>
  <si>
    <t>2006-11-01</t>
  </si>
  <si>
    <t>2006-11-11</t>
  </si>
  <si>
    <t>2006-12-08</t>
  </si>
  <si>
    <t>2006-12-25</t>
  </si>
  <si>
    <t>2007-01-01</t>
  </si>
  <si>
    <t>2007-01-06</t>
  </si>
  <si>
    <t>2007-03-19</t>
  </si>
  <si>
    <t>2007-04-05</t>
  </si>
  <si>
    <t>2007-04-06</t>
  </si>
  <si>
    <t>2007-05-01</t>
  </si>
  <si>
    <t>2007-05-17</t>
  </si>
  <si>
    <t>2007-06-07</t>
  </si>
  <si>
    <t>2007-06-15</t>
  </si>
  <si>
    <t>2007-06-29</t>
  </si>
  <si>
    <t>2007-07-20</t>
  </si>
  <si>
    <t>2007-08-07</t>
  </si>
  <si>
    <t>2007-08-15</t>
  </si>
  <si>
    <t>2007-10-12</t>
  </si>
  <si>
    <t>2007-11-01</t>
  </si>
  <si>
    <t>2007-11-11</t>
  </si>
  <si>
    <t>2007-12-08</t>
  </si>
  <si>
    <t>2007-12-25</t>
  </si>
  <si>
    <t>2008-01-01</t>
  </si>
  <si>
    <t>2008-01-06</t>
  </si>
  <si>
    <t>2008-03-20</t>
  </si>
  <si>
    <t>2008-03-21</t>
  </si>
  <si>
    <t>2008-03-19</t>
  </si>
  <si>
    <t>2008-05-01</t>
  </si>
  <si>
    <t>2008-05-22</t>
  </si>
  <si>
    <t>2008-05-30</t>
  </si>
  <si>
    <t>2008-06-29</t>
  </si>
  <si>
    <t>2008-07-20</t>
  </si>
  <si>
    <t>2008-08-07</t>
  </si>
  <si>
    <t>2008-08-15</t>
  </si>
  <si>
    <t>2008-10-12</t>
  </si>
  <si>
    <t>2008-11-01</t>
  </si>
  <si>
    <t>2008-11-11</t>
  </si>
  <si>
    <t>2008-12-08</t>
  </si>
  <si>
    <t>2008-12-25</t>
  </si>
  <si>
    <t>2009-01-01</t>
  </si>
  <si>
    <t>2009-01-06</t>
  </si>
  <si>
    <t>2009-03-19</t>
  </si>
  <si>
    <t>2009-04-09</t>
  </si>
  <si>
    <t>2009-04-10</t>
  </si>
  <si>
    <t>2009-05-01</t>
  </si>
  <si>
    <t>2009-05-21</t>
  </si>
  <si>
    <t>2009-06-11</t>
  </si>
  <si>
    <t>2009-06-19</t>
  </si>
  <si>
    <t>2009-06-29</t>
  </si>
  <si>
    <t>2009-07-20</t>
  </si>
  <si>
    <t>2009-08-07</t>
  </si>
  <si>
    <t>2009-08-15</t>
  </si>
  <si>
    <t>2009-10-12</t>
  </si>
  <si>
    <t>2009-11-01</t>
  </si>
  <si>
    <t>2009-11-11</t>
  </si>
  <si>
    <t>2009-12-08</t>
  </si>
  <si>
    <t>2009-12-25</t>
  </si>
  <si>
    <t>2010-01-01</t>
  </si>
  <si>
    <t>2010-01-06</t>
  </si>
  <si>
    <t>2010-03-19</t>
  </si>
  <si>
    <t>2010-04-01</t>
  </si>
  <si>
    <t>2010-04-02</t>
  </si>
  <si>
    <t>2010-05-01</t>
  </si>
  <si>
    <t>2010-05-13</t>
  </si>
  <si>
    <t>2010-06-03</t>
  </si>
  <si>
    <t>2010-06-11</t>
  </si>
  <si>
    <t>2010-06-29</t>
  </si>
  <si>
    <t>2010-07-20</t>
  </si>
  <si>
    <t>2010-08-07</t>
  </si>
  <si>
    <t>2010-08-15</t>
  </si>
  <si>
    <t>2010-10-12</t>
  </si>
  <si>
    <t>2010-11-01</t>
  </si>
  <si>
    <t>2010-11-11</t>
  </si>
  <si>
    <t>2010-12-08</t>
  </si>
  <si>
    <t>2010-12-25</t>
  </si>
  <si>
    <t>2011-01-01</t>
  </si>
  <si>
    <t>2011-01-06</t>
  </si>
  <si>
    <t>2011-03-19</t>
  </si>
  <si>
    <t>2011-04-21</t>
  </si>
  <si>
    <t>2011-04-22</t>
  </si>
  <si>
    <t>2011-05-01</t>
  </si>
  <si>
    <t>2011-06-02</t>
  </si>
  <si>
    <t>2011-06-23</t>
  </si>
  <si>
    <t>2011-07-01 | 2011-06-29</t>
  </si>
  <si>
    <t>2011-07-20</t>
  </si>
  <si>
    <t>2011-08-07</t>
  </si>
  <si>
    <t>2011-08-15</t>
  </si>
  <si>
    <t>2011-10-12</t>
  </si>
  <si>
    <t>2011-11-01</t>
  </si>
  <si>
    <t>2011-11-11</t>
  </si>
  <si>
    <t>2011-12-08</t>
  </si>
  <si>
    <t>2011-12-25</t>
  </si>
  <si>
    <t>2012-01-01</t>
  </si>
  <si>
    <t>2012-01-06</t>
  </si>
  <si>
    <t>2012-03-19</t>
  </si>
  <si>
    <t>2012-04-05</t>
  </si>
  <si>
    <t>2012-04-06</t>
  </si>
  <si>
    <t>2012-05-01</t>
  </si>
  <si>
    <t>2012-05-17</t>
  </si>
  <si>
    <t>2012-06-07</t>
  </si>
  <si>
    <t>2012-06-15</t>
  </si>
  <si>
    <t>2012-06-29</t>
  </si>
  <si>
    <t>2012-07-20</t>
  </si>
  <si>
    <t>2012-08-07</t>
  </si>
  <si>
    <t>2012-08-15</t>
  </si>
  <si>
    <t>2012-10-12</t>
  </si>
  <si>
    <t>2012-11-01</t>
  </si>
  <si>
    <t>2012-11-11</t>
  </si>
  <si>
    <t>2012-12-08</t>
  </si>
  <si>
    <t>2012-12-25</t>
  </si>
  <si>
    <t>2013-01-01</t>
  </si>
  <si>
    <t>2013-01-06</t>
  </si>
  <si>
    <t>2013-03-19</t>
  </si>
  <si>
    <t>2013-03-28</t>
  </si>
  <si>
    <t>2013-03-29</t>
  </si>
  <si>
    <t>2013-05-01</t>
  </si>
  <si>
    <t>2013-05-09</t>
  </si>
  <si>
    <t>2013-05-30</t>
  </si>
  <si>
    <t>2013-06-07</t>
  </si>
  <si>
    <t>2013-06-29</t>
  </si>
  <si>
    <t>2013-07-20</t>
  </si>
  <si>
    <t>2013-08-07</t>
  </si>
  <si>
    <t>2013-08-15</t>
  </si>
  <si>
    <t>2013-10-12</t>
  </si>
  <si>
    <t>2013-11-01</t>
  </si>
  <si>
    <t>2013-11-11</t>
  </si>
  <si>
    <t>2013-12-08</t>
  </si>
  <si>
    <t>2013-12-25</t>
  </si>
  <si>
    <t>2014-01-01</t>
  </si>
  <si>
    <t>2014-01-06</t>
  </si>
  <si>
    <t>2014-03-19</t>
  </si>
  <si>
    <t>2014-04-17</t>
  </si>
  <si>
    <t>2014-04-18</t>
  </si>
  <si>
    <t>2014-05-01</t>
  </si>
  <si>
    <t>2014-05-29</t>
  </si>
  <si>
    <t>2014-06-19</t>
  </si>
  <si>
    <t>2014-06-27 | 2014-06-29</t>
  </si>
  <si>
    <t>2014-07-20</t>
  </si>
  <si>
    <t>2014-08-07</t>
  </si>
  <si>
    <t>2014-08-15</t>
  </si>
  <si>
    <t>2014-10-12</t>
  </si>
  <si>
    <t>2014-11-01</t>
  </si>
  <si>
    <t>2014-11-11</t>
  </si>
  <si>
    <t>2014-12-08</t>
  </si>
  <si>
    <t>2014-12-25</t>
  </si>
  <si>
    <t>2015-01-01</t>
  </si>
  <si>
    <t>2015-01-06</t>
  </si>
  <si>
    <t>2015-03-19</t>
  </si>
  <si>
    <t>2015-04-02</t>
  </si>
  <si>
    <t>2015-04-03</t>
  </si>
  <si>
    <t>2015-05-01</t>
  </si>
  <si>
    <t>2015-05-14</t>
  </si>
  <si>
    <t>2015-06-04</t>
  </si>
  <si>
    <t>2015-06-12</t>
  </si>
  <si>
    <t>2015-06-29</t>
  </si>
  <si>
    <t>2015-07-20</t>
  </si>
  <si>
    <t>2015-08-07</t>
  </si>
  <si>
    <t>2015-08-15</t>
  </si>
  <si>
    <t>2015-10-12</t>
  </si>
  <si>
    <t>2015-11-01</t>
  </si>
  <si>
    <t>2015-11-11</t>
  </si>
  <si>
    <t>2015-12-08</t>
  </si>
  <si>
    <t>2015-12-25</t>
  </si>
  <si>
    <t>2016-01-01</t>
  </si>
  <si>
    <t>2016-01-06</t>
  </si>
  <si>
    <t>2016-03-19</t>
  </si>
  <si>
    <t>2016-03-24</t>
  </si>
  <si>
    <t>2016-03-25</t>
  </si>
  <si>
    <t>2016-05-01</t>
  </si>
  <si>
    <t>2016-05-05</t>
  </si>
  <si>
    <t>2016-05-26</t>
  </si>
  <si>
    <t>2016-06-03</t>
  </si>
  <si>
    <t>2016-06-29</t>
  </si>
  <si>
    <t>2016-07-20</t>
  </si>
  <si>
    <t>2016-08-07</t>
  </si>
  <si>
    <t>2016-08-15</t>
  </si>
  <si>
    <t>2016-10-12</t>
  </si>
  <si>
    <t>2016-11-01</t>
  </si>
  <si>
    <t>2016-11-11</t>
  </si>
  <si>
    <t>2016-12-08</t>
  </si>
  <si>
    <t>2016-12-25</t>
  </si>
  <si>
    <t>2017-01-01</t>
  </si>
  <si>
    <t>2017-01-06</t>
  </si>
  <si>
    <t>2017-03-19</t>
  </si>
  <si>
    <t>2017-04-13</t>
  </si>
  <si>
    <t>2017-04-14</t>
  </si>
  <si>
    <t>2017-05-01</t>
  </si>
  <si>
    <t>2017-05-25</t>
  </si>
  <si>
    <t>2017-06-15</t>
  </si>
  <si>
    <t>2017-06-23</t>
  </si>
  <si>
    <t>2017-06-29</t>
  </si>
  <si>
    <t>2017-07-20</t>
  </si>
  <si>
    <t>2017-08-07</t>
  </si>
  <si>
    <t>2017-08-15</t>
  </si>
  <si>
    <t>2017-10-12</t>
  </si>
  <si>
    <t>2017-11-01</t>
  </si>
  <si>
    <t>2017-11-11</t>
  </si>
  <si>
    <t>2017-12-08</t>
  </si>
  <si>
    <t>2017-12-25</t>
  </si>
  <si>
    <t>2018-01-01</t>
  </si>
  <si>
    <t>2018-01-06</t>
  </si>
  <si>
    <t>2018-03-19</t>
  </si>
  <si>
    <t>2018-03-29</t>
  </si>
  <si>
    <t>2018-03-30</t>
  </si>
  <si>
    <t>2018-05-01</t>
  </si>
  <si>
    <t>2018-05-10</t>
  </si>
  <si>
    <t>2018-05-31</t>
  </si>
  <si>
    <t>2018-06-08</t>
  </si>
  <si>
    <t>2018-06-29</t>
  </si>
  <si>
    <t>2018-07-20</t>
  </si>
  <si>
    <t>2018-08-07</t>
  </si>
  <si>
    <t>2018-08-15</t>
  </si>
  <si>
    <t>2018-10-12</t>
  </si>
  <si>
    <t>2018-11-01</t>
  </si>
  <si>
    <t>2018-11-11</t>
  </si>
  <si>
    <t>2018-12-08</t>
  </si>
  <si>
    <t>2018-12-25</t>
  </si>
  <si>
    <t>2019-01-01</t>
  </si>
  <si>
    <t>2019-01-06</t>
  </si>
  <si>
    <t>2019-03-19</t>
  </si>
  <si>
    <t>2019-04-18</t>
  </si>
  <si>
    <t>2019-04-19</t>
  </si>
  <si>
    <t>2019-05-01</t>
  </si>
  <si>
    <t>2019-05-30</t>
  </si>
  <si>
    <t>2019-06-20</t>
  </si>
  <si>
    <t>2019-06-28 | 2019-06-29</t>
  </si>
  <si>
    <t>2019-07-20</t>
  </si>
  <si>
    <t>2019-08-07</t>
  </si>
  <si>
    <t>2019-08-15</t>
  </si>
  <si>
    <t>2019-10-12</t>
  </si>
  <si>
    <t>2019-11-01</t>
  </si>
  <si>
    <t>2019-11-11</t>
  </si>
  <si>
    <t>2019-12-08</t>
  </si>
  <si>
    <t>2019-12-25</t>
  </si>
  <si>
    <t>2020-01-01</t>
  </si>
  <si>
    <t>2020-01-06</t>
  </si>
  <si>
    <t>2020-03-19</t>
  </si>
  <si>
    <t>2020-04-09</t>
  </si>
  <si>
    <t>2020-04-10</t>
  </si>
  <si>
    <t>2020-05-01</t>
  </si>
  <si>
    <t>2020-05-21</t>
  </si>
  <si>
    <t>2020-06-11</t>
  </si>
  <si>
    <t>2020-06-19</t>
  </si>
  <si>
    <t>2020-06-29</t>
  </si>
  <si>
    <t>2020-07-20</t>
  </si>
  <si>
    <t>2020-08-07</t>
  </si>
  <si>
    <t>2020-08-15</t>
  </si>
  <si>
    <t>2020-10-12</t>
  </si>
  <si>
    <t>2020-11-01</t>
  </si>
  <si>
    <t>2020-11-11</t>
  </si>
  <si>
    <t>2020-12-08</t>
  </si>
  <si>
    <t>2020-12-25</t>
  </si>
  <si>
    <t>2021-01-01</t>
  </si>
  <si>
    <t>2021-01-06</t>
  </si>
  <si>
    <t>2021-03-19</t>
  </si>
  <si>
    <t>2021-04-01</t>
  </si>
  <si>
    <t>2021-04-02</t>
  </si>
  <si>
    <t>2021-05-01</t>
  </si>
  <si>
    <t>2021-05-13</t>
  </si>
  <si>
    <t>2021-06-03</t>
  </si>
  <si>
    <t>2021-06-11</t>
  </si>
  <si>
    <t>2021-06-29</t>
  </si>
  <si>
    <t>2021-07-20</t>
  </si>
  <si>
    <t>2021-08-07</t>
  </si>
  <si>
    <t>2021-08-15</t>
  </si>
  <si>
    <t>2021-10-12</t>
  </si>
  <si>
    <t>2021-11-01</t>
  </si>
  <si>
    <t>2021-11-11</t>
  </si>
  <si>
    <t>2021-12-08</t>
  </si>
  <si>
    <t>2021-12-25</t>
  </si>
  <si>
    <t>2022-01-01</t>
  </si>
  <si>
    <t>2022-01-06</t>
  </si>
  <si>
    <t>2022-03-19</t>
  </si>
  <si>
    <t>2022-04-14</t>
  </si>
  <si>
    <t>2022-04-15</t>
  </si>
  <si>
    <t>2022-05-01</t>
  </si>
  <si>
    <t>2022-05-26</t>
  </si>
  <si>
    <t>2022-06-16</t>
  </si>
  <si>
    <t>2022-06-24</t>
  </si>
  <si>
    <t>2022-06-29</t>
  </si>
  <si>
    <t>2022-07-20</t>
  </si>
  <si>
    <t>2022-08-07</t>
  </si>
  <si>
    <t>2022-08-15</t>
  </si>
  <si>
    <t>2022-10-12</t>
  </si>
  <si>
    <t>2022-11-01</t>
  </si>
  <si>
    <t>2022-11-11</t>
  </si>
  <si>
    <t>2022-12-08</t>
  </si>
  <si>
    <t>2022-12-25</t>
  </si>
  <si>
    <t>2023-01-01</t>
  </si>
  <si>
    <t>2023-01-06</t>
  </si>
  <si>
    <t>2023-03-19</t>
  </si>
  <si>
    <t>2023-04-06</t>
  </si>
  <si>
    <t>2023-04-07</t>
  </si>
  <si>
    <t>2023-05-01</t>
  </si>
  <si>
    <t>2023-05-18</t>
  </si>
  <si>
    <t>2023-06-08</t>
  </si>
  <si>
    <t>2023-06-16</t>
  </si>
  <si>
    <t>2023-06-29</t>
  </si>
  <si>
    <t>2023-07-20</t>
  </si>
  <si>
    <t>2023-08-07</t>
  </si>
  <si>
    <t>2023-08-15</t>
  </si>
  <si>
    <t>2023-10-12</t>
  </si>
  <si>
    <t>2023-11-01</t>
  </si>
  <si>
    <t>2023-11-11</t>
  </si>
  <si>
    <t>2023-12-08</t>
  </si>
  <si>
    <t>2023-12-25</t>
  </si>
  <si>
    <t>2024-01-01</t>
  </si>
  <si>
    <t>2024-01-06</t>
  </si>
  <si>
    <t>2024-03-19</t>
  </si>
  <si>
    <t>2024-03-28</t>
  </si>
  <si>
    <t>2024-03-29</t>
  </si>
  <si>
    <t>2024-05-01</t>
  </si>
  <si>
    <t>2024-05-09</t>
  </si>
  <si>
    <t>2024-05-30</t>
  </si>
  <si>
    <t>2024-06-07</t>
  </si>
  <si>
    <t>2024-06-29</t>
  </si>
  <si>
    <t>2024-07-20</t>
  </si>
  <si>
    <t>2024-08-07</t>
  </si>
  <si>
    <t>2024-08-15</t>
  </si>
  <si>
    <t>2024-10-12</t>
  </si>
  <si>
    <t>2024-11-01</t>
  </si>
  <si>
    <t>2024-11-11</t>
  </si>
  <si>
    <t>2024-12-08</t>
  </si>
  <si>
    <t>2024-12-25</t>
  </si>
  <si>
    <t>2025-01-01</t>
  </si>
  <si>
    <t>2025-01-06</t>
  </si>
  <si>
    <t>2025-03-19</t>
  </si>
  <si>
    <t>2025-04-17</t>
  </si>
  <si>
    <t>2025-04-18</t>
  </si>
  <si>
    <t>2025-05-01</t>
  </si>
  <si>
    <t>2025-05-29</t>
  </si>
  <si>
    <t>2025-06-19</t>
  </si>
  <si>
    <t>2025-06-27 | 2025-06-29</t>
  </si>
  <si>
    <t>2025-07-20</t>
  </si>
  <si>
    <t>2025-08-07</t>
  </si>
  <si>
    <t>2025-08-15</t>
  </si>
  <si>
    <t>2025-10-12</t>
  </si>
  <si>
    <t>2025-11-01</t>
  </si>
  <si>
    <t>2025-11-11</t>
  </si>
  <si>
    <t>2025-12-08</t>
  </si>
  <si>
    <t>2025-12-25</t>
  </si>
  <si>
    <t>2026-01-01</t>
  </si>
  <si>
    <t>2026-01-06</t>
  </si>
  <si>
    <t>2026-03-19</t>
  </si>
  <si>
    <t>2026-04-02</t>
  </si>
  <si>
    <t>2026-04-03</t>
  </si>
  <si>
    <t>2026-05-01</t>
  </si>
  <si>
    <t>2026-05-14</t>
  </si>
  <si>
    <t>2026-06-04</t>
  </si>
  <si>
    <t>2026-06-12</t>
  </si>
  <si>
    <t>2026-06-29</t>
  </si>
  <si>
    <t>Nuestra Señora del Rosario de Chiquinquirá</t>
  </si>
  <si>
    <t>2026-07-09</t>
  </si>
  <si>
    <t>Ley 2578 de 2026</t>
  </si>
  <si>
    <t>https://www.suin-juriscol.gov.co/clp/contenidos.dll/Leyes/30056513?fn=document-frame.htm%24f%3Dtemplates%243.0</t>
  </si>
  <si>
    <t>2026-07-20</t>
  </si>
  <si>
    <t>2026-08-07</t>
  </si>
  <si>
    <t>2026-08-15</t>
  </si>
  <si>
    <t>2026-10-12</t>
  </si>
  <si>
    <t>2026-11-01</t>
  </si>
  <si>
    <t>2026-11-11</t>
  </si>
  <si>
    <t>2026-12-08</t>
  </si>
  <si>
    <t>2026-12-25</t>
  </si>
  <si>
    <t>Detalle de cada celebración legal</t>
  </si>
  <si>
    <t>Esta hoja conserva una fila por celebración, incluso cuando dos celebraciones coinciden en la misma fecha observada.</t>
  </si>
  <si>
    <t>Celebración</t>
  </si>
  <si>
    <t>Fecha nominal</t>
  </si>
  <si>
    <t>Día nominal</t>
  </si>
  <si>
    <t>¿Trasladable?</t>
  </si>
  <si>
    <t>Día observado</t>
  </si>
  <si>
    <t>¿Fue trasladado?</t>
  </si>
  <si>
    <t>Efectivo como evento</t>
  </si>
  <si>
    <t>Norma</t>
  </si>
  <si>
    <t>Fuente</t>
  </si>
  <si>
    <t>No</t>
  </si>
  <si>
    <t>Sí</t>
  </si>
  <si>
    <t>Metodología, cambios normativos y fuentes</t>
  </si>
  <si>
    <t>Concepto</t>
  </si>
  <si>
    <t>Criterio aplicado</t>
  </si>
  <si>
    <t>Festivo efectivo</t>
  </si>
  <si>
    <t>Fecha festiva observada que no cae en domingo. El sábado sí cuenta, porque la solicitud señaló específicamente el tratamiento del domingo.</t>
  </si>
  <si>
    <t>Traslado Ley Emiliani</t>
  </si>
  <si>
    <t>Los festivos expresamente trasladables se observan el lunes siguiente cuando la fecha nominal no cae lunes; esto incluye los que nominalmente caen domingo.</t>
  </si>
  <si>
    <t>Festivo fijo en domingo</t>
  </si>
  <si>
    <t>No se mueve y no suma como día efectivo adicional.</t>
  </si>
  <si>
    <t>Cuando dos celebraciones se observan en la misma fecha, se cuenta un solo día efectivo.</t>
  </si>
  <si>
    <t>Se asigna según la fecha observada, no según la fecha nominal.</t>
  </si>
  <si>
    <t>Año 2026</t>
  </si>
  <si>
    <t>Se incluye el calendario completo de 2026; la columna «Efectivos hasta corte» permite usar estrictamente la información ocurrida hasta el 22-jul-2026.</t>
  </si>
  <si>
    <t>Pascua</t>
  </si>
  <si>
    <t>Jueves Santo, Viernes Santo, Ascensión, Corpus Christi y Sagrado Corazón se calculan a partir de la Pascua gregoriana mediante el algoritmo Meeus/Jones/Butcher.</t>
  </si>
  <si>
    <t>Vigencia</t>
  </si>
  <si>
    <t>Cambio</t>
  </si>
  <si>
    <t>Impacto en el cálculo</t>
  </si>
  <si>
    <t>2001–1-jun-2026</t>
  </si>
  <si>
    <t>Régimen de 18 celebraciones anuales de la Ley 51 de 1983.</t>
  </si>
  <si>
    <t>Se aplican 10 reglas de traslado; los festivos fijos en domingo no se trasladan.</t>
  </si>
  <si>
    <t>Desde 2-jun-2026</t>
  </si>
  <si>
    <t>La Ley 2578 de 2026 declaró festivo nacional el 9 de julio por Nuestra Señora del Rosario de Chiquinquirá.</t>
  </si>
  <si>
    <t>Desde 2026 hay una celebración adicional y se aplica la Ley 51 para determinar la fecha de descanso; en 2026 se observó el lunes 13 de julio.</t>
  </si>
  <si>
    <t>Todo el periodo</t>
  </si>
  <si>
    <t>No se identificó otra adición o eliminación de días festivos nacionales entre 2001 y la fecha de corte.</t>
  </si>
  <si>
    <t>Los cambios de denominación de algunas conmemoraciones no alteran el conteo.</t>
  </si>
  <si>
    <t>https://www.secretariasenado.gov.co/senado/basedoc/codigo_sustantivo_trabajo_pr006.html</t>
  </si>
  <si>
    <t>Uso</t>
  </si>
  <si>
    <t>URL</t>
  </si>
  <si>
    <t>Ley 51 de 1983 — Función Pública</t>
  </si>
  <si>
    <t>Lista base de festivos y reglas de traslado al lunes.</t>
  </si>
  <si>
    <t>Código Sustantivo del Trabajo, artículo 177 — Senado</t>
  </si>
  <si>
    <t>Confirmación del régimen general de descanso remunerado.</t>
  </si>
  <si>
    <t>Ley 2578 de 2026 — SUIN-Juriscol</t>
  </si>
  <si>
    <t>Nuevo festivo nacional del 9 de julio y vigencia desde junio de 2026.</t>
  </si>
  <si>
    <t>Celebraciones coincidentes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</si>
</sst>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top"/>
    </xf>
    <xf numFmtId="0" fontId="3" fillId="5" borderId="4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5" borderId="7" xfId="0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1" fontId="0" fillId="0" borderId="5" xfId="0" applyNumberFormat="1" applyBorder="1" applyAlignment="1">
      <alignment vertical="top" wrapText="1"/>
    </xf>
    <xf numFmtId="1" fontId="0" fillId="0" borderId="6" xfId="0" applyNumberFormat="1" applyBorder="1" applyAlignment="1">
      <alignment vertical="top" wrapText="1"/>
    </xf>
    <xf numFmtId="0" fontId="0" fillId="0" borderId="7" xfId="0" applyBorder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8" xfId="0" applyNumberFormat="1" applyBorder="1" applyAlignment="1">
      <alignment vertical="top" wrapText="1"/>
    </xf>
    <xf numFmtId="0" fontId="3" fillId="5" borderId="9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1" fontId="0" fillId="0" borderId="10" xfId="0" applyNumberFormat="1" applyBorder="1" applyAlignment="1">
      <alignment vertical="top" wrapText="1"/>
    </xf>
    <xf numFmtId="1" fontId="0" fillId="0" borderId="11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165" fontId="0" fillId="0" borderId="5" xfId="0" applyNumberFormat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165" fontId="0" fillId="0" borderId="10" xfId="0" applyNumberFormat="1" applyBorder="1" applyAlignment="1">
      <alignment vertical="top" wrapText="1"/>
    </xf>
    <xf numFmtId="165" fontId="0" fillId="0" borderId="6" xfId="0" applyNumberFormat="1" applyBorder="1" applyAlignment="1">
      <alignment vertical="top" wrapText="1"/>
    </xf>
    <xf numFmtId="0" fontId="1" fillId="2" borderId="0" xfId="0" applyFont="1" applyFill="1" applyAlignment="1">
      <alignment horizontal="left" vertical="top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Festivos efectivos por trimestre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T1</c:v>
          </c:tx>
          <c:cat>
            <c:numRef>
              <c:f>'Resumen trimestral'!$K$10:$K$35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'Resumen trimestral'!$L$10:$L$35</c:f>
              <c:numCache>
                <c:formatCode>General</c:formatCode>
                <c:ptCount val="26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5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2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5-4CDA-BA8D-F711B65E6DD2}"/>
            </c:ext>
          </c:extLst>
        </c:ser>
        <c:ser>
          <c:idx val="1"/>
          <c:order val="1"/>
          <c:tx>
            <c:v>T2</c:v>
          </c:tx>
          <c:cat>
            <c:numRef>
              <c:f>'Resumen trimestral'!$K$10:$K$35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'Resumen trimestral'!$M$10:$M$35</c:f>
              <c:numCache>
                <c:formatCode>General</c:formatCode>
                <c:ptCount val="26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7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4</c:v>
                </c:pt>
                <c:pt idx="24">
                  <c:v>6</c:v>
                </c:pt>
                <c:pt idx="2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25-4CDA-BA8D-F711B65E6DD2}"/>
            </c:ext>
          </c:extLst>
        </c:ser>
        <c:ser>
          <c:idx val="2"/>
          <c:order val="2"/>
          <c:tx>
            <c:v>T3</c:v>
          </c:tx>
          <c:cat>
            <c:numRef>
              <c:f>'Resumen trimestral'!$K$10:$K$35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'Resumen trimestral'!$N$10:$N$35</c:f>
              <c:numCache>
                <c:formatCode>General</c:formatCode>
                <c:ptCount val="26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2</c:v>
                </c:pt>
                <c:pt idx="2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25-4CDA-BA8D-F711B65E6DD2}"/>
            </c:ext>
          </c:extLst>
        </c:ser>
        <c:ser>
          <c:idx val="3"/>
          <c:order val="3"/>
          <c:tx>
            <c:v>T4</c:v>
          </c:tx>
          <c:cat>
            <c:numRef>
              <c:f>'Resumen trimestral'!$K$10:$K$35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'Resumen trimestral'!$O$10:$O$35</c:f>
              <c:numCache>
                <c:formatCode>General</c:formatCode>
                <c:ptCount val="2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25-4CDA-BA8D-F711B65E6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Festivos efectivos por año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cat>
            <c:numRef>
              <c:f>'Resumen trimestral'!$K$10:$K$35</c:f>
              <c:numCache>
                <c:formatCode>General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numCache>
            </c:numRef>
          </c:cat>
          <c:val>
            <c:numRef>
              <c:f>'Resumen trimestral'!$P$10:$P$35</c:f>
              <c:numCache>
                <c:formatCode>General</c:formatCode>
                <c:ptCount val="26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18</c:v>
                </c:pt>
                <c:pt idx="4">
                  <c:v>15</c:v>
                </c:pt>
                <c:pt idx="5">
                  <c:v>17</c:v>
                </c:pt>
                <c:pt idx="6">
                  <c:v>18</c:v>
                </c:pt>
                <c:pt idx="7">
                  <c:v>17</c:v>
                </c:pt>
                <c:pt idx="8">
                  <c:v>18</c:v>
                </c:pt>
                <c:pt idx="9">
                  <c:v>18</c:v>
                </c:pt>
                <c:pt idx="10">
                  <c:v>14</c:v>
                </c:pt>
                <c:pt idx="11">
                  <c:v>17</c:v>
                </c:pt>
                <c:pt idx="12">
                  <c:v>17</c:v>
                </c:pt>
                <c:pt idx="13">
                  <c:v>16</c:v>
                </c:pt>
                <c:pt idx="14">
                  <c:v>18</c:v>
                </c:pt>
                <c:pt idx="15">
                  <c:v>15</c:v>
                </c:pt>
                <c:pt idx="16">
                  <c:v>17</c:v>
                </c:pt>
                <c:pt idx="17">
                  <c:v>18</c:v>
                </c:pt>
                <c:pt idx="18">
                  <c:v>16</c:v>
                </c:pt>
                <c:pt idx="19">
                  <c:v>18</c:v>
                </c:pt>
                <c:pt idx="20">
                  <c:v>18</c:v>
                </c:pt>
                <c:pt idx="21">
                  <c:v>15</c:v>
                </c:pt>
                <c:pt idx="22">
                  <c:v>17</c:v>
                </c:pt>
                <c:pt idx="23">
                  <c:v>17</c:v>
                </c:pt>
                <c:pt idx="24">
                  <c:v>16</c:v>
                </c:pt>
                <c:pt idx="2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5-49D5-B57C-1B7DCDA3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37</xdr:row>
      <xdr:rowOff>0</xdr:rowOff>
    </xdr:from>
    <xdr:to>
      <xdr:col>20</xdr:col>
      <xdr:colOff>0</xdr:colOff>
      <xdr:row>55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56</xdr:row>
      <xdr:rowOff>0</xdr:rowOff>
    </xdr:from>
    <xdr:to>
      <xdr:col>20</xdr:col>
      <xdr:colOff>0</xdr:colOff>
      <xdr:row>74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FAF23E47-6EF9-47B2-9E5B-6E7157E4F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TrimestralTable" displayName="ResumenTrimestralTable" ref="A4:I108">
  <tableColumns count="9">
    <tableColumn id="1" xr3:uid="{00000000-0010-0000-0000-000001000000}" name="Año"/>
    <tableColumn id="2" xr3:uid="{00000000-0010-0000-0000-000002000000}" name="Trimestre"/>
    <tableColumn id="3" xr3:uid="{00000000-0010-0000-0000-000003000000}" name="Inicio"/>
    <tableColumn id="4" xr3:uid="{00000000-0010-0000-0000-000004000000}" name="Fin"/>
    <tableColumn id="5" xr3:uid="{00000000-0010-0000-0000-000005000000}" name="Festivos efectivos"/>
    <tableColumn id="6" xr3:uid="{00000000-0010-0000-0000-000006000000}" name="Fechas festivas únicas"/>
    <tableColumn id="7" xr3:uid="{00000000-0010-0000-0000-000007000000}" name="Domingos sin traslado"/>
    <tableColumn id="8" xr3:uid="{00000000-0010-0000-0000-000008000000}" name="Coincidencias"/>
    <tableColumn id="9" xr3:uid="{00000000-0010-0000-0000-000009000000}" name="Efectivos hasta cor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rizAnualTable" displayName="MatrizAnualTable" ref="K9:P35">
  <tableColumns count="6">
    <tableColumn id="1" xr3:uid="{00000000-0010-0000-0100-000001000000}" name="Año"/>
    <tableColumn id="2" xr3:uid="{00000000-0010-0000-0100-000002000000}" name="T1"/>
    <tableColumn id="3" xr3:uid="{00000000-0010-0000-0100-000003000000}" name="T2"/>
    <tableColumn id="4" xr3:uid="{00000000-0010-0000-0100-000004000000}" name="T3"/>
    <tableColumn id="5" xr3:uid="{00000000-0010-0000-0100-000005000000}" name="T4"/>
    <tableColumn id="6" xr3:uid="{00000000-0010-0000-0100-000006000000}" name="Total anu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estivosPorDiaTable" displayName="FestivosPorDiaTable" ref="A4:M468">
  <tableColumns count="13">
    <tableColumn id="1" xr3:uid="{00000000-0010-0000-0200-000001000000}" name="Año"/>
    <tableColumn id="2" xr3:uid="{00000000-0010-0000-0200-000002000000}" name="Fecha observada"/>
    <tableColumn id="3" xr3:uid="{00000000-0010-0000-0200-000003000000}" name="Día"/>
    <tableColumn id="4" xr3:uid="{00000000-0010-0000-0200-000004000000}" name="Trimestre"/>
    <tableColumn id="5" xr3:uid="{00000000-0010-0000-0200-000005000000}" name="Celebración(es)"/>
    <tableColumn id="6" xr3:uid="{00000000-0010-0000-0200-000006000000}" name="Fecha(s) nominal(es)"/>
    <tableColumn id="7" xr3:uid="{00000000-0010-0000-0200-000007000000}" name="N.º celebraciones"/>
    <tableColumn id="8" xr3:uid="{00000000-0010-0000-0200-000008000000}" name="Efectivo"/>
    <tableColumn id="9" xr3:uid="{00000000-0010-0000-0200-000009000000}" name="Coincidencia"/>
    <tableColumn id="10" xr3:uid="{00000000-0010-0000-0200-00000A000000}" name="Justificación"/>
    <tableColumn id="11" xr3:uid="{00000000-0010-0000-0200-00000B000000}" name="Norma(s)"/>
    <tableColumn id="12" xr3:uid="{00000000-0010-0000-0200-00000C000000}" name="Fuente(s)"/>
    <tableColumn id="13" xr3:uid="{00000000-0010-0000-0200-00000D000000}" name="Ocurrido al cor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talleFestivosTable" displayName="DetalleFestivosTable" ref="A4:L473">
  <tableColumns count="12">
    <tableColumn id="1" xr3:uid="{00000000-0010-0000-0300-000001000000}" name="Año"/>
    <tableColumn id="2" xr3:uid="{00000000-0010-0000-0300-000002000000}" name="Celebración"/>
    <tableColumn id="3" xr3:uid="{00000000-0010-0000-0300-000003000000}" name="Fecha nominal"/>
    <tableColumn id="4" xr3:uid="{00000000-0010-0000-0300-000004000000}" name="Día nominal"/>
    <tableColumn id="5" xr3:uid="{00000000-0010-0000-0300-000005000000}" name="¿Trasladable?"/>
    <tableColumn id="6" xr3:uid="{00000000-0010-0000-0300-000006000000}" name="Fecha observada"/>
    <tableColumn id="7" xr3:uid="{00000000-0010-0000-0300-000007000000}" name="Día observado"/>
    <tableColumn id="8" xr3:uid="{00000000-0010-0000-0300-000008000000}" name="¿Fue trasladado?"/>
    <tableColumn id="9" xr3:uid="{00000000-0010-0000-0300-000009000000}" name="Trimestre"/>
    <tableColumn id="10" xr3:uid="{00000000-0010-0000-0300-00000A000000}" name="Efectivo como evento"/>
    <tableColumn id="11" xr3:uid="{00000000-0010-0000-0300-00000B000000}" name="Norma"/>
    <tableColumn id="12" xr3:uid="{00000000-0010-0000-0300-00000C000000}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H40" workbookViewId="0">
      <selection activeCell="O78" sqref="O78"/>
    </sheetView>
  </sheetViews>
  <sheetFormatPr defaultRowHeight="13.8"/>
  <cols>
    <col min="1" max="1" width="9" customWidth="1"/>
    <col min="2" max="2" width="11" customWidth="1"/>
    <col min="3" max="4" width="14" customWidth="1"/>
    <col min="5" max="8" width="18" customWidth="1"/>
    <col min="9" max="9" width="19" customWidth="1"/>
    <col min="11" max="11" width="24" customWidth="1"/>
    <col min="12" max="16" width="13" customWidth="1"/>
  </cols>
  <sheetData>
    <row r="1" spans="1:26" ht="22.35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1"/>
      <c r="K1" s="37" t="s">
        <v>1</v>
      </c>
      <c r="L1" s="37"/>
      <c r="M1" s="3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 customHeight="1">
      <c r="A2" s="36" t="s">
        <v>2</v>
      </c>
      <c r="B2" s="36"/>
      <c r="C2" s="36"/>
      <c r="D2" s="36"/>
      <c r="E2" s="36"/>
      <c r="F2" s="36"/>
      <c r="G2" s="36"/>
      <c r="H2" s="36"/>
      <c r="I2" s="36"/>
      <c r="J2" s="1"/>
      <c r="K2" s="2" t="s">
        <v>3</v>
      </c>
      <c r="L2" s="34">
        <v>46225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4" t="s">
        <v>4</v>
      </c>
      <c r="L3" s="5">
        <v>2001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8" t="s">
        <v>13</v>
      </c>
      <c r="J4" s="1"/>
      <c r="K4" s="4" t="s">
        <v>14</v>
      </c>
      <c r="L4" s="5">
        <v>2026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9">
        <v>2001</v>
      </c>
      <c r="B5" s="10" t="s">
        <v>15</v>
      </c>
      <c r="C5" s="31">
        <v>36892</v>
      </c>
      <c r="D5" s="31">
        <v>36981</v>
      </c>
      <c r="E5" s="11">
        <f>COUNTIFS('Festivos por día'!$B$5:$B$468,"&gt;="&amp;C5,'Festivos por día'!$B$5:$B$468,"&lt;="&amp;D5,'Festivos por día'!$H$5:$H$468,1)</f>
        <v>3</v>
      </c>
      <c r="F5" s="11">
        <f>COUNTIFS('Festivos por día'!$B$5:$B$468,"&gt;="&amp;C5,'Festivos por día'!$B$5:$B$468,"&lt;="&amp;D5)</f>
        <v>3</v>
      </c>
      <c r="G5" s="11">
        <f>COUNTIFS('Festivos por día'!$B$5:$B$468,"&gt;="&amp;C5,'Festivos por día'!$B$5:$B$468,"&lt;="&amp;D5,'Festivos por día'!$H$5:$H$468,0)</f>
        <v>0</v>
      </c>
      <c r="H5" s="11">
        <f>SUMIFS('Festivos por día'!$I$5:$I$468,'Festivos por día'!$B$5:$B$468,"&gt;="&amp;C5,'Festivos por día'!$B$5:$B$468,"&lt;="&amp;D5)</f>
        <v>0</v>
      </c>
      <c r="I5" s="12">
        <f>COUNTIFS('Festivos por día'!$B$5:$B$468,"&gt;="&amp;C5,'Festivos por día'!$B$5:$B$468,"&lt;="&amp;MIN(D5,$L$2),'Festivos por día'!$H$5:$H$468,1)</f>
        <v>3</v>
      </c>
      <c r="J5" s="1"/>
      <c r="K5" s="4" t="s">
        <v>16</v>
      </c>
      <c r="L5" s="5">
        <f>SUM(E5:E108)</f>
        <v>440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3">
        <v>2001</v>
      </c>
      <c r="B6" s="3" t="s">
        <v>17</v>
      </c>
      <c r="C6" s="32">
        <v>36982</v>
      </c>
      <c r="D6" s="32">
        <v>37072</v>
      </c>
      <c r="E6" s="14">
        <f>COUNTIFS('Festivos por día'!$B$5:$B$468,"&gt;="&amp;C6,'Festivos por día'!$B$5:$B$468,"&lt;="&amp;D6,'Festivos por día'!$H$5:$H$468,1)</f>
        <v>6</v>
      </c>
      <c r="F6" s="14">
        <f>COUNTIFS('Festivos por día'!$B$5:$B$468,"&gt;="&amp;C6,'Festivos por día'!$B$5:$B$468,"&lt;="&amp;D6)</f>
        <v>6</v>
      </c>
      <c r="G6" s="14">
        <f>COUNTIFS('Festivos por día'!$B$5:$B$468,"&gt;="&amp;C6,'Festivos por día'!$B$5:$B$468,"&lt;="&amp;D6,'Festivos por día'!$H$5:$H$468,0)</f>
        <v>0</v>
      </c>
      <c r="H6" s="14">
        <f>SUMIFS('Festivos por día'!$I$5:$I$468,'Festivos por día'!$B$5:$B$468,"&gt;="&amp;C6,'Festivos por día'!$B$5:$B$468,"&lt;="&amp;D6)</f>
        <v>0</v>
      </c>
      <c r="I6" s="15">
        <f>COUNTIFS('Festivos por día'!$B$5:$B$468,"&gt;="&amp;C6,'Festivos por día'!$B$5:$B$468,"&lt;="&amp;MIN(D6,$L$2),'Festivos por día'!$H$5:$H$468,1)</f>
        <v>6</v>
      </c>
      <c r="J6" s="1"/>
      <c r="K6" s="16" t="s">
        <v>18</v>
      </c>
      <c r="L6" s="17">
        <f>SUM(I5:I108)</f>
        <v>433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3">
        <v>2001</v>
      </c>
      <c r="B7" s="3" t="s">
        <v>19</v>
      </c>
      <c r="C7" s="32">
        <v>37073</v>
      </c>
      <c r="D7" s="32">
        <v>37164</v>
      </c>
      <c r="E7" s="14">
        <f>COUNTIFS('Festivos por día'!$B$5:$B$468,"&gt;="&amp;C7,'Festivos por día'!$B$5:$B$468,"&lt;="&amp;D7,'Festivos por día'!$H$5:$H$468,1)</f>
        <v>4</v>
      </c>
      <c r="F7" s="14">
        <f>COUNTIFS('Festivos por día'!$B$5:$B$468,"&gt;="&amp;C7,'Festivos por día'!$B$5:$B$468,"&lt;="&amp;D7)</f>
        <v>4</v>
      </c>
      <c r="G7" s="14">
        <f>COUNTIFS('Festivos por día'!$B$5:$B$468,"&gt;="&amp;C7,'Festivos por día'!$B$5:$B$468,"&lt;="&amp;D7,'Festivos por día'!$H$5:$H$468,0)</f>
        <v>0</v>
      </c>
      <c r="H7" s="14">
        <f>SUMIFS('Festivos por día'!$I$5:$I$468,'Festivos por día'!$B$5:$B$468,"&gt;="&amp;C7,'Festivos por día'!$B$5:$B$468,"&lt;="&amp;D7)</f>
        <v>0</v>
      </c>
      <c r="I7" s="15">
        <f>COUNTIFS('Festivos por día'!$B$5:$B$468,"&gt;="&amp;C7,'Festivos por día'!$B$5:$B$468,"&lt;="&amp;MIN(D7,$L$2),'Festivos por día'!$H$5:$H$468,1)</f>
        <v>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3">
        <v>2001</v>
      </c>
      <c r="B8" s="3" t="s">
        <v>20</v>
      </c>
      <c r="C8" s="32">
        <v>37165</v>
      </c>
      <c r="D8" s="32">
        <v>37256</v>
      </c>
      <c r="E8" s="14">
        <f>COUNTIFS('Festivos por día'!$B$5:$B$468,"&gt;="&amp;C8,'Festivos por día'!$B$5:$B$468,"&lt;="&amp;D8,'Festivos por día'!$H$5:$H$468,1)</f>
        <v>5</v>
      </c>
      <c r="F8" s="14">
        <f>COUNTIFS('Festivos por día'!$B$5:$B$468,"&gt;="&amp;C8,'Festivos por día'!$B$5:$B$468,"&lt;="&amp;D8)</f>
        <v>5</v>
      </c>
      <c r="G8" s="14">
        <f>COUNTIFS('Festivos por día'!$B$5:$B$468,"&gt;="&amp;C8,'Festivos por día'!$B$5:$B$468,"&lt;="&amp;D8,'Festivos por día'!$H$5:$H$468,0)</f>
        <v>0</v>
      </c>
      <c r="H8" s="14">
        <f>SUMIFS('Festivos por día'!$I$5:$I$468,'Festivos por día'!$B$5:$B$468,"&gt;="&amp;C8,'Festivos por día'!$B$5:$B$468,"&lt;="&amp;D8)</f>
        <v>0</v>
      </c>
      <c r="I8" s="15">
        <f>COUNTIFS('Festivos por día'!$B$5:$B$468,"&gt;="&amp;C8,'Festivos por día'!$B$5:$B$468,"&lt;="&amp;MIN(D8,$L$2),'Festivos por día'!$H$5:$H$468,1)</f>
        <v>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3">
        <v>2002</v>
      </c>
      <c r="B9" s="3" t="s">
        <v>15</v>
      </c>
      <c r="C9" s="32">
        <v>37257</v>
      </c>
      <c r="D9" s="32">
        <v>37346</v>
      </c>
      <c r="E9" s="14">
        <f>COUNTIFS('Festivos por día'!$B$5:$B$468,"&gt;="&amp;C9,'Festivos por día'!$B$5:$B$468,"&lt;="&amp;D9,'Festivos por día'!$H$5:$H$468,1)</f>
        <v>5</v>
      </c>
      <c r="F9" s="14">
        <f>COUNTIFS('Festivos por día'!$B$5:$B$468,"&gt;="&amp;C9,'Festivos por día'!$B$5:$B$468,"&lt;="&amp;D9)</f>
        <v>5</v>
      </c>
      <c r="G9" s="14">
        <f>COUNTIFS('Festivos por día'!$B$5:$B$468,"&gt;="&amp;C9,'Festivos por día'!$B$5:$B$468,"&lt;="&amp;D9,'Festivos por día'!$H$5:$H$468,0)</f>
        <v>0</v>
      </c>
      <c r="H9" s="14">
        <f>SUMIFS('Festivos por día'!$I$5:$I$468,'Festivos por día'!$B$5:$B$468,"&gt;="&amp;C9,'Festivos por día'!$B$5:$B$468,"&lt;="&amp;D9)</f>
        <v>0</v>
      </c>
      <c r="I9" s="15">
        <f>COUNTIFS('Festivos por día'!$B$5:$B$468,"&gt;="&amp;C9,'Festivos por día'!$B$5:$B$468,"&lt;="&amp;MIN(D9,$L$2),'Festivos por día'!$H$5:$H$468,1)</f>
        <v>5</v>
      </c>
      <c r="J9" s="1"/>
      <c r="K9" s="18" t="s">
        <v>5</v>
      </c>
      <c r="L9" s="19" t="s">
        <v>15</v>
      </c>
      <c r="M9" s="19" t="s">
        <v>17</v>
      </c>
      <c r="N9" s="19" t="s">
        <v>19</v>
      </c>
      <c r="O9" s="19" t="s">
        <v>20</v>
      </c>
      <c r="P9" s="20" t="s">
        <v>21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3">
        <v>2002</v>
      </c>
      <c r="B10" s="3" t="s">
        <v>17</v>
      </c>
      <c r="C10" s="32">
        <v>37347</v>
      </c>
      <c r="D10" s="32">
        <v>37437</v>
      </c>
      <c r="E10" s="14">
        <f>COUNTIFS('Festivos por día'!$B$5:$B$468,"&gt;="&amp;C10,'Festivos por día'!$B$5:$B$468,"&lt;="&amp;D10,'Festivos por día'!$H$5:$H$468,1)</f>
        <v>4</v>
      </c>
      <c r="F10" s="14">
        <f>COUNTIFS('Festivos por día'!$B$5:$B$468,"&gt;="&amp;C10,'Festivos por día'!$B$5:$B$468,"&lt;="&amp;D10)</f>
        <v>4</v>
      </c>
      <c r="G10" s="14">
        <f>COUNTIFS('Festivos por día'!$B$5:$B$468,"&gt;="&amp;C10,'Festivos por día'!$B$5:$B$468,"&lt;="&amp;D10,'Festivos por día'!$H$5:$H$468,0)</f>
        <v>0</v>
      </c>
      <c r="H10" s="14">
        <f>SUMIFS('Festivos por día'!$I$5:$I$468,'Festivos por día'!$B$5:$B$468,"&gt;="&amp;C10,'Festivos por día'!$B$5:$B$468,"&lt;="&amp;D10)</f>
        <v>0</v>
      </c>
      <c r="I10" s="15">
        <f>COUNTIFS('Festivos por día'!$B$5:$B$468,"&gt;="&amp;C10,'Festivos por día'!$B$5:$B$468,"&lt;="&amp;MIN(D10,$L$2),'Festivos por día'!$H$5:$H$468,1)</f>
        <v>4</v>
      </c>
      <c r="J10" s="1"/>
      <c r="K10" s="21">
        <v>2001</v>
      </c>
      <c r="L10" s="1">
        <f t="shared" ref="L10:O35" si="0">SUMIFS($E$5:$E$108,$A$5:$A$108,$K10,$B$5:$B$108,L$9)</f>
        <v>3</v>
      </c>
      <c r="M10" s="1">
        <f t="shared" si="0"/>
        <v>6</v>
      </c>
      <c r="N10" s="1">
        <f t="shared" si="0"/>
        <v>4</v>
      </c>
      <c r="O10" s="1">
        <f t="shared" si="0"/>
        <v>5</v>
      </c>
      <c r="P10" s="22">
        <f t="shared" ref="P10:P35" si="1">SUM(L10:O10)</f>
        <v>18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3">
        <v>2002</v>
      </c>
      <c r="B11" s="3" t="s">
        <v>19</v>
      </c>
      <c r="C11" s="32">
        <v>37438</v>
      </c>
      <c r="D11" s="32">
        <v>37529</v>
      </c>
      <c r="E11" s="14">
        <f>COUNTIFS('Festivos por día'!$B$5:$B$468,"&gt;="&amp;C11,'Festivos por día'!$B$5:$B$468,"&lt;="&amp;D11,'Festivos por día'!$H$5:$H$468,1)</f>
        <v>4</v>
      </c>
      <c r="F11" s="14">
        <f>COUNTIFS('Festivos por día'!$B$5:$B$468,"&gt;="&amp;C11,'Festivos por día'!$B$5:$B$468,"&lt;="&amp;D11)</f>
        <v>4</v>
      </c>
      <c r="G11" s="14">
        <f>COUNTIFS('Festivos por día'!$B$5:$B$468,"&gt;="&amp;C11,'Festivos por día'!$B$5:$B$468,"&lt;="&amp;D11,'Festivos por día'!$H$5:$H$468,0)</f>
        <v>0</v>
      </c>
      <c r="H11" s="14">
        <f>SUMIFS('Festivos por día'!$I$5:$I$468,'Festivos por día'!$B$5:$B$468,"&gt;="&amp;C11,'Festivos por día'!$B$5:$B$468,"&lt;="&amp;D11)</f>
        <v>0</v>
      </c>
      <c r="I11" s="15">
        <f>COUNTIFS('Festivos por día'!$B$5:$B$468,"&gt;="&amp;C11,'Festivos por día'!$B$5:$B$468,"&lt;="&amp;MIN(D11,$L$2),'Festivos por día'!$H$5:$H$468,1)</f>
        <v>4</v>
      </c>
      <c r="J11" s="1"/>
      <c r="K11" s="21">
        <v>2002</v>
      </c>
      <c r="L11" s="1">
        <f t="shared" si="0"/>
        <v>5</v>
      </c>
      <c r="M11" s="1">
        <f t="shared" si="0"/>
        <v>4</v>
      </c>
      <c r="N11" s="1">
        <f t="shared" si="0"/>
        <v>4</v>
      </c>
      <c r="O11" s="1">
        <f t="shared" si="0"/>
        <v>4</v>
      </c>
      <c r="P11" s="22">
        <f t="shared" si="1"/>
        <v>17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3">
        <v>2002</v>
      </c>
      <c r="B12" s="3" t="s">
        <v>20</v>
      </c>
      <c r="C12" s="32">
        <v>37530</v>
      </c>
      <c r="D12" s="32">
        <v>37621</v>
      </c>
      <c r="E12" s="14">
        <f>COUNTIFS('Festivos por día'!$B$5:$B$468,"&gt;="&amp;C12,'Festivos por día'!$B$5:$B$468,"&lt;="&amp;D12,'Festivos por día'!$H$5:$H$468,1)</f>
        <v>4</v>
      </c>
      <c r="F12" s="14">
        <f>COUNTIFS('Festivos por día'!$B$5:$B$468,"&gt;="&amp;C12,'Festivos por día'!$B$5:$B$468,"&lt;="&amp;D12)</f>
        <v>5</v>
      </c>
      <c r="G12" s="14">
        <f>COUNTIFS('Festivos por día'!$B$5:$B$468,"&gt;="&amp;C12,'Festivos por día'!$B$5:$B$468,"&lt;="&amp;D12,'Festivos por día'!$H$5:$H$468,0)</f>
        <v>1</v>
      </c>
      <c r="H12" s="14">
        <f>SUMIFS('Festivos por día'!$I$5:$I$468,'Festivos por día'!$B$5:$B$468,"&gt;="&amp;C12,'Festivos por día'!$B$5:$B$468,"&lt;="&amp;D12)</f>
        <v>0</v>
      </c>
      <c r="I12" s="15">
        <f>COUNTIFS('Festivos por día'!$B$5:$B$468,"&gt;="&amp;C12,'Festivos por día'!$B$5:$B$468,"&lt;="&amp;MIN(D12,$L$2),'Festivos por día'!$H$5:$H$468,1)</f>
        <v>4</v>
      </c>
      <c r="J12" s="1"/>
      <c r="K12" s="21">
        <v>2003</v>
      </c>
      <c r="L12" s="1">
        <f t="shared" si="0"/>
        <v>3</v>
      </c>
      <c r="M12" s="1">
        <f t="shared" si="0"/>
        <v>6</v>
      </c>
      <c r="N12" s="1">
        <f t="shared" si="0"/>
        <v>2</v>
      </c>
      <c r="O12" s="1">
        <f t="shared" si="0"/>
        <v>5</v>
      </c>
      <c r="P12" s="22">
        <f t="shared" si="1"/>
        <v>16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3">
        <v>2003</v>
      </c>
      <c r="B13" s="3" t="s">
        <v>15</v>
      </c>
      <c r="C13" s="32">
        <v>37622</v>
      </c>
      <c r="D13" s="32">
        <v>37711</v>
      </c>
      <c r="E13" s="14">
        <f>COUNTIFS('Festivos por día'!$B$5:$B$468,"&gt;="&amp;C13,'Festivos por día'!$B$5:$B$468,"&lt;="&amp;D13,'Festivos por día'!$H$5:$H$468,1)</f>
        <v>3</v>
      </c>
      <c r="F13" s="14">
        <f>COUNTIFS('Festivos por día'!$B$5:$B$468,"&gt;="&amp;C13,'Festivos por día'!$B$5:$B$468,"&lt;="&amp;D13)</f>
        <v>3</v>
      </c>
      <c r="G13" s="14">
        <f>COUNTIFS('Festivos por día'!$B$5:$B$468,"&gt;="&amp;C13,'Festivos por día'!$B$5:$B$468,"&lt;="&amp;D13,'Festivos por día'!$H$5:$H$468,0)</f>
        <v>0</v>
      </c>
      <c r="H13" s="14">
        <f>SUMIFS('Festivos por día'!$I$5:$I$468,'Festivos por día'!$B$5:$B$468,"&gt;="&amp;C13,'Festivos por día'!$B$5:$B$468,"&lt;="&amp;D13)</f>
        <v>0</v>
      </c>
      <c r="I13" s="15">
        <f>COUNTIFS('Festivos por día'!$B$5:$B$468,"&gt;="&amp;C13,'Festivos por día'!$B$5:$B$468,"&lt;="&amp;MIN(D13,$L$2),'Festivos por día'!$H$5:$H$468,1)</f>
        <v>3</v>
      </c>
      <c r="J13" s="1"/>
      <c r="K13" s="21">
        <v>2004</v>
      </c>
      <c r="L13" s="1">
        <f t="shared" si="0"/>
        <v>3</v>
      </c>
      <c r="M13" s="1">
        <f t="shared" si="0"/>
        <v>6</v>
      </c>
      <c r="N13" s="1">
        <f t="shared" si="0"/>
        <v>4</v>
      </c>
      <c r="O13" s="1">
        <f t="shared" si="0"/>
        <v>5</v>
      </c>
      <c r="P13" s="22">
        <f t="shared" si="1"/>
        <v>18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3">
        <v>2003</v>
      </c>
      <c r="B14" s="3" t="s">
        <v>17</v>
      </c>
      <c r="C14" s="32">
        <v>37712</v>
      </c>
      <c r="D14" s="32">
        <v>37802</v>
      </c>
      <c r="E14" s="14">
        <f>COUNTIFS('Festivos por día'!$B$5:$B$468,"&gt;="&amp;C14,'Festivos por día'!$B$5:$B$468,"&lt;="&amp;D14,'Festivos por día'!$H$5:$H$468,1)</f>
        <v>6</v>
      </c>
      <c r="F14" s="14">
        <f>COUNTIFS('Festivos por día'!$B$5:$B$468,"&gt;="&amp;C14,'Festivos por día'!$B$5:$B$468,"&lt;="&amp;D14)</f>
        <v>6</v>
      </c>
      <c r="G14" s="14">
        <f>COUNTIFS('Festivos por día'!$B$5:$B$468,"&gt;="&amp;C14,'Festivos por día'!$B$5:$B$468,"&lt;="&amp;D14,'Festivos por día'!$H$5:$H$468,0)</f>
        <v>0</v>
      </c>
      <c r="H14" s="14">
        <f>SUMIFS('Festivos por día'!$I$5:$I$468,'Festivos por día'!$B$5:$B$468,"&gt;="&amp;C14,'Festivos por día'!$B$5:$B$468,"&lt;="&amp;D14)</f>
        <v>1</v>
      </c>
      <c r="I14" s="15">
        <f>COUNTIFS('Festivos por día'!$B$5:$B$468,"&gt;="&amp;C14,'Festivos por día'!$B$5:$B$468,"&lt;="&amp;MIN(D14,$L$2),'Festivos por día'!$H$5:$H$468,1)</f>
        <v>6</v>
      </c>
      <c r="J14" s="1"/>
      <c r="K14" s="21">
        <v>2005</v>
      </c>
      <c r="L14" s="1">
        <f t="shared" si="0"/>
        <v>5</v>
      </c>
      <c r="M14" s="1">
        <f t="shared" si="0"/>
        <v>3</v>
      </c>
      <c r="N14" s="1">
        <f t="shared" si="0"/>
        <v>3</v>
      </c>
      <c r="O14" s="1">
        <f t="shared" si="0"/>
        <v>4</v>
      </c>
      <c r="P14" s="22">
        <f t="shared" si="1"/>
        <v>15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3">
        <v>2003</v>
      </c>
      <c r="B15" s="3" t="s">
        <v>19</v>
      </c>
      <c r="C15" s="32">
        <v>37803</v>
      </c>
      <c r="D15" s="32">
        <v>37894</v>
      </c>
      <c r="E15" s="14">
        <f>COUNTIFS('Festivos por día'!$B$5:$B$468,"&gt;="&amp;C15,'Festivos por día'!$B$5:$B$468,"&lt;="&amp;D15,'Festivos por día'!$H$5:$H$468,1)</f>
        <v>2</v>
      </c>
      <c r="F15" s="14">
        <f>COUNTIFS('Festivos por día'!$B$5:$B$468,"&gt;="&amp;C15,'Festivos por día'!$B$5:$B$468,"&lt;="&amp;D15)</f>
        <v>3</v>
      </c>
      <c r="G15" s="14">
        <f>COUNTIFS('Festivos por día'!$B$5:$B$468,"&gt;="&amp;C15,'Festivos por día'!$B$5:$B$468,"&lt;="&amp;D15,'Festivos por día'!$H$5:$H$468,0)</f>
        <v>1</v>
      </c>
      <c r="H15" s="14">
        <f>SUMIFS('Festivos por día'!$I$5:$I$468,'Festivos por día'!$B$5:$B$468,"&gt;="&amp;C15,'Festivos por día'!$B$5:$B$468,"&lt;="&amp;D15)</f>
        <v>0</v>
      </c>
      <c r="I15" s="15">
        <f>COUNTIFS('Festivos por día'!$B$5:$B$468,"&gt;="&amp;C15,'Festivos por día'!$B$5:$B$468,"&lt;="&amp;MIN(D15,$L$2),'Festivos por día'!$H$5:$H$468,1)</f>
        <v>2</v>
      </c>
      <c r="J15" s="1"/>
      <c r="K15" s="21">
        <v>2006</v>
      </c>
      <c r="L15" s="1">
        <f t="shared" si="0"/>
        <v>2</v>
      </c>
      <c r="M15" s="1">
        <f t="shared" si="0"/>
        <v>6</v>
      </c>
      <c r="N15" s="1">
        <f t="shared" si="0"/>
        <v>4</v>
      </c>
      <c r="O15" s="1">
        <f t="shared" si="0"/>
        <v>5</v>
      </c>
      <c r="P15" s="22">
        <f t="shared" si="1"/>
        <v>17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>
        <v>2003</v>
      </c>
      <c r="B16" s="3" t="s">
        <v>20</v>
      </c>
      <c r="C16" s="32">
        <v>37895</v>
      </c>
      <c r="D16" s="32">
        <v>37986</v>
      </c>
      <c r="E16" s="14">
        <f>COUNTIFS('Festivos por día'!$B$5:$B$468,"&gt;="&amp;C16,'Festivos por día'!$B$5:$B$468,"&lt;="&amp;D16,'Festivos por día'!$H$5:$H$468,1)</f>
        <v>5</v>
      </c>
      <c r="F16" s="14">
        <f>COUNTIFS('Festivos por día'!$B$5:$B$468,"&gt;="&amp;C16,'Festivos por día'!$B$5:$B$468,"&lt;="&amp;D16)</f>
        <v>5</v>
      </c>
      <c r="G16" s="14">
        <f>COUNTIFS('Festivos por día'!$B$5:$B$468,"&gt;="&amp;C16,'Festivos por día'!$B$5:$B$468,"&lt;="&amp;D16,'Festivos por día'!$H$5:$H$468,0)</f>
        <v>0</v>
      </c>
      <c r="H16" s="14">
        <f>SUMIFS('Festivos por día'!$I$5:$I$468,'Festivos por día'!$B$5:$B$468,"&gt;="&amp;C16,'Festivos por día'!$B$5:$B$468,"&lt;="&amp;D16)</f>
        <v>0</v>
      </c>
      <c r="I16" s="15">
        <f>COUNTIFS('Festivos por día'!$B$5:$B$468,"&gt;="&amp;C16,'Festivos por día'!$B$5:$B$468,"&lt;="&amp;MIN(D16,$L$2),'Festivos por día'!$H$5:$H$468,1)</f>
        <v>5</v>
      </c>
      <c r="J16" s="1"/>
      <c r="K16" s="21">
        <v>2007</v>
      </c>
      <c r="L16" s="1">
        <f t="shared" si="0"/>
        <v>3</v>
      </c>
      <c r="M16" s="1">
        <f t="shared" si="0"/>
        <v>6</v>
      </c>
      <c r="N16" s="1">
        <f t="shared" si="0"/>
        <v>4</v>
      </c>
      <c r="O16" s="1">
        <f t="shared" si="0"/>
        <v>5</v>
      </c>
      <c r="P16" s="22">
        <f t="shared" si="1"/>
        <v>18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3">
        <v>2004</v>
      </c>
      <c r="B17" s="3" t="s">
        <v>15</v>
      </c>
      <c r="C17" s="32">
        <v>37987</v>
      </c>
      <c r="D17" s="32">
        <v>38077</v>
      </c>
      <c r="E17" s="14">
        <f>COUNTIFS('Festivos por día'!$B$5:$B$468,"&gt;="&amp;C17,'Festivos por día'!$B$5:$B$468,"&lt;="&amp;D17,'Festivos por día'!$H$5:$H$468,1)</f>
        <v>3</v>
      </c>
      <c r="F17" s="14">
        <f>COUNTIFS('Festivos por día'!$B$5:$B$468,"&gt;="&amp;C17,'Festivos por día'!$B$5:$B$468,"&lt;="&amp;D17)</f>
        <v>3</v>
      </c>
      <c r="G17" s="14">
        <f>COUNTIFS('Festivos por día'!$B$5:$B$468,"&gt;="&amp;C17,'Festivos por día'!$B$5:$B$468,"&lt;="&amp;D17,'Festivos por día'!$H$5:$H$468,0)</f>
        <v>0</v>
      </c>
      <c r="H17" s="14">
        <f>SUMIFS('Festivos por día'!$I$5:$I$468,'Festivos por día'!$B$5:$B$468,"&gt;="&amp;C17,'Festivos por día'!$B$5:$B$468,"&lt;="&amp;D17)</f>
        <v>0</v>
      </c>
      <c r="I17" s="15">
        <f>COUNTIFS('Festivos por día'!$B$5:$B$468,"&gt;="&amp;C17,'Festivos por día'!$B$5:$B$468,"&lt;="&amp;MIN(D17,$L$2),'Festivos por día'!$H$5:$H$468,1)</f>
        <v>3</v>
      </c>
      <c r="J17" s="1"/>
      <c r="K17" s="21">
        <v>2008</v>
      </c>
      <c r="L17" s="1">
        <f t="shared" si="0"/>
        <v>5</v>
      </c>
      <c r="M17" s="1">
        <f t="shared" si="0"/>
        <v>5</v>
      </c>
      <c r="N17" s="1">
        <f t="shared" si="0"/>
        <v>2</v>
      </c>
      <c r="O17" s="1">
        <f t="shared" si="0"/>
        <v>5</v>
      </c>
      <c r="P17" s="22">
        <f t="shared" si="1"/>
        <v>17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3">
        <v>2004</v>
      </c>
      <c r="B18" s="3" t="s">
        <v>17</v>
      </c>
      <c r="C18" s="32">
        <v>38078</v>
      </c>
      <c r="D18" s="32">
        <v>38168</v>
      </c>
      <c r="E18" s="14">
        <f>COUNTIFS('Festivos por día'!$B$5:$B$468,"&gt;="&amp;C18,'Festivos por día'!$B$5:$B$468,"&lt;="&amp;D18,'Festivos por día'!$H$5:$H$468,1)</f>
        <v>6</v>
      </c>
      <c r="F18" s="14">
        <f>COUNTIFS('Festivos por día'!$B$5:$B$468,"&gt;="&amp;C18,'Festivos por día'!$B$5:$B$468,"&lt;="&amp;D18)</f>
        <v>6</v>
      </c>
      <c r="G18" s="14">
        <f>COUNTIFS('Festivos por día'!$B$5:$B$468,"&gt;="&amp;C18,'Festivos por día'!$B$5:$B$468,"&lt;="&amp;D18,'Festivos por día'!$H$5:$H$468,0)</f>
        <v>0</v>
      </c>
      <c r="H18" s="14">
        <f>SUMIFS('Festivos por día'!$I$5:$I$468,'Festivos por día'!$B$5:$B$468,"&gt;="&amp;C18,'Festivos por día'!$B$5:$B$468,"&lt;="&amp;D18)</f>
        <v>0</v>
      </c>
      <c r="I18" s="15">
        <f>COUNTIFS('Festivos por día'!$B$5:$B$468,"&gt;="&amp;C18,'Festivos por día'!$B$5:$B$468,"&lt;="&amp;MIN(D18,$L$2),'Festivos por día'!$H$5:$H$468,1)</f>
        <v>6</v>
      </c>
      <c r="J18" s="1"/>
      <c r="K18" s="21">
        <v>2009</v>
      </c>
      <c r="L18" s="1">
        <f t="shared" si="0"/>
        <v>3</v>
      </c>
      <c r="M18" s="1">
        <f t="shared" si="0"/>
        <v>7</v>
      </c>
      <c r="N18" s="1">
        <f t="shared" si="0"/>
        <v>3</v>
      </c>
      <c r="O18" s="1">
        <f t="shared" si="0"/>
        <v>5</v>
      </c>
      <c r="P18" s="22">
        <f t="shared" si="1"/>
        <v>18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3">
        <v>2004</v>
      </c>
      <c r="B19" s="3" t="s">
        <v>19</v>
      </c>
      <c r="C19" s="32">
        <v>38169</v>
      </c>
      <c r="D19" s="32">
        <v>38260</v>
      </c>
      <c r="E19" s="14">
        <f>COUNTIFS('Festivos por día'!$B$5:$B$468,"&gt;="&amp;C19,'Festivos por día'!$B$5:$B$468,"&lt;="&amp;D19,'Festivos por día'!$H$5:$H$468,1)</f>
        <v>4</v>
      </c>
      <c r="F19" s="14">
        <f>COUNTIFS('Festivos por día'!$B$5:$B$468,"&gt;="&amp;C19,'Festivos por día'!$B$5:$B$468,"&lt;="&amp;D19)</f>
        <v>4</v>
      </c>
      <c r="G19" s="14">
        <f>COUNTIFS('Festivos por día'!$B$5:$B$468,"&gt;="&amp;C19,'Festivos por día'!$B$5:$B$468,"&lt;="&amp;D19,'Festivos por día'!$H$5:$H$468,0)</f>
        <v>0</v>
      </c>
      <c r="H19" s="14">
        <f>SUMIFS('Festivos por día'!$I$5:$I$468,'Festivos por día'!$B$5:$B$468,"&gt;="&amp;C19,'Festivos por día'!$B$5:$B$468,"&lt;="&amp;D19)</f>
        <v>0</v>
      </c>
      <c r="I19" s="15">
        <f>COUNTIFS('Festivos por día'!$B$5:$B$468,"&gt;="&amp;C19,'Festivos por día'!$B$5:$B$468,"&lt;="&amp;MIN(D19,$L$2),'Festivos por día'!$H$5:$H$468,1)</f>
        <v>4</v>
      </c>
      <c r="J19" s="1"/>
      <c r="K19" s="21">
        <v>2010</v>
      </c>
      <c r="L19" s="1">
        <f t="shared" si="0"/>
        <v>3</v>
      </c>
      <c r="M19" s="1">
        <f t="shared" si="0"/>
        <v>6</v>
      </c>
      <c r="N19" s="1">
        <f t="shared" si="0"/>
        <v>4</v>
      </c>
      <c r="O19" s="1">
        <f t="shared" si="0"/>
        <v>5</v>
      </c>
      <c r="P19" s="22">
        <f t="shared" si="1"/>
        <v>18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3">
        <v>2004</v>
      </c>
      <c r="B20" s="3" t="s">
        <v>20</v>
      </c>
      <c r="C20" s="32">
        <v>38261</v>
      </c>
      <c r="D20" s="32">
        <v>38352</v>
      </c>
      <c r="E20" s="14">
        <f>COUNTIFS('Festivos por día'!$B$5:$B$468,"&gt;="&amp;C20,'Festivos por día'!$B$5:$B$468,"&lt;="&amp;D20,'Festivos por día'!$H$5:$H$468,1)</f>
        <v>5</v>
      </c>
      <c r="F20" s="14">
        <f>COUNTIFS('Festivos por día'!$B$5:$B$468,"&gt;="&amp;C20,'Festivos por día'!$B$5:$B$468,"&lt;="&amp;D20)</f>
        <v>5</v>
      </c>
      <c r="G20" s="14">
        <f>COUNTIFS('Festivos por día'!$B$5:$B$468,"&gt;="&amp;C20,'Festivos por día'!$B$5:$B$468,"&lt;="&amp;D20,'Festivos por día'!$H$5:$H$468,0)</f>
        <v>0</v>
      </c>
      <c r="H20" s="14">
        <f>SUMIFS('Festivos por día'!$I$5:$I$468,'Festivos por día'!$B$5:$B$468,"&gt;="&amp;C20,'Festivos por día'!$B$5:$B$468,"&lt;="&amp;D20)</f>
        <v>0</v>
      </c>
      <c r="I20" s="15">
        <f>COUNTIFS('Festivos por día'!$B$5:$B$468,"&gt;="&amp;C20,'Festivos por día'!$B$5:$B$468,"&lt;="&amp;MIN(D20,$L$2),'Festivos por día'!$H$5:$H$468,1)</f>
        <v>5</v>
      </c>
      <c r="J20" s="1"/>
      <c r="K20" s="21">
        <v>2011</v>
      </c>
      <c r="L20" s="1">
        <f t="shared" si="0"/>
        <v>3</v>
      </c>
      <c r="M20" s="1">
        <f t="shared" si="0"/>
        <v>4</v>
      </c>
      <c r="N20" s="1">
        <f t="shared" si="0"/>
        <v>3</v>
      </c>
      <c r="O20" s="1">
        <f t="shared" si="0"/>
        <v>4</v>
      </c>
      <c r="P20" s="22">
        <f t="shared" si="1"/>
        <v>14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3">
        <v>2005</v>
      </c>
      <c r="B21" s="3" t="s">
        <v>15</v>
      </c>
      <c r="C21" s="32">
        <v>38353</v>
      </c>
      <c r="D21" s="32">
        <v>38442</v>
      </c>
      <c r="E21" s="14">
        <f>COUNTIFS('Festivos por día'!$B$5:$B$468,"&gt;="&amp;C21,'Festivos por día'!$B$5:$B$468,"&lt;="&amp;D21,'Festivos por día'!$H$5:$H$468,1)</f>
        <v>5</v>
      </c>
      <c r="F21" s="14">
        <f>COUNTIFS('Festivos por día'!$B$5:$B$468,"&gt;="&amp;C21,'Festivos por día'!$B$5:$B$468,"&lt;="&amp;D21)</f>
        <v>5</v>
      </c>
      <c r="G21" s="14">
        <f>COUNTIFS('Festivos por día'!$B$5:$B$468,"&gt;="&amp;C21,'Festivos por día'!$B$5:$B$468,"&lt;="&amp;D21,'Festivos por día'!$H$5:$H$468,0)</f>
        <v>0</v>
      </c>
      <c r="H21" s="14">
        <f>SUMIFS('Festivos por día'!$I$5:$I$468,'Festivos por día'!$B$5:$B$468,"&gt;="&amp;C21,'Festivos por día'!$B$5:$B$468,"&lt;="&amp;D21)</f>
        <v>0</v>
      </c>
      <c r="I21" s="15">
        <f>COUNTIFS('Festivos por día'!$B$5:$B$468,"&gt;="&amp;C21,'Festivos por día'!$B$5:$B$468,"&lt;="&amp;MIN(D21,$L$2),'Festivos por día'!$H$5:$H$468,1)</f>
        <v>5</v>
      </c>
      <c r="J21" s="1"/>
      <c r="K21" s="21">
        <v>2012</v>
      </c>
      <c r="L21" s="1">
        <f t="shared" si="0"/>
        <v>2</v>
      </c>
      <c r="M21" s="1">
        <f t="shared" si="0"/>
        <v>6</v>
      </c>
      <c r="N21" s="1">
        <f t="shared" si="0"/>
        <v>4</v>
      </c>
      <c r="O21" s="1">
        <f t="shared" si="0"/>
        <v>5</v>
      </c>
      <c r="P21" s="22">
        <f t="shared" si="1"/>
        <v>17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3">
        <v>2005</v>
      </c>
      <c r="B22" s="3" t="s">
        <v>17</v>
      </c>
      <c r="C22" s="32">
        <v>38443</v>
      </c>
      <c r="D22" s="32">
        <v>38533</v>
      </c>
      <c r="E22" s="14">
        <f>COUNTIFS('Festivos por día'!$B$5:$B$468,"&gt;="&amp;C22,'Festivos por día'!$B$5:$B$468,"&lt;="&amp;D22,'Festivos por día'!$H$5:$H$468,1)</f>
        <v>3</v>
      </c>
      <c r="F22" s="14">
        <f>COUNTIFS('Festivos por día'!$B$5:$B$468,"&gt;="&amp;C22,'Festivos por día'!$B$5:$B$468,"&lt;="&amp;D22)</f>
        <v>4</v>
      </c>
      <c r="G22" s="14">
        <f>COUNTIFS('Festivos por día'!$B$5:$B$468,"&gt;="&amp;C22,'Festivos por día'!$B$5:$B$468,"&lt;="&amp;D22,'Festivos por día'!$H$5:$H$468,0)</f>
        <v>1</v>
      </c>
      <c r="H22" s="14">
        <f>SUMIFS('Festivos por día'!$I$5:$I$468,'Festivos por día'!$B$5:$B$468,"&gt;="&amp;C22,'Festivos por día'!$B$5:$B$468,"&lt;="&amp;D22)</f>
        <v>0</v>
      </c>
      <c r="I22" s="15">
        <f>COUNTIFS('Festivos por día'!$B$5:$B$468,"&gt;="&amp;C22,'Festivos por día'!$B$5:$B$468,"&lt;="&amp;MIN(D22,$L$2),'Festivos por día'!$H$5:$H$468,1)</f>
        <v>3</v>
      </c>
      <c r="J22" s="1"/>
      <c r="K22" s="21">
        <v>2013</v>
      </c>
      <c r="L22" s="1">
        <f t="shared" si="0"/>
        <v>5</v>
      </c>
      <c r="M22" s="1">
        <f t="shared" si="0"/>
        <v>4</v>
      </c>
      <c r="N22" s="1">
        <f t="shared" si="0"/>
        <v>4</v>
      </c>
      <c r="O22" s="1">
        <f t="shared" si="0"/>
        <v>4</v>
      </c>
      <c r="P22" s="22">
        <f t="shared" si="1"/>
        <v>17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3">
        <v>2005</v>
      </c>
      <c r="B23" s="3" t="s">
        <v>19</v>
      </c>
      <c r="C23" s="32">
        <v>38534</v>
      </c>
      <c r="D23" s="32">
        <v>38625</v>
      </c>
      <c r="E23" s="14">
        <f>COUNTIFS('Festivos por día'!$B$5:$B$468,"&gt;="&amp;C23,'Festivos por día'!$B$5:$B$468,"&lt;="&amp;D23,'Festivos por día'!$H$5:$H$468,1)</f>
        <v>3</v>
      </c>
      <c r="F23" s="14">
        <f>COUNTIFS('Festivos por día'!$B$5:$B$468,"&gt;="&amp;C23,'Festivos por día'!$B$5:$B$468,"&lt;="&amp;D23)</f>
        <v>4</v>
      </c>
      <c r="G23" s="14">
        <f>COUNTIFS('Festivos por día'!$B$5:$B$468,"&gt;="&amp;C23,'Festivos por día'!$B$5:$B$468,"&lt;="&amp;D23,'Festivos por día'!$H$5:$H$468,0)</f>
        <v>1</v>
      </c>
      <c r="H23" s="14">
        <f>SUMIFS('Festivos por día'!$I$5:$I$468,'Festivos por día'!$B$5:$B$468,"&gt;="&amp;C23,'Festivos por día'!$B$5:$B$468,"&lt;="&amp;D23)</f>
        <v>0</v>
      </c>
      <c r="I23" s="15">
        <f>COUNTIFS('Festivos por día'!$B$5:$B$468,"&gt;="&amp;C23,'Festivos por día'!$B$5:$B$468,"&lt;="&amp;MIN(D23,$L$2),'Festivos por día'!$H$5:$H$468,1)</f>
        <v>3</v>
      </c>
      <c r="J23" s="1"/>
      <c r="K23" s="21">
        <v>2014</v>
      </c>
      <c r="L23" s="1">
        <f t="shared" si="0"/>
        <v>3</v>
      </c>
      <c r="M23" s="1">
        <f t="shared" si="0"/>
        <v>6</v>
      </c>
      <c r="N23" s="1">
        <f t="shared" si="0"/>
        <v>2</v>
      </c>
      <c r="O23" s="1">
        <f t="shared" si="0"/>
        <v>5</v>
      </c>
      <c r="P23" s="22">
        <f t="shared" si="1"/>
        <v>16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3">
        <v>2005</v>
      </c>
      <c r="B24" s="3" t="s">
        <v>20</v>
      </c>
      <c r="C24" s="32">
        <v>38626</v>
      </c>
      <c r="D24" s="32">
        <v>38717</v>
      </c>
      <c r="E24" s="14">
        <f>COUNTIFS('Festivos por día'!$B$5:$B$468,"&gt;="&amp;C24,'Festivos por día'!$B$5:$B$468,"&lt;="&amp;D24,'Festivos por día'!$H$5:$H$468,1)</f>
        <v>4</v>
      </c>
      <c r="F24" s="14">
        <f>COUNTIFS('Festivos por día'!$B$5:$B$468,"&gt;="&amp;C24,'Festivos por día'!$B$5:$B$468,"&lt;="&amp;D24)</f>
        <v>5</v>
      </c>
      <c r="G24" s="14">
        <f>COUNTIFS('Festivos por día'!$B$5:$B$468,"&gt;="&amp;C24,'Festivos por día'!$B$5:$B$468,"&lt;="&amp;D24,'Festivos por día'!$H$5:$H$468,0)</f>
        <v>1</v>
      </c>
      <c r="H24" s="14">
        <f>SUMIFS('Festivos por día'!$I$5:$I$468,'Festivos por día'!$B$5:$B$468,"&gt;="&amp;C24,'Festivos por día'!$B$5:$B$468,"&lt;="&amp;D24)</f>
        <v>0</v>
      </c>
      <c r="I24" s="15">
        <f>COUNTIFS('Festivos por día'!$B$5:$B$468,"&gt;="&amp;C24,'Festivos por día'!$B$5:$B$468,"&lt;="&amp;MIN(D24,$L$2),'Festivos por día'!$H$5:$H$468,1)</f>
        <v>4</v>
      </c>
      <c r="J24" s="1"/>
      <c r="K24" s="21">
        <v>2015</v>
      </c>
      <c r="L24" s="1">
        <f t="shared" si="0"/>
        <v>3</v>
      </c>
      <c r="M24" s="1">
        <f t="shared" si="0"/>
        <v>7</v>
      </c>
      <c r="N24" s="1">
        <f t="shared" si="0"/>
        <v>3</v>
      </c>
      <c r="O24" s="1">
        <f t="shared" si="0"/>
        <v>5</v>
      </c>
      <c r="P24" s="22">
        <f t="shared" si="1"/>
        <v>18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3">
        <v>2006</v>
      </c>
      <c r="B25" s="3" t="s">
        <v>15</v>
      </c>
      <c r="C25" s="32">
        <v>38718</v>
      </c>
      <c r="D25" s="32">
        <v>38807</v>
      </c>
      <c r="E25" s="14">
        <f>COUNTIFS('Festivos por día'!$B$5:$B$468,"&gt;="&amp;C25,'Festivos por día'!$B$5:$B$468,"&lt;="&amp;D25,'Festivos por día'!$H$5:$H$468,1)</f>
        <v>2</v>
      </c>
      <c r="F25" s="14">
        <f>COUNTIFS('Festivos por día'!$B$5:$B$468,"&gt;="&amp;C25,'Festivos por día'!$B$5:$B$468,"&lt;="&amp;D25)</f>
        <v>3</v>
      </c>
      <c r="G25" s="14">
        <f>COUNTIFS('Festivos por día'!$B$5:$B$468,"&gt;="&amp;C25,'Festivos por día'!$B$5:$B$468,"&lt;="&amp;D25,'Festivos por día'!$H$5:$H$468,0)</f>
        <v>1</v>
      </c>
      <c r="H25" s="14">
        <f>SUMIFS('Festivos por día'!$I$5:$I$468,'Festivos por día'!$B$5:$B$468,"&gt;="&amp;C25,'Festivos por día'!$B$5:$B$468,"&lt;="&amp;D25)</f>
        <v>0</v>
      </c>
      <c r="I25" s="15">
        <f>COUNTIFS('Festivos por día'!$B$5:$B$468,"&gt;="&amp;C25,'Festivos por día'!$B$5:$B$468,"&lt;="&amp;MIN(D25,$L$2),'Festivos por día'!$H$5:$H$468,1)</f>
        <v>2</v>
      </c>
      <c r="J25" s="1"/>
      <c r="K25" s="21">
        <v>2016</v>
      </c>
      <c r="L25" s="1">
        <f t="shared" si="0"/>
        <v>5</v>
      </c>
      <c r="M25" s="1">
        <f t="shared" si="0"/>
        <v>3</v>
      </c>
      <c r="N25" s="1">
        <f t="shared" si="0"/>
        <v>3</v>
      </c>
      <c r="O25" s="1">
        <f t="shared" si="0"/>
        <v>4</v>
      </c>
      <c r="P25" s="22">
        <f t="shared" si="1"/>
        <v>15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3">
        <v>2006</v>
      </c>
      <c r="B26" s="3" t="s">
        <v>17</v>
      </c>
      <c r="C26" s="32">
        <v>38808</v>
      </c>
      <c r="D26" s="32">
        <v>38898</v>
      </c>
      <c r="E26" s="14">
        <f>COUNTIFS('Festivos por día'!$B$5:$B$468,"&gt;="&amp;C26,'Festivos por día'!$B$5:$B$468,"&lt;="&amp;D26,'Festivos por día'!$H$5:$H$468,1)</f>
        <v>6</v>
      </c>
      <c r="F26" s="14">
        <f>COUNTIFS('Festivos por día'!$B$5:$B$468,"&gt;="&amp;C26,'Festivos por día'!$B$5:$B$468,"&lt;="&amp;D26)</f>
        <v>6</v>
      </c>
      <c r="G26" s="14">
        <f>COUNTIFS('Festivos por día'!$B$5:$B$468,"&gt;="&amp;C26,'Festivos por día'!$B$5:$B$468,"&lt;="&amp;D26,'Festivos por día'!$H$5:$H$468,0)</f>
        <v>0</v>
      </c>
      <c r="H26" s="14">
        <f>SUMIFS('Festivos por día'!$I$5:$I$468,'Festivos por día'!$B$5:$B$468,"&gt;="&amp;C26,'Festivos por día'!$B$5:$B$468,"&lt;="&amp;D26)</f>
        <v>0</v>
      </c>
      <c r="I26" s="15">
        <f>COUNTIFS('Festivos por día'!$B$5:$B$468,"&gt;="&amp;C26,'Festivos por día'!$B$5:$B$468,"&lt;="&amp;MIN(D26,$L$2),'Festivos por día'!$H$5:$H$468,1)</f>
        <v>6</v>
      </c>
      <c r="J26" s="1"/>
      <c r="K26" s="21">
        <v>2017</v>
      </c>
      <c r="L26" s="1">
        <f t="shared" si="0"/>
        <v>2</v>
      </c>
      <c r="M26" s="1">
        <f t="shared" si="0"/>
        <v>6</v>
      </c>
      <c r="N26" s="1">
        <f t="shared" si="0"/>
        <v>4</v>
      </c>
      <c r="O26" s="1">
        <f t="shared" si="0"/>
        <v>5</v>
      </c>
      <c r="P26" s="22">
        <f t="shared" si="1"/>
        <v>17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3">
        <v>2006</v>
      </c>
      <c r="B27" s="3" t="s">
        <v>19</v>
      </c>
      <c r="C27" s="32">
        <v>38899</v>
      </c>
      <c r="D27" s="32">
        <v>38990</v>
      </c>
      <c r="E27" s="14">
        <f>COUNTIFS('Festivos por día'!$B$5:$B$468,"&gt;="&amp;C27,'Festivos por día'!$B$5:$B$468,"&lt;="&amp;D27,'Festivos por día'!$H$5:$H$468,1)</f>
        <v>4</v>
      </c>
      <c r="F27" s="14">
        <f>COUNTIFS('Festivos por día'!$B$5:$B$468,"&gt;="&amp;C27,'Festivos por día'!$B$5:$B$468,"&lt;="&amp;D27)</f>
        <v>4</v>
      </c>
      <c r="G27" s="14">
        <f>COUNTIFS('Festivos por día'!$B$5:$B$468,"&gt;="&amp;C27,'Festivos por día'!$B$5:$B$468,"&lt;="&amp;D27,'Festivos por día'!$H$5:$H$468,0)</f>
        <v>0</v>
      </c>
      <c r="H27" s="14">
        <f>SUMIFS('Festivos por día'!$I$5:$I$468,'Festivos por día'!$B$5:$B$468,"&gt;="&amp;C27,'Festivos por día'!$B$5:$B$468,"&lt;="&amp;D27)</f>
        <v>0</v>
      </c>
      <c r="I27" s="15">
        <f>COUNTIFS('Festivos por día'!$B$5:$B$468,"&gt;="&amp;C27,'Festivos por día'!$B$5:$B$468,"&lt;="&amp;MIN(D27,$L$2),'Festivos por día'!$H$5:$H$468,1)</f>
        <v>4</v>
      </c>
      <c r="J27" s="1"/>
      <c r="K27" s="21">
        <v>2018</v>
      </c>
      <c r="L27" s="1">
        <f t="shared" si="0"/>
        <v>5</v>
      </c>
      <c r="M27" s="1">
        <f t="shared" si="0"/>
        <v>4</v>
      </c>
      <c r="N27" s="1">
        <f t="shared" si="0"/>
        <v>4</v>
      </c>
      <c r="O27" s="1">
        <f t="shared" si="0"/>
        <v>5</v>
      </c>
      <c r="P27" s="22">
        <f t="shared" si="1"/>
        <v>18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3">
        <v>2006</v>
      </c>
      <c r="B28" s="3" t="s">
        <v>20</v>
      </c>
      <c r="C28" s="32">
        <v>38991</v>
      </c>
      <c r="D28" s="32">
        <v>39082</v>
      </c>
      <c r="E28" s="14">
        <f>COUNTIFS('Festivos por día'!$B$5:$B$468,"&gt;="&amp;C28,'Festivos por día'!$B$5:$B$468,"&lt;="&amp;D28,'Festivos por día'!$H$5:$H$468,1)</f>
        <v>5</v>
      </c>
      <c r="F28" s="14">
        <f>COUNTIFS('Festivos por día'!$B$5:$B$468,"&gt;="&amp;C28,'Festivos por día'!$B$5:$B$468,"&lt;="&amp;D28)</f>
        <v>5</v>
      </c>
      <c r="G28" s="14">
        <f>COUNTIFS('Festivos por día'!$B$5:$B$468,"&gt;="&amp;C28,'Festivos por día'!$B$5:$B$468,"&lt;="&amp;D28,'Festivos por día'!$H$5:$H$468,0)</f>
        <v>0</v>
      </c>
      <c r="H28" s="14">
        <f>SUMIFS('Festivos por día'!$I$5:$I$468,'Festivos por día'!$B$5:$B$468,"&gt;="&amp;C28,'Festivos por día'!$B$5:$B$468,"&lt;="&amp;D28)</f>
        <v>0</v>
      </c>
      <c r="I28" s="15">
        <f>COUNTIFS('Festivos por día'!$B$5:$B$468,"&gt;="&amp;C28,'Festivos por día'!$B$5:$B$468,"&lt;="&amp;MIN(D28,$L$2),'Festivos por día'!$H$5:$H$468,1)</f>
        <v>5</v>
      </c>
      <c r="J28" s="1"/>
      <c r="K28" s="21">
        <v>2019</v>
      </c>
      <c r="L28" s="1">
        <f t="shared" si="0"/>
        <v>3</v>
      </c>
      <c r="M28" s="1">
        <f t="shared" si="0"/>
        <v>5</v>
      </c>
      <c r="N28" s="1">
        <f t="shared" si="0"/>
        <v>4</v>
      </c>
      <c r="O28" s="1">
        <f t="shared" si="0"/>
        <v>4</v>
      </c>
      <c r="P28" s="22">
        <f t="shared" si="1"/>
        <v>16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3">
        <v>2007</v>
      </c>
      <c r="B29" s="3" t="s">
        <v>15</v>
      </c>
      <c r="C29" s="32">
        <v>39083</v>
      </c>
      <c r="D29" s="32">
        <v>39172</v>
      </c>
      <c r="E29" s="14">
        <f>COUNTIFS('Festivos por día'!$B$5:$B$468,"&gt;="&amp;C29,'Festivos por día'!$B$5:$B$468,"&lt;="&amp;D29,'Festivos por día'!$H$5:$H$468,1)</f>
        <v>3</v>
      </c>
      <c r="F29" s="14">
        <f>COUNTIFS('Festivos por día'!$B$5:$B$468,"&gt;="&amp;C29,'Festivos por día'!$B$5:$B$468,"&lt;="&amp;D29)</f>
        <v>3</v>
      </c>
      <c r="G29" s="14">
        <f>COUNTIFS('Festivos por día'!$B$5:$B$468,"&gt;="&amp;C29,'Festivos por día'!$B$5:$B$468,"&lt;="&amp;D29,'Festivos por día'!$H$5:$H$468,0)</f>
        <v>0</v>
      </c>
      <c r="H29" s="14">
        <f>SUMIFS('Festivos por día'!$I$5:$I$468,'Festivos por día'!$B$5:$B$468,"&gt;="&amp;C29,'Festivos por día'!$B$5:$B$468,"&lt;="&amp;D29)</f>
        <v>0</v>
      </c>
      <c r="I29" s="15">
        <f>COUNTIFS('Festivos por día'!$B$5:$B$468,"&gt;="&amp;C29,'Festivos por día'!$B$5:$B$468,"&lt;="&amp;MIN(D29,$L$2),'Festivos por día'!$H$5:$H$468,1)</f>
        <v>3</v>
      </c>
      <c r="J29" s="1"/>
      <c r="K29" s="21">
        <v>2020</v>
      </c>
      <c r="L29" s="1">
        <f t="shared" si="0"/>
        <v>3</v>
      </c>
      <c r="M29" s="1">
        <f t="shared" si="0"/>
        <v>7</v>
      </c>
      <c r="N29" s="1">
        <f t="shared" si="0"/>
        <v>3</v>
      </c>
      <c r="O29" s="1">
        <f t="shared" si="0"/>
        <v>5</v>
      </c>
      <c r="P29" s="22">
        <f t="shared" si="1"/>
        <v>18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3">
        <v>2007</v>
      </c>
      <c r="B30" s="3" t="s">
        <v>17</v>
      </c>
      <c r="C30" s="32">
        <v>39173</v>
      </c>
      <c r="D30" s="32">
        <v>39263</v>
      </c>
      <c r="E30" s="14">
        <f>COUNTIFS('Festivos por día'!$B$5:$B$468,"&gt;="&amp;C30,'Festivos por día'!$B$5:$B$468,"&lt;="&amp;D30,'Festivos por día'!$H$5:$H$468,1)</f>
        <v>6</v>
      </c>
      <c r="F30" s="14">
        <f>COUNTIFS('Festivos por día'!$B$5:$B$468,"&gt;="&amp;C30,'Festivos por día'!$B$5:$B$468,"&lt;="&amp;D30)</f>
        <v>6</v>
      </c>
      <c r="G30" s="14">
        <f>COUNTIFS('Festivos por día'!$B$5:$B$468,"&gt;="&amp;C30,'Festivos por día'!$B$5:$B$468,"&lt;="&amp;D30,'Festivos por día'!$H$5:$H$468,0)</f>
        <v>0</v>
      </c>
      <c r="H30" s="14">
        <f>SUMIFS('Festivos por día'!$I$5:$I$468,'Festivos por día'!$B$5:$B$468,"&gt;="&amp;C30,'Festivos por día'!$B$5:$B$468,"&lt;="&amp;D30)</f>
        <v>0</v>
      </c>
      <c r="I30" s="15">
        <f>COUNTIFS('Festivos por día'!$B$5:$B$468,"&gt;="&amp;C30,'Festivos por día'!$B$5:$B$468,"&lt;="&amp;MIN(D30,$L$2),'Festivos por día'!$H$5:$H$468,1)</f>
        <v>6</v>
      </c>
      <c r="J30" s="1"/>
      <c r="K30" s="21">
        <v>2021</v>
      </c>
      <c r="L30" s="1">
        <f t="shared" si="0"/>
        <v>3</v>
      </c>
      <c r="M30" s="1">
        <f t="shared" si="0"/>
        <v>6</v>
      </c>
      <c r="N30" s="1">
        <f t="shared" si="0"/>
        <v>4</v>
      </c>
      <c r="O30" s="1">
        <f t="shared" si="0"/>
        <v>5</v>
      </c>
      <c r="P30" s="22">
        <f t="shared" si="1"/>
        <v>18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3">
        <v>2007</v>
      </c>
      <c r="B31" s="3" t="s">
        <v>19</v>
      </c>
      <c r="C31" s="32">
        <v>39264</v>
      </c>
      <c r="D31" s="32">
        <v>39355</v>
      </c>
      <c r="E31" s="14">
        <f>COUNTIFS('Festivos por día'!$B$5:$B$468,"&gt;="&amp;C31,'Festivos por día'!$B$5:$B$468,"&lt;="&amp;D31,'Festivos por día'!$H$5:$H$468,1)</f>
        <v>4</v>
      </c>
      <c r="F31" s="14">
        <f>COUNTIFS('Festivos por día'!$B$5:$B$468,"&gt;="&amp;C31,'Festivos por día'!$B$5:$B$468,"&lt;="&amp;D31)</f>
        <v>4</v>
      </c>
      <c r="G31" s="14">
        <f>COUNTIFS('Festivos por día'!$B$5:$B$468,"&gt;="&amp;C31,'Festivos por día'!$B$5:$B$468,"&lt;="&amp;D31,'Festivos por día'!$H$5:$H$468,0)</f>
        <v>0</v>
      </c>
      <c r="H31" s="14">
        <f>SUMIFS('Festivos por día'!$I$5:$I$468,'Festivos por día'!$B$5:$B$468,"&gt;="&amp;C31,'Festivos por día'!$B$5:$B$468,"&lt;="&amp;D31)</f>
        <v>0</v>
      </c>
      <c r="I31" s="15">
        <f>COUNTIFS('Festivos por día'!$B$5:$B$468,"&gt;="&amp;C31,'Festivos por día'!$B$5:$B$468,"&lt;="&amp;MIN(D31,$L$2),'Festivos por día'!$H$5:$H$468,1)</f>
        <v>4</v>
      </c>
      <c r="J31" s="1"/>
      <c r="K31" s="21">
        <v>2022</v>
      </c>
      <c r="L31" s="1">
        <f t="shared" si="0"/>
        <v>3</v>
      </c>
      <c r="M31" s="1">
        <f t="shared" si="0"/>
        <v>5</v>
      </c>
      <c r="N31" s="1">
        <f t="shared" si="0"/>
        <v>3</v>
      </c>
      <c r="O31" s="1">
        <f t="shared" si="0"/>
        <v>4</v>
      </c>
      <c r="P31" s="22">
        <f t="shared" si="1"/>
        <v>15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3">
        <v>2007</v>
      </c>
      <c r="B32" s="3" t="s">
        <v>20</v>
      </c>
      <c r="C32" s="32">
        <v>39356</v>
      </c>
      <c r="D32" s="32">
        <v>39447</v>
      </c>
      <c r="E32" s="14">
        <f>COUNTIFS('Festivos por día'!$B$5:$B$468,"&gt;="&amp;C32,'Festivos por día'!$B$5:$B$468,"&lt;="&amp;D32,'Festivos por día'!$H$5:$H$468,1)</f>
        <v>5</v>
      </c>
      <c r="F32" s="14">
        <f>COUNTIFS('Festivos por día'!$B$5:$B$468,"&gt;="&amp;C32,'Festivos por día'!$B$5:$B$468,"&lt;="&amp;D32)</f>
        <v>5</v>
      </c>
      <c r="G32" s="14">
        <f>COUNTIFS('Festivos por día'!$B$5:$B$468,"&gt;="&amp;C32,'Festivos por día'!$B$5:$B$468,"&lt;="&amp;D32,'Festivos por día'!$H$5:$H$468,0)</f>
        <v>0</v>
      </c>
      <c r="H32" s="14">
        <f>SUMIFS('Festivos por día'!$I$5:$I$468,'Festivos por día'!$B$5:$B$468,"&gt;="&amp;C32,'Festivos por día'!$B$5:$B$468,"&lt;="&amp;D32)</f>
        <v>0</v>
      </c>
      <c r="I32" s="15">
        <f>COUNTIFS('Festivos por día'!$B$5:$B$468,"&gt;="&amp;C32,'Festivos por día'!$B$5:$B$468,"&lt;="&amp;MIN(D32,$L$2),'Festivos por día'!$H$5:$H$468,1)</f>
        <v>5</v>
      </c>
      <c r="J32" s="1"/>
      <c r="K32" s="21">
        <v>2023</v>
      </c>
      <c r="L32" s="1">
        <f t="shared" si="0"/>
        <v>2</v>
      </c>
      <c r="M32" s="1">
        <f t="shared" si="0"/>
        <v>6</v>
      </c>
      <c r="N32" s="1">
        <f t="shared" si="0"/>
        <v>4</v>
      </c>
      <c r="O32" s="1">
        <f t="shared" si="0"/>
        <v>5</v>
      </c>
      <c r="P32" s="22">
        <f t="shared" si="1"/>
        <v>17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3">
        <v>2008</v>
      </c>
      <c r="B33" s="3" t="s">
        <v>15</v>
      </c>
      <c r="C33" s="32">
        <v>39448</v>
      </c>
      <c r="D33" s="32">
        <v>39538</v>
      </c>
      <c r="E33" s="14">
        <f>COUNTIFS('Festivos por día'!$B$5:$B$468,"&gt;="&amp;C33,'Festivos por día'!$B$5:$B$468,"&lt;="&amp;D33,'Festivos por día'!$H$5:$H$468,1)</f>
        <v>5</v>
      </c>
      <c r="F33" s="14">
        <f>COUNTIFS('Festivos por día'!$B$5:$B$468,"&gt;="&amp;C33,'Festivos por día'!$B$5:$B$468,"&lt;="&amp;D33)</f>
        <v>5</v>
      </c>
      <c r="G33" s="14">
        <f>COUNTIFS('Festivos por día'!$B$5:$B$468,"&gt;="&amp;C33,'Festivos por día'!$B$5:$B$468,"&lt;="&amp;D33,'Festivos por día'!$H$5:$H$468,0)</f>
        <v>0</v>
      </c>
      <c r="H33" s="14">
        <f>SUMIFS('Festivos por día'!$I$5:$I$468,'Festivos por día'!$B$5:$B$468,"&gt;="&amp;C33,'Festivos por día'!$B$5:$B$468,"&lt;="&amp;D33)</f>
        <v>0</v>
      </c>
      <c r="I33" s="15">
        <f>COUNTIFS('Festivos por día'!$B$5:$B$468,"&gt;="&amp;C33,'Festivos por día'!$B$5:$B$468,"&lt;="&amp;MIN(D33,$L$2),'Festivos por día'!$H$5:$H$468,1)</f>
        <v>5</v>
      </c>
      <c r="J33" s="1"/>
      <c r="K33" s="21">
        <v>2024</v>
      </c>
      <c r="L33" s="1">
        <f t="shared" si="0"/>
        <v>5</v>
      </c>
      <c r="M33" s="1">
        <f t="shared" si="0"/>
        <v>4</v>
      </c>
      <c r="N33" s="1">
        <f t="shared" si="0"/>
        <v>4</v>
      </c>
      <c r="O33" s="1">
        <f t="shared" si="0"/>
        <v>4</v>
      </c>
      <c r="P33" s="22">
        <f t="shared" si="1"/>
        <v>17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3">
        <v>2008</v>
      </c>
      <c r="B34" s="3" t="s">
        <v>17</v>
      </c>
      <c r="C34" s="32">
        <v>39539</v>
      </c>
      <c r="D34" s="32">
        <v>39629</v>
      </c>
      <c r="E34" s="14">
        <f>COUNTIFS('Festivos por día'!$B$5:$B$468,"&gt;="&amp;C34,'Festivos por día'!$B$5:$B$468,"&lt;="&amp;D34,'Festivos por día'!$H$5:$H$468,1)</f>
        <v>5</v>
      </c>
      <c r="F34" s="14">
        <f>COUNTIFS('Festivos por día'!$B$5:$B$468,"&gt;="&amp;C34,'Festivos por día'!$B$5:$B$468,"&lt;="&amp;D34)</f>
        <v>5</v>
      </c>
      <c r="G34" s="14">
        <f>COUNTIFS('Festivos por día'!$B$5:$B$468,"&gt;="&amp;C34,'Festivos por día'!$B$5:$B$468,"&lt;="&amp;D34,'Festivos por día'!$H$5:$H$468,0)</f>
        <v>0</v>
      </c>
      <c r="H34" s="14">
        <f>SUMIFS('Festivos por día'!$I$5:$I$468,'Festivos por día'!$B$5:$B$468,"&gt;="&amp;C34,'Festivos por día'!$B$5:$B$468,"&lt;="&amp;D34)</f>
        <v>0</v>
      </c>
      <c r="I34" s="15">
        <f>COUNTIFS('Festivos por día'!$B$5:$B$468,"&gt;="&amp;C34,'Festivos por día'!$B$5:$B$468,"&lt;="&amp;MIN(D34,$L$2),'Festivos por día'!$H$5:$H$468,1)</f>
        <v>5</v>
      </c>
      <c r="J34" s="1"/>
      <c r="K34" s="21">
        <v>2025</v>
      </c>
      <c r="L34" s="1">
        <f t="shared" si="0"/>
        <v>3</v>
      </c>
      <c r="M34" s="1">
        <f t="shared" si="0"/>
        <v>6</v>
      </c>
      <c r="N34" s="1">
        <f t="shared" si="0"/>
        <v>2</v>
      </c>
      <c r="O34" s="1">
        <f t="shared" si="0"/>
        <v>5</v>
      </c>
      <c r="P34" s="22">
        <f t="shared" si="1"/>
        <v>16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3">
        <v>2008</v>
      </c>
      <c r="B35" s="3" t="s">
        <v>19</v>
      </c>
      <c r="C35" s="32">
        <v>39630</v>
      </c>
      <c r="D35" s="32">
        <v>39721</v>
      </c>
      <c r="E35" s="14">
        <f>COUNTIFS('Festivos por día'!$B$5:$B$468,"&gt;="&amp;C35,'Festivos por día'!$B$5:$B$468,"&lt;="&amp;D35,'Festivos por día'!$H$5:$H$468,1)</f>
        <v>2</v>
      </c>
      <c r="F35" s="14">
        <f>COUNTIFS('Festivos por día'!$B$5:$B$468,"&gt;="&amp;C35,'Festivos por día'!$B$5:$B$468,"&lt;="&amp;D35)</f>
        <v>3</v>
      </c>
      <c r="G35" s="14">
        <f>COUNTIFS('Festivos por día'!$B$5:$B$468,"&gt;="&amp;C35,'Festivos por día'!$B$5:$B$468,"&lt;="&amp;D35,'Festivos por día'!$H$5:$H$468,0)</f>
        <v>1</v>
      </c>
      <c r="H35" s="14">
        <f>SUMIFS('Festivos por día'!$I$5:$I$468,'Festivos por día'!$B$5:$B$468,"&gt;="&amp;C35,'Festivos por día'!$B$5:$B$468,"&lt;="&amp;D35)</f>
        <v>0</v>
      </c>
      <c r="I35" s="15">
        <f>COUNTIFS('Festivos por día'!$B$5:$B$468,"&gt;="&amp;C35,'Festivos por día'!$B$5:$B$468,"&lt;="&amp;MIN(D35,$L$2),'Festivos por día'!$H$5:$H$468,1)</f>
        <v>2</v>
      </c>
      <c r="J35" s="1"/>
      <c r="K35" s="23">
        <v>2026</v>
      </c>
      <c r="L35" s="24">
        <f t="shared" si="0"/>
        <v>3</v>
      </c>
      <c r="M35" s="24">
        <f t="shared" si="0"/>
        <v>7</v>
      </c>
      <c r="N35" s="24">
        <f t="shared" si="0"/>
        <v>4</v>
      </c>
      <c r="O35" s="24">
        <f t="shared" si="0"/>
        <v>5</v>
      </c>
      <c r="P35" s="25">
        <f t="shared" si="1"/>
        <v>19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3">
        <v>2008</v>
      </c>
      <c r="B36" s="3" t="s">
        <v>20</v>
      </c>
      <c r="C36" s="32">
        <v>39722</v>
      </c>
      <c r="D36" s="32">
        <v>39813</v>
      </c>
      <c r="E36" s="14">
        <f>COUNTIFS('Festivos por día'!$B$5:$B$468,"&gt;="&amp;C36,'Festivos por día'!$B$5:$B$468,"&lt;="&amp;D36,'Festivos por día'!$H$5:$H$468,1)</f>
        <v>5</v>
      </c>
      <c r="F36" s="14">
        <f>COUNTIFS('Festivos por día'!$B$5:$B$468,"&gt;="&amp;C36,'Festivos por día'!$B$5:$B$468,"&lt;="&amp;D36)</f>
        <v>5</v>
      </c>
      <c r="G36" s="14">
        <f>COUNTIFS('Festivos por día'!$B$5:$B$468,"&gt;="&amp;C36,'Festivos por día'!$B$5:$B$468,"&lt;="&amp;D36,'Festivos por día'!$H$5:$H$468,0)</f>
        <v>0</v>
      </c>
      <c r="H36" s="14">
        <f>SUMIFS('Festivos por día'!$I$5:$I$468,'Festivos por día'!$B$5:$B$468,"&gt;="&amp;C36,'Festivos por día'!$B$5:$B$468,"&lt;="&amp;D36)</f>
        <v>0</v>
      </c>
      <c r="I36" s="15">
        <f>COUNTIFS('Festivos por día'!$B$5:$B$468,"&gt;="&amp;C36,'Festivos por día'!$B$5:$B$468,"&lt;="&amp;MIN(D36,$L$2),'Festivos por día'!$H$5:$H$468,1)</f>
        <v>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3">
        <v>2009</v>
      </c>
      <c r="B37" s="3" t="s">
        <v>15</v>
      </c>
      <c r="C37" s="32">
        <v>39814</v>
      </c>
      <c r="D37" s="32">
        <v>39903</v>
      </c>
      <c r="E37" s="14">
        <f>COUNTIFS('Festivos por día'!$B$5:$B$468,"&gt;="&amp;C37,'Festivos por día'!$B$5:$B$468,"&lt;="&amp;D37,'Festivos por día'!$H$5:$H$468,1)</f>
        <v>3</v>
      </c>
      <c r="F37" s="14">
        <f>COUNTIFS('Festivos por día'!$B$5:$B$468,"&gt;="&amp;C37,'Festivos por día'!$B$5:$B$468,"&lt;="&amp;D37)</f>
        <v>3</v>
      </c>
      <c r="G37" s="14">
        <f>COUNTIFS('Festivos por día'!$B$5:$B$468,"&gt;="&amp;C37,'Festivos por día'!$B$5:$B$468,"&lt;="&amp;D37,'Festivos por día'!$H$5:$H$468,0)</f>
        <v>0</v>
      </c>
      <c r="H37" s="14">
        <f>SUMIFS('Festivos por día'!$I$5:$I$468,'Festivos por día'!$B$5:$B$468,"&gt;="&amp;C37,'Festivos por día'!$B$5:$B$468,"&lt;="&amp;D37)</f>
        <v>0</v>
      </c>
      <c r="I37" s="15">
        <f>COUNTIFS('Festivos por día'!$B$5:$B$468,"&gt;="&amp;C37,'Festivos por día'!$B$5:$B$468,"&lt;="&amp;MIN(D37,$L$2),'Festivos por día'!$H$5:$H$468,1)</f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3">
        <v>2009</v>
      </c>
      <c r="B38" s="3" t="s">
        <v>17</v>
      </c>
      <c r="C38" s="32">
        <v>39904</v>
      </c>
      <c r="D38" s="32">
        <v>39994</v>
      </c>
      <c r="E38" s="14">
        <f>COUNTIFS('Festivos por día'!$B$5:$B$468,"&gt;="&amp;C38,'Festivos por día'!$B$5:$B$468,"&lt;="&amp;D38,'Festivos por día'!$H$5:$H$468,1)</f>
        <v>7</v>
      </c>
      <c r="F38" s="14">
        <f>COUNTIFS('Festivos por día'!$B$5:$B$468,"&gt;="&amp;C38,'Festivos por día'!$B$5:$B$468,"&lt;="&amp;D38)</f>
        <v>7</v>
      </c>
      <c r="G38" s="14">
        <f>COUNTIFS('Festivos por día'!$B$5:$B$468,"&gt;="&amp;C38,'Festivos por día'!$B$5:$B$468,"&lt;="&amp;D38,'Festivos por día'!$H$5:$H$468,0)</f>
        <v>0</v>
      </c>
      <c r="H38" s="14">
        <f>SUMIFS('Festivos por día'!$I$5:$I$468,'Festivos por día'!$B$5:$B$468,"&gt;="&amp;C38,'Festivos por día'!$B$5:$B$468,"&lt;="&amp;D38)</f>
        <v>0</v>
      </c>
      <c r="I38" s="15">
        <f>COUNTIFS('Festivos por día'!$B$5:$B$468,"&gt;="&amp;C38,'Festivos por día'!$B$5:$B$468,"&lt;="&amp;MIN(D38,$L$2),'Festivos por día'!$H$5:$H$468,1)</f>
        <v>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3">
        <v>2009</v>
      </c>
      <c r="B39" s="3" t="s">
        <v>19</v>
      </c>
      <c r="C39" s="32">
        <v>39995</v>
      </c>
      <c r="D39" s="32">
        <v>40086</v>
      </c>
      <c r="E39" s="14">
        <f>COUNTIFS('Festivos por día'!$B$5:$B$468,"&gt;="&amp;C39,'Festivos por día'!$B$5:$B$468,"&lt;="&amp;D39,'Festivos por día'!$H$5:$H$468,1)</f>
        <v>3</v>
      </c>
      <c r="F39" s="14">
        <f>COUNTIFS('Festivos por día'!$B$5:$B$468,"&gt;="&amp;C39,'Festivos por día'!$B$5:$B$468,"&lt;="&amp;D39)</f>
        <v>3</v>
      </c>
      <c r="G39" s="14">
        <f>COUNTIFS('Festivos por día'!$B$5:$B$468,"&gt;="&amp;C39,'Festivos por día'!$B$5:$B$468,"&lt;="&amp;D39,'Festivos por día'!$H$5:$H$468,0)</f>
        <v>0</v>
      </c>
      <c r="H39" s="14">
        <f>SUMIFS('Festivos por día'!$I$5:$I$468,'Festivos por día'!$B$5:$B$468,"&gt;="&amp;C39,'Festivos por día'!$B$5:$B$468,"&lt;="&amp;D39)</f>
        <v>0</v>
      </c>
      <c r="I39" s="15">
        <f>COUNTIFS('Festivos por día'!$B$5:$B$468,"&gt;="&amp;C39,'Festivos por día'!$B$5:$B$468,"&lt;="&amp;MIN(D39,$L$2),'Festivos por día'!$H$5:$H$468,1)</f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3">
        <v>2009</v>
      </c>
      <c r="B40" s="3" t="s">
        <v>20</v>
      </c>
      <c r="C40" s="32">
        <v>40087</v>
      </c>
      <c r="D40" s="32">
        <v>40178</v>
      </c>
      <c r="E40" s="14">
        <f>COUNTIFS('Festivos por día'!$B$5:$B$468,"&gt;="&amp;C40,'Festivos por día'!$B$5:$B$468,"&lt;="&amp;D40,'Festivos por día'!$H$5:$H$468,1)</f>
        <v>5</v>
      </c>
      <c r="F40" s="14">
        <f>COUNTIFS('Festivos por día'!$B$5:$B$468,"&gt;="&amp;C40,'Festivos por día'!$B$5:$B$468,"&lt;="&amp;D40)</f>
        <v>5</v>
      </c>
      <c r="G40" s="14">
        <f>COUNTIFS('Festivos por día'!$B$5:$B$468,"&gt;="&amp;C40,'Festivos por día'!$B$5:$B$468,"&lt;="&amp;D40,'Festivos por día'!$H$5:$H$468,0)</f>
        <v>0</v>
      </c>
      <c r="H40" s="14">
        <f>SUMIFS('Festivos por día'!$I$5:$I$468,'Festivos por día'!$B$5:$B$468,"&gt;="&amp;C40,'Festivos por día'!$B$5:$B$468,"&lt;="&amp;D40)</f>
        <v>0</v>
      </c>
      <c r="I40" s="15">
        <f>COUNTIFS('Festivos por día'!$B$5:$B$468,"&gt;="&amp;C40,'Festivos por día'!$B$5:$B$468,"&lt;="&amp;MIN(D40,$L$2),'Festivos por día'!$H$5:$H$468,1)</f>
        <v>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3">
        <v>2010</v>
      </c>
      <c r="B41" s="3" t="s">
        <v>15</v>
      </c>
      <c r="C41" s="32">
        <v>40179</v>
      </c>
      <c r="D41" s="32">
        <v>40268</v>
      </c>
      <c r="E41" s="14">
        <f>COUNTIFS('Festivos por día'!$B$5:$B$468,"&gt;="&amp;C41,'Festivos por día'!$B$5:$B$468,"&lt;="&amp;D41,'Festivos por día'!$H$5:$H$468,1)</f>
        <v>3</v>
      </c>
      <c r="F41" s="14">
        <f>COUNTIFS('Festivos por día'!$B$5:$B$468,"&gt;="&amp;C41,'Festivos por día'!$B$5:$B$468,"&lt;="&amp;D41)</f>
        <v>3</v>
      </c>
      <c r="G41" s="14">
        <f>COUNTIFS('Festivos por día'!$B$5:$B$468,"&gt;="&amp;C41,'Festivos por día'!$B$5:$B$468,"&lt;="&amp;D41,'Festivos por día'!$H$5:$H$468,0)</f>
        <v>0</v>
      </c>
      <c r="H41" s="14">
        <f>SUMIFS('Festivos por día'!$I$5:$I$468,'Festivos por día'!$B$5:$B$468,"&gt;="&amp;C41,'Festivos por día'!$B$5:$B$468,"&lt;="&amp;D41)</f>
        <v>0</v>
      </c>
      <c r="I41" s="15">
        <f>COUNTIFS('Festivos por día'!$B$5:$B$468,"&gt;="&amp;C41,'Festivos por día'!$B$5:$B$468,"&lt;="&amp;MIN(D41,$L$2),'Festivos por día'!$H$5:$H$468,1)</f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3">
        <v>2010</v>
      </c>
      <c r="B42" s="3" t="s">
        <v>17</v>
      </c>
      <c r="C42" s="32">
        <v>40269</v>
      </c>
      <c r="D42" s="32">
        <v>40359</v>
      </c>
      <c r="E42" s="14">
        <f>COUNTIFS('Festivos por día'!$B$5:$B$468,"&gt;="&amp;C42,'Festivos por día'!$B$5:$B$468,"&lt;="&amp;D42,'Festivos por día'!$H$5:$H$468,1)</f>
        <v>6</v>
      </c>
      <c r="F42" s="14">
        <f>COUNTIFS('Festivos por día'!$B$5:$B$468,"&gt;="&amp;C42,'Festivos por día'!$B$5:$B$468,"&lt;="&amp;D42)</f>
        <v>6</v>
      </c>
      <c r="G42" s="14">
        <f>COUNTIFS('Festivos por día'!$B$5:$B$468,"&gt;="&amp;C42,'Festivos por día'!$B$5:$B$468,"&lt;="&amp;D42,'Festivos por día'!$H$5:$H$468,0)</f>
        <v>0</v>
      </c>
      <c r="H42" s="14">
        <f>SUMIFS('Festivos por día'!$I$5:$I$468,'Festivos por día'!$B$5:$B$468,"&gt;="&amp;C42,'Festivos por día'!$B$5:$B$468,"&lt;="&amp;D42)</f>
        <v>0</v>
      </c>
      <c r="I42" s="15">
        <f>COUNTIFS('Festivos por día'!$B$5:$B$468,"&gt;="&amp;C42,'Festivos por día'!$B$5:$B$468,"&lt;="&amp;MIN(D42,$L$2),'Festivos por día'!$H$5:$H$468,1)</f>
        <v>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3">
        <v>2010</v>
      </c>
      <c r="B43" s="3" t="s">
        <v>19</v>
      </c>
      <c r="C43" s="32">
        <v>40360</v>
      </c>
      <c r="D43" s="32">
        <v>40451</v>
      </c>
      <c r="E43" s="14">
        <f>COUNTIFS('Festivos por día'!$B$5:$B$468,"&gt;="&amp;C43,'Festivos por día'!$B$5:$B$468,"&lt;="&amp;D43,'Festivos por día'!$H$5:$H$468,1)</f>
        <v>4</v>
      </c>
      <c r="F43" s="14">
        <f>COUNTIFS('Festivos por día'!$B$5:$B$468,"&gt;="&amp;C43,'Festivos por día'!$B$5:$B$468,"&lt;="&amp;D43)</f>
        <v>4</v>
      </c>
      <c r="G43" s="14">
        <f>COUNTIFS('Festivos por día'!$B$5:$B$468,"&gt;="&amp;C43,'Festivos por día'!$B$5:$B$468,"&lt;="&amp;D43,'Festivos por día'!$H$5:$H$468,0)</f>
        <v>0</v>
      </c>
      <c r="H43" s="14">
        <f>SUMIFS('Festivos por día'!$I$5:$I$468,'Festivos por día'!$B$5:$B$468,"&gt;="&amp;C43,'Festivos por día'!$B$5:$B$468,"&lt;="&amp;D43)</f>
        <v>0</v>
      </c>
      <c r="I43" s="15">
        <f>COUNTIFS('Festivos por día'!$B$5:$B$468,"&gt;="&amp;C43,'Festivos por día'!$B$5:$B$468,"&lt;="&amp;MIN(D43,$L$2),'Festivos por día'!$H$5:$H$468,1)</f>
        <v>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3">
        <v>2010</v>
      </c>
      <c r="B44" s="3" t="s">
        <v>20</v>
      </c>
      <c r="C44" s="32">
        <v>40452</v>
      </c>
      <c r="D44" s="32">
        <v>40543</v>
      </c>
      <c r="E44" s="14">
        <f>COUNTIFS('Festivos por día'!$B$5:$B$468,"&gt;="&amp;C44,'Festivos por día'!$B$5:$B$468,"&lt;="&amp;D44,'Festivos por día'!$H$5:$H$468,1)</f>
        <v>5</v>
      </c>
      <c r="F44" s="14">
        <f>COUNTIFS('Festivos por día'!$B$5:$B$468,"&gt;="&amp;C44,'Festivos por día'!$B$5:$B$468,"&lt;="&amp;D44)</f>
        <v>5</v>
      </c>
      <c r="G44" s="14">
        <f>COUNTIFS('Festivos por día'!$B$5:$B$468,"&gt;="&amp;C44,'Festivos por día'!$B$5:$B$468,"&lt;="&amp;D44,'Festivos por día'!$H$5:$H$468,0)</f>
        <v>0</v>
      </c>
      <c r="H44" s="14">
        <f>SUMIFS('Festivos por día'!$I$5:$I$468,'Festivos por día'!$B$5:$B$468,"&gt;="&amp;C44,'Festivos por día'!$B$5:$B$468,"&lt;="&amp;D44)</f>
        <v>0</v>
      </c>
      <c r="I44" s="15">
        <f>COUNTIFS('Festivos por día'!$B$5:$B$468,"&gt;="&amp;C44,'Festivos por día'!$B$5:$B$468,"&lt;="&amp;MIN(D44,$L$2),'Festivos por día'!$H$5:$H$468,1)</f>
        <v>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3">
        <v>2011</v>
      </c>
      <c r="B45" s="3" t="s">
        <v>15</v>
      </c>
      <c r="C45" s="32">
        <v>40544</v>
      </c>
      <c r="D45" s="32">
        <v>40633</v>
      </c>
      <c r="E45" s="14">
        <f>COUNTIFS('Festivos por día'!$B$5:$B$468,"&gt;="&amp;C45,'Festivos por día'!$B$5:$B$468,"&lt;="&amp;D45,'Festivos por día'!$H$5:$H$468,1)</f>
        <v>3</v>
      </c>
      <c r="F45" s="14">
        <f>COUNTIFS('Festivos por día'!$B$5:$B$468,"&gt;="&amp;C45,'Festivos por día'!$B$5:$B$468,"&lt;="&amp;D45)</f>
        <v>3</v>
      </c>
      <c r="G45" s="14">
        <f>COUNTIFS('Festivos por día'!$B$5:$B$468,"&gt;="&amp;C45,'Festivos por día'!$B$5:$B$468,"&lt;="&amp;D45,'Festivos por día'!$H$5:$H$468,0)</f>
        <v>0</v>
      </c>
      <c r="H45" s="14">
        <f>SUMIFS('Festivos por día'!$I$5:$I$468,'Festivos por día'!$B$5:$B$468,"&gt;="&amp;C45,'Festivos por día'!$B$5:$B$468,"&lt;="&amp;D45)</f>
        <v>0</v>
      </c>
      <c r="I45" s="15">
        <f>COUNTIFS('Festivos por día'!$B$5:$B$468,"&gt;="&amp;C45,'Festivos por día'!$B$5:$B$468,"&lt;="&amp;MIN(D45,$L$2),'Festivos por día'!$H$5:$H$468,1)</f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3">
        <v>2011</v>
      </c>
      <c r="B46" s="3" t="s">
        <v>17</v>
      </c>
      <c r="C46" s="32">
        <v>40634</v>
      </c>
      <c r="D46" s="32">
        <v>40724</v>
      </c>
      <c r="E46" s="14">
        <f>COUNTIFS('Festivos por día'!$B$5:$B$468,"&gt;="&amp;C46,'Festivos por día'!$B$5:$B$468,"&lt;="&amp;D46,'Festivos por día'!$H$5:$H$468,1)</f>
        <v>4</v>
      </c>
      <c r="F46" s="14">
        <f>COUNTIFS('Festivos por día'!$B$5:$B$468,"&gt;="&amp;C46,'Festivos por día'!$B$5:$B$468,"&lt;="&amp;D46)</f>
        <v>5</v>
      </c>
      <c r="G46" s="14">
        <f>COUNTIFS('Festivos por día'!$B$5:$B$468,"&gt;="&amp;C46,'Festivos por día'!$B$5:$B$468,"&lt;="&amp;D46,'Festivos por día'!$H$5:$H$468,0)</f>
        <v>1</v>
      </c>
      <c r="H46" s="14">
        <f>SUMIFS('Festivos por día'!$I$5:$I$468,'Festivos por día'!$B$5:$B$468,"&gt;="&amp;C46,'Festivos por día'!$B$5:$B$468,"&lt;="&amp;D46)</f>
        <v>0</v>
      </c>
      <c r="I46" s="15">
        <f>COUNTIFS('Festivos por día'!$B$5:$B$468,"&gt;="&amp;C46,'Festivos por día'!$B$5:$B$468,"&lt;="&amp;MIN(D46,$L$2),'Festivos por día'!$H$5:$H$468,1)</f>
        <v>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3">
        <v>2011</v>
      </c>
      <c r="B47" s="3" t="s">
        <v>19</v>
      </c>
      <c r="C47" s="32">
        <v>40725</v>
      </c>
      <c r="D47" s="32">
        <v>40816</v>
      </c>
      <c r="E47" s="14">
        <f>COUNTIFS('Festivos por día'!$B$5:$B$468,"&gt;="&amp;C47,'Festivos por día'!$B$5:$B$468,"&lt;="&amp;D47,'Festivos por día'!$H$5:$H$468,1)</f>
        <v>3</v>
      </c>
      <c r="F47" s="14">
        <f>COUNTIFS('Festivos por día'!$B$5:$B$468,"&gt;="&amp;C47,'Festivos por día'!$B$5:$B$468,"&lt;="&amp;D47)</f>
        <v>4</v>
      </c>
      <c r="G47" s="14">
        <f>COUNTIFS('Festivos por día'!$B$5:$B$468,"&gt;="&amp;C47,'Festivos por día'!$B$5:$B$468,"&lt;="&amp;D47,'Festivos por día'!$H$5:$H$468,0)</f>
        <v>1</v>
      </c>
      <c r="H47" s="14">
        <f>SUMIFS('Festivos por día'!$I$5:$I$468,'Festivos por día'!$B$5:$B$468,"&gt;="&amp;C47,'Festivos por día'!$B$5:$B$468,"&lt;="&amp;D47)</f>
        <v>1</v>
      </c>
      <c r="I47" s="15">
        <f>COUNTIFS('Festivos por día'!$B$5:$B$468,"&gt;="&amp;C47,'Festivos por día'!$B$5:$B$468,"&lt;="&amp;MIN(D47,$L$2),'Festivos por día'!$H$5:$H$468,1)</f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3">
        <v>2011</v>
      </c>
      <c r="B48" s="3" t="s">
        <v>20</v>
      </c>
      <c r="C48" s="32">
        <v>40817</v>
      </c>
      <c r="D48" s="32">
        <v>40908</v>
      </c>
      <c r="E48" s="14">
        <f>COUNTIFS('Festivos por día'!$B$5:$B$468,"&gt;="&amp;C48,'Festivos por día'!$B$5:$B$468,"&lt;="&amp;D48,'Festivos por día'!$H$5:$H$468,1)</f>
        <v>4</v>
      </c>
      <c r="F48" s="14">
        <f>COUNTIFS('Festivos por día'!$B$5:$B$468,"&gt;="&amp;C48,'Festivos por día'!$B$5:$B$468,"&lt;="&amp;D48)</f>
        <v>5</v>
      </c>
      <c r="G48" s="14">
        <f>COUNTIFS('Festivos por día'!$B$5:$B$468,"&gt;="&amp;C48,'Festivos por día'!$B$5:$B$468,"&lt;="&amp;D48,'Festivos por día'!$H$5:$H$468,0)</f>
        <v>1</v>
      </c>
      <c r="H48" s="14">
        <f>SUMIFS('Festivos por día'!$I$5:$I$468,'Festivos por día'!$B$5:$B$468,"&gt;="&amp;C48,'Festivos por día'!$B$5:$B$468,"&lt;="&amp;D48)</f>
        <v>0</v>
      </c>
      <c r="I48" s="15">
        <f>COUNTIFS('Festivos por día'!$B$5:$B$468,"&gt;="&amp;C48,'Festivos por día'!$B$5:$B$468,"&lt;="&amp;MIN(D48,$L$2),'Festivos por día'!$H$5:$H$468,1)</f>
        <v>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3">
        <v>2012</v>
      </c>
      <c r="B49" s="3" t="s">
        <v>15</v>
      </c>
      <c r="C49" s="32">
        <v>40909</v>
      </c>
      <c r="D49" s="32">
        <v>40999</v>
      </c>
      <c r="E49" s="14">
        <f>COUNTIFS('Festivos por día'!$B$5:$B$468,"&gt;="&amp;C49,'Festivos por día'!$B$5:$B$468,"&lt;="&amp;D49,'Festivos por día'!$H$5:$H$468,1)</f>
        <v>2</v>
      </c>
      <c r="F49" s="14">
        <f>COUNTIFS('Festivos por día'!$B$5:$B$468,"&gt;="&amp;C49,'Festivos por día'!$B$5:$B$468,"&lt;="&amp;D49)</f>
        <v>3</v>
      </c>
      <c r="G49" s="14">
        <f>COUNTIFS('Festivos por día'!$B$5:$B$468,"&gt;="&amp;C49,'Festivos por día'!$B$5:$B$468,"&lt;="&amp;D49,'Festivos por día'!$H$5:$H$468,0)</f>
        <v>1</v>
      </c>
      <c r="H49" s="14">
        <f>SUMIFS('Festivos por día'!$I$5:$I$468,'Festivos por día'!$B$5:$B$468,"&gt;="&amp;C49,'Festivos por día'!$B$5:$B$468,"&lt;="&amp;D49)</f>
        <v>0</v>
      </c>
      <c r="I49" s="15">
        <f>COUNTIFS('Festivos por día'!$B$5:$B$468,"&gt;="&amp;C49,'Festivos por día'!$B$5:$B$468,"&lt;="&amp;MIN(D49,$L$2),'Festivos por día'!$H$5:$H$468,1)</f>
        <v>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3">
        <v>2012</v>
      </c>
      <c r="B50" s="3" t="s">
        <v>17</v>
      </c>
      <c r="C50" s="32">
        <v>41000</v>
      </c>
      <c r="D50" s="32">
        <v>41090</v>
      </c>
      <c r="E50" s="14">
        <f>COUNTIFS('Festivos por día'!$B$5:$B$468,"&gt;="&amp;C50,'Festivos por día'!$B$5:$B$468,"&lt;="&amp;D50,'Festivos por día'!$H$5:$H$468,1)</f>
        <v>6</v>
      </c>
      <c r="F50" s="14">
        <f>COUNTIFS('Festivos por día'!$B$5:$B$468,"&gt;="&amp;C50,'Festivos por día'!$B$5:$B$468,"&lt;="&amp;D50)</f>
        <v>6</v>
      </c>
      <c r="G50" s="14">
        <f>COUNTIFS('Festivos por día'!$B$5:$B$468,"&gt;="&amp;C50,'Festivos por día'!$B$5:$B$468,"&lt;="&amp;D50,'Festivos por día'!$H$5:$H$468,0)</f>
        <v>0</v>
      </c>
      <c r="H50" s="14">
        <f>SUMIFS('Festivos por día'!$I$5:$I$468,'Festivos por día'!$B$5:$B$468,"&gt;="&amp;C50,'Festivos por día'!$B$5:$B$468,"&lt;="&amp;D50)</f>
        <v>0</v>
      </c>
      <c r="I50" s="15">
        <f>COUNTIFS('Festivos por día'!$B$5:$B$468,"&gt;="&amp;C50,'Festivos por día'!$B$5:$B$468,"&lt;="&amp;MIN(D50,$L$2),'Festivos por día'!$H$5:$H$468,1)</f>
        <v>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3">
        <v>2012</v>
      </c>
      <c r="B51" s="3" t="s">
        <v>19</v>
      </c>
      <c r="C51" s="32">
        <v>41091</v>
      </c>
      <c r="D51" s="32">
        <v>41182</v>
      </c>
      <c r="E51" s="14">
        <f>COUNTIFS('Festivos por día'!$B$5:$B$468,"&gt;="&amp;C51,'Festivos por día'!$B$5:$B$468,"&lt;="&amp;D51,'Festivos por día'!$H$5:$H$468,1)</f>
        <v>4</v>
      </c>
      <c r="F51" s="14">
        <f>COUNTIFS('Festivos por día'!$B$5:$B$468,"&gt;="&amp;C51,'Festivos por día'!$B$5:$B$468,"&lt;="&amp;D51)</f>
        <v>4</v>
      </c>
      <c r="G51" s="14">
        <f>COUNTIFS('Festivos por día'!$B$5:$B$468,"&gt;="&amp;C51,'Festivos por día'!$B$5:$B$468,"&lt;="&amp;D51,'Festivos por día'!$H$5:$H$468,0)</f>
        <v>0</v>
      </c>
      <c r="H51" s="14">
        <f>SUMIFS('Festivos por día'!$I$5:$I$468,'Festivos por día'!$B$5:$B$468,"&gt;="&amp;C51,'Festivos por día'!$B$5:$B$468,"&lt;="&amp;D51)</f>
        <v>0</v>
      </c>
      <c r="I51" s="15">
        <f>COUNTIFS('Festivos por día'!$B$5:$B$468,"&gt;="&amp;C51,'Festivos por día'!$B$5:$B$468,"&lt;="&amp;MIN(D51,$L$2),'Festivos por día'!$H$5:$H$468,1)</f>
        <v>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3">
        <v>2012</v>
      </c>
      <c r="B52" s="3" t="s">
        <v>20</v>
      </c>
      <c r="C52" s="32">
        <v>41183</v>
      </c>
      <c r="D52" s="32">
        <v>41274</v>
      </c>
      <c r="E52" s="14">
        <f>COUNTIFS('Festivos por día'!$B$5:$B$468,"&gt;="&amp;C52,'Festivos por día'!$B$5:$B$468,"&lt;="&amp;D52,'Festivos por día'!$H$5:$H$468,1)</f>
        <v>5</v>
      </c>
      <c r="F52" s="14">
        <f>COUNTIFS('Festivos por día'!$B$5:$B$468,"&gt;="&amp;C52,'Festivos por día'!$B$5:$B$468,"&lt;="&amp;D52)</f>
        <v>5</v>
      </c>
      <c r="G52" s="14">
        <f>COUNTIFS('Festivos por día'!$B$5:$B$468,"&gt;="&amp;C52,'Festivos por día'!$B$5:$B$468,"&lt;="&amp;D52,'Festivos por día'!$H$5:$H$468,0)</f>
        <v>0</v>
      </c>
      <c r="H52" s="14">
        <f>SUMIFS('Festivos por día'!$I$5:$I$468,'Festivos por día'!$B$5:$B$468,"&gt;="&amp;C52,'Festivos por día'!$B$5:$B$468,"&lt;="&amp;D52)</f>
        <v>0</v>
      </c>
      <c r="I52" s="15">
        <f>COUNTIFS('Festivos por día'!$B$5:$B$468,"&gt;="&amp;C52,'Festivos por día'!$B$5:$B$468,"&lt;="&amp;MIN(D52,$L$2),'Festivos por día'!$H$5:$H$468,1)</f>
        <v>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3">
        <v>2013</v>
      </c>
      <c r="B53" s="3" t="s">
        <v>15</v>
      </c>
      <c r="C53" s="32">
        <v>41275</v>
      </c>
      <c r="D53" s="32">
        <v>41364</v>
      </c>
      <c r="E53" s="14">
        <f>COUNTIFS('Festivos por día'!$B$5:$B$468,"&gt;="&amp;C53,'Festivos por día'!$B$5:$B$468,"&lt;="&amp;D53,'Festivos por día'!$H$5:$H$468,1)</f>
        <v>5</v>
      </c>
      <c r="F53" s="14">
        <f>COUNTIFS('Festivos por día'!$B$5:$B$468,"&gt;="&amp;C53,'Festivos por día'!$B$5:$B$468,"&lt;="&amp;D53)</f>
        <v>5</v>
      </c>
      <c r="G53" s="14">
        <f>COUNTIFS('Festivos por día'!$B$5:$B$468,"&gt;="&amp;C53,'Festivos por día'!$B$5:$B$468,"&lt;="&amp;D53,'Festivos por día'!$H$5:$H$468,0)</f>
        <v>0</v>
      </c>
      <c r="H53" s="14">
        <f>SUMIFS('Festivos por día'!$I$5:$I$468,'Festivos por día'!$B$5:$B$468,"&gt;="&amp;C53,'Festivos por día'!$B$5:$B$468,"&lt;="&amp;D53)</f>
        <v>0</v>
      </c>
      <c r="I53" s="15">
        <f>COUNTIFS('Festivos por día'!$B$5:$B$468,"&gt;="&amp;C53,'Festivos por día'!$B$5:$B$468,"&lt;="&amp;MIN(D53,$L$2),'Festivos por día'!$H$5:$H$468,1)</f>
        <v>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3">
        <v>2013</v>
      </c>
      <c r="B54" s="3" t="s">
        <v>17</v>
      </c>
      <c r="C54" s="32">
        <v>41365</v>
      </c>
      <c r="D54" s="32">
        <v>41455</v>
      </c>
      <c r="E54" s="14">
        <f>COUNTIFS('Festivos por día'!$B$5:$B$468,"&gt;="&amp;C54,'Festivos por día'!$B$5:$B$468,"&lt;="&amp;D54,'Festivos por día'!$H$5:$H$468,1)</f>
        <v>4</v>
      </c>
      <c r="F54" s="14">
        <f>COUNTIFS('Festivos por día'!$B$5:$B$468,"&gt;="&amp;C54,'Festivos por día'!$B$5:$B$468,"&lt;="&amp;D54)</f>
        <v>4</v>
      </c>
      <c r="G54" s="14">
        <f>COUNTIFS('Festivos por día'!$B$5:$B$468,"&gt;="&amp;C54,'Festivos por día'!$B$5:$B$468,"&lt;="&amp;D54,'Festivos por día'!$H$5:$H$468,0)</f>
        <v>0</v>
      </c>
      <c r="H54" s="14">
        <f>SUMIFS('Festivos por día'!$I$5:$I$468,'Festivos por día'!$B$5:$B$468,"&gt;="&amp;C54,'Festivos por día'!$B$5:$B$468,"&lt;="&amp;D54)</f>
        <v>0</v>
      </c>
      <c r="I54" s="15">
        <f>COUNTIFS('Festivos por día'!$B$5:$B$468,"&gt;="&amp;C54,'Festivos por día'!$B$5:$B$468,"&lt;="&amp;MIN(D54,$L$2),'Festivos por día'!$H$5:$H$468,1)</f>
        <v>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3">
        <v>2013</v>
      </c>
      <c r="B55" s="3" t="s">
        <v>19</v>
      </c>
      <c r="C55" s="32">
        <v>41456</v>
      </c>
      <c r="D55" s="32">
        <v>41547</v>
      </c>
      <c r="E55" s="14">
        <f>COUNTIFS('Festivos por día'!$B$5:$B$468,"&gt;="&amp;C55,'Festivos por día'!$B$5:$B$468,"&lt;="&amp;D55,'Festivos por día'!$H$5:$H$468,1)</f>
        <v>4</v>
      </c>
      <c r="F55" s="14">
        <f>COUNTIFS('Festivos por día'!$B$5:$B$468,"&gt;="&amp;C55,'Festivos por día'!$B$5:$B$468,"&lt;="&amp;D55)</f>
        <v>4</v>
      </c>
      <c r="G55" s="14">
        <f>COUNTIFS('Festivos por día'!$B$5:$B$468,"&gt;="&amp;C55,'Festivos por día'!$B$5:$B$468,"&lt;="&amp;D55,'Festivos por día'!$H$5:$H$468,0)</f>
        <v>0</v>
      </c>
      <c r="H55" s="14">
        <f>SUMIFS('Festivos por día'!$I$5:$I$468,'Festivos por día'!$B$5:$B$468,"&gt;="&amp;C55,'Festivos por día'!$B$5:$B$468,"&lt;="&amp;D55)</f>
        <v>0</v>
      </c>
      <c r="I55" s="15">
        <f>COUNTIFS('Festivos por día'!$B$5:$B$468,"&gt;="&amp;C55,'Festivos por día'!$B$5:$B$468,"&lt;="&amp;MIN(D55,$L$2),'Festivos por día'!$H$5:$H$468,1)</f>
        <v>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3">
        <v>2013</v>
      </c>
      <c r="B56" s="3" t="s">
        <v>20</v>
      </c>
      <c r="C56" s="32">
        <v>41548</v>
      </c>
      <c r="D56" s="32">
        <v>41639</v>
      </c>
      <c r="E56" s="14">
        <f>COUNTIFS('Festivos por día'!$B$5:$B$468,"&gt;="&amp;C56,'Festivos por día'!$B$5:$B$468,"&lt;="&amp;D56,'Festivos por día'!$H$5:$H$468,1)</f>
        <v>4</v>
      </c>
      <c r="F56" s="14">
        <f>COUNTIFS('Festivos por día'!$B$5:$B$468,"&gt;="&amp;C56,'Festivos por día'!$B$5:$B$468,"&lt;="&amp;D56)</f>
        <v>5</v>
      </c>
      <c r="G56" s="14">
        <f>COUNTIFS('Festivos por día'!$B$5:$B$468,"&gt;="&amp;C56,'Festivos por día'!$B$5:$B$468,"&lt;="&amp;D56,'Festivos por día'!$H$5:$H$468,0)</f>
        <v>1</v>
      </c>
      <c r="H56" s="14">
        <f>SUMIFS('Festivos por día'!$I$5:$I$468,'Festivos por día'!$B$5:$B$468,"&gt;="&amp;C56,'Festivos por día'!$B$5:$B$468,"&lt;="&amp;D56)</f>
        <v>0</v>
      </c>
      <c r="I56" s="15">
        <f>COUNTIFS('Festivos por día'!$B$5:$B$468,"&gt;="&amp;C56,'Festivos por día'!$B$5:$B$468,"&lt;="&amp;MIN(D56,$L$2),'Festivos por día'!$H$5:$H$468,1)</f>
        <v>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3">
        <v>2014</v>
      </c>
      <c r="B57" s="3" t="s">
        <v>15</v>
      </c>
      <c r="C57" s="32">
        <v>41640</v>
      </c>
      <c r="D57" s="32">
        <v>41729</v>
      </c>
      <c r="E57" s="14">
        <f>COUNTIFS('Festivos por día'!$B$5:$B$468,"&gt;="&amp;C57,'Festivos por día'!$B$5:$B$468,"&lt;="&amp;D57,'Festivos por día'!$H$5:$H$468,1)</f>
        <v>3</v>
      </c>
      <c r="F57" s="14">
        <f>COUNTIFS('Festivos por día'!$B$5:$B$468,"&gt;="&amp;C57,'Festivos por día'!$B$5:$B$468,"&lt;="&amp;D57)</f>
        <v>3</v>
      </c>
      <c r="G57" s="14">
        <f>COUNTIFS('Festivos por día'!$B$5:$B$468,"&gt;="&amp;C57,'Festivos por día'!$B$5:$B$468,"&lt;="&amp;D57,'Festivos por día'!$H$5:$H$468,0)</f>
        <v>0</v>
      </c>
      <c r="H57" s="14">
        <f>SUMIFS('Festivos por día'!$I$5:$I$468,'Festivos por día'!$B$5:$B$468,"&gt;="&amp;C57,'Festivos por día'!$B$5:$B$468,"&lt;="&amp;D57)</f>
        <v>0</v>
      </c>
      <c r="I57" s="15">
        <f>COUNTIFS('Festivos por día'!$B$5:$B$468,"&gt;="&amp;C57,'Festivos por día'!$B$5:$B$468,"&lt;="&amp;MIN(D57,$L$2),'Festivos por día'!$H$5:$H$468,1)</f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3">
        <v>2014</v>
      </c>
      <c r="B58" s="3" t="s">
        <v>17</v>
      </c>
      <c r="C58" s="32">
        <v>41730</v>
      </c>
      <c r="D58" s="32">
        <v>41820</v>
      </c>
      <c r="E58" s="14">
        <f>COUNTIFS('Festivos por día'!$B$5:$B$468,"&gt;="&amp;C58,'Festivos por día'!$B$5:$B$468,"&lt;="&amp;D58,'Festivos por día'!$H$5:$H$468,1)</f>
        <v>6</v>
      </c>
      <c r="F58" s="14">
        <f>COUNTIFS('Festivos por día'!$B$5:$B$468,"&gt;="&amp;C58,'Festivos por día'!$B$5:$B$468,"&lt;="&amp;D58)</f>
        <v>6</v>
      </c>
      <c r="G58" s="14">
        <f>COUNTIFS('Festivos por día'!$B$5:$B$468,"&gt;="&amp;C58,'Festivos por día'!$B$5:$B$468,"&lt;="&amp;D58,'Festivos por día'!$H$5:$H$468,0)</f>
        <v>0</v>
      </c>
      <c r="H58" s="14">
        <f>SUMIFS('Festivos por día'!$I$5:$I$468,'Festivos por día'!$B$5:$B$468,"&gt;="&amp;C58,'Festivos por día'!$B$5:$B$468,"&lt;="&amp;D58)</f>
        <v>1</v>
      </c>
      <c r="I58" s="15">
        <f>COUNTIFS('Festivos por día'!$B$5:$B$468,"&gt;="&amp;C58,'Festivos por día'!$B$5:$B$468,"&lt;="&amp;MIN(D58,$L$2),'Festivos por día'!$H$5:$H$468,1)</f>
        <v>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3">
        <v>2014</v>
      </c>
      <c r="B59" s="3" t="s">
        <v>19</v>
      </c>
      <c r="C59" s="32">
        <v>41821</v>
      </c>
      <c r="D59" s="32">
        <v>41912</v>
      </c>
      <c r="E59" s="14">
        <f>COUNTIFS('Festivos por día'!$B$5:$B$468,"&gt;="&amp;C59,'Festivos por día'!$B$5:$B$468,"&lt;="&amp;D59,'Festivos por día'!$H$5:$H$468,1)</f>
        <v>2</v>
      </c>
      <c r="F59" s="14">
        <f>COUNTIFS('Festivos por día'!$B$5:$B$468,"&gt;="&amp;C59,'Festivos por día'!$B$5:$B$468,"&lt;="&amp;D59)</f>
        <v>3</v>
      </c>
      <c r="G59" s="14">
        <f>COUNTIFS('Festivos por día'!$B$5:$B$468,"&gt;="&amp;C59,'Festivos por día'!$B$5:$B$468,"&lt;="&amp;D59,'Festivos por día'!$H$5:$H$468,0)</f>
        <v>1</v>
      </c>
      <c r="H59" s="14">
        <f>SUMIFS('Festivos por día'!$I$5:$I$468,'Festivos por día'!$B$5:$B$468,"&gt;="&amp;C59,'Festivos por día'!$B$5:$B$468,"&lt;="&amp;D59)</f>
        <v>0</v>
      </c>
      <c r="I59" s="15">
        <f>COUNTIFS('Festivos por día'!$B$5:$B$468,"&gt;="&amp;C59,'Festivos por día'!$B$5:$B$468,"&lt;="&amp;MIN(D59,$L$2),'Festivos por día'!$H$5:$H$468,1)</f>
        <v>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3">
        <v>2014</v>
      </c>
      <c r="B60" s="3" t="s">
        <v>20</v>
      </c>
      <c r="C60" s="32">
        <v>41913</v>
      </c>
      <c r="D60" s="32">
        <v>42004</v>
      </c>
      <c r="E60" s="14">
        <f>COUNTIFS('Festivos por día'!$B$5:$B$468,"&gt;="&amp;C60,'Festivos por día'!$B$5:$B$468,"&lt;="&amp;D60,'Festivos por día'!$H$5:$H$468,1)</f>
        <v>5</v>
      </c>
      <c r="F60" s="14">
        <f>COUNTIFS('Festivos por día'!$B$5:$B$468,"&gt;="&amp;C60,'Festivos por día'!$B$5:$B$468,"&lt;="&amp;D60)</f>
        <v>5</v>
      </c>
      <c r="G60" s="14">
        <f>COUNTIFS('Festivos por día'!$B$5:$B$468,"&gt;="&amp;C60,'Festivos por día'!$B$5:$B$468,"&lt;="&amp;D60,'Festivos por día'!$H$5:$H$468,0)</f>
        <v>0</v>
      </c>
      <c r="H60" s="14">
        <f>SUMIFS('Festivos por día'!$I$5:$I$468,'Festivos por día'!$B$5:$B$468,"&gt;="&amp;C60,'Festivos por día'!$B$5:$B$468,"&lt;="&amp;D60)</f>
        <v>0</v>
      </c>
      <c r="I60" s="15">
        <f>COUNTIFS('Festivos por día'!$B$5:$B$468,"&gt;="&amp;C60,'Festivos por día'!$B$5:$B$468,"&lt;="&amp;MIN(D60,$L$2),'Festivos por día'!$H$5:$H$468,1)</f>
        <v>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3">
        <v>2015</v>
      </c>
      <c r="B61" s="3" t="s">
        <v>15</v>
      </c>
      <c r="C61" s="32">
        <v>42005</v>
      </c>
      <c r="D61" s="32">
        <v>42094</v>
      </c>
      <c r="E61" s="14">
        <f>COUNTIFS('Festivos por día'!$B$5:$B$468,"&gt;="&amp;C61,'Festivos por día'!$B$5:$B$468,"&lt;="&amp;D61,'Festivos por día'!$H$5:$H$468,1)</f>
        <v>3</v>
      </c>
      <c r="F61" s="14">
        <f>COUNTIFS('Festivos por día'!$B$5:$B$468,"&gt;="&amp;C61,'Festivos por día'!$B$5:$B$468,"&lt;="&amp;D61)</f>
        <v>3</v>
      </c>
      <c r="G61" s="14">
        <f>COUNTIFS('Festivos por día'!$B$5:$B$468,"&gt;="&amp;C61,'Festivos por día'!$B$5:$B$468,"&lt;="&amp;D61,'Festivos por día'!$H$5:$H$468,0)</f>
        <v>0</v>
      </c>
      <c r="H61" s="14">
        <f>SUMIFS('Festivos por día'!$I$5:$I$468,'Festivos por día'!$B$5:$B$468,"&gt;="&amp;C61,'Festivos por día'!$B$5:$B$468,"&lt;="&amp;D61)</f>
        <v>0</v>
      </c>
      <c r="I61" s="15">
        <f>COUNTIFS('Festivos por día'!$B$5:$B$468,"&gt;="&amp;C61,'Festivos por día'!$B$5:$B$468,"&lt;="&amp;MIN(D61,$L$2),'Festivos por día'!$H$5:$H$468,1)</f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3">
        <v>2015</v>
      </c>
      <c r="B62" s="3" t="s">
        <v>17</v>
      </c>
      <c r="C62" s="32">
        <v>42095</v>
      </c>
      <c r="D62" s="32">
        <v>42185</v>
      </c>
      <c r="E62" s="14">
        <f>COUNTIFS('Festivos por día'!$B$5:$B$468,"&gt;="&amp;C62,'Festivos por día'!$B$5:$B$468,"&lt;="&amp;D62,'Festivos por día'!$H$5:$H$468,1)</f>
        <v>7</v>
      </c>
      <c r="F62" s="14">
        <f>COUNTIFS('Festivos por día'!$B$5:$B$468,"&gt;="&amp;C62,'Festivos por día'!$B$5:$B$468,"&lt;="&amp;D62)</f>
        <v>7</v>
      </c>
      <c r="G62" s="14">
        <f>COUNTIFS('Festivos por día'!$B$5:$B$468,"&gt;="&amp;C62,'Festivos por día'!$B$5:$B$468,"&lt;="&amp;D62,'Festivos por día'!$H$5:$H$468,0)</f>
        <v>0</v>
      </c>
      <c r="H62" s="14">
        <f>SUMIFS('Festivos por día'!$I$5:$I$468,'Festivos por día'!$B$5:$B$468,"&gt;="&amp;C62,'Festivos por día'!$B$5:$B$468,"&lt;="&amp;D62)</f>
        <v>0</v>
      </c>
      <c r="I62" s="15">
        <f>COUNTIFS('Festivos por día'!$B$5:$B$468,"&gt;="&amp;C62,'Festivos por día'!$B$5:$B$468,"&lt;="&amp;MIN(D62,$L$2),'Festivos por día'!$H$5:$H$468,1)</f>
        <v>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3">
        <v>2015</v>
      </c>
      <c r="B63" s="3" t="s">
        <v>19</v>
      </c>
      <c r="C63" s="32">
        <v>42186</v>
      </c>
      <c r="D63" s="32">
        <v>42277</v>
      </c>
      <c r="E63" s="14">
        <f>COUNTIFS('Festivos por día'!$B$5:$B$468,"&gt;="&amp;C63,'Festivos por día'!$B$5:$B$468,"&lt;="&amp;D63,'Festivos por día'!$H$5:$H$468,1)</f>
        <v>3</v>
      </c>
      <c r="F63" s="14">
        <f>COUNTIFS('Festivos por día'!$B$5:$B$468,"&gt;="&amp;C63,'Festivos por día'!$B$5:$B$468,"&lt;="&amp;D63)</f>
        <v>3</v>
      </c>
      <c r="G63" s="14">
        <f>COUNTIFS('Festivos por día'!$B$5:$B$468,"&gt;="&amp;C63,'Festivos por día'!$B$5:$B$468,"&lt;="&amp;D63,'Festivos por día'!$H$5:$H$468,0)</f>
        <v>0</v>
      </c>
      <c r="H63" s="14">
        <f>SUMIFS('Festivos por día'!$I$5:$I$468,'Festivos por día'!$B$5:$B$468,"&gt;="&amp;C63,'Festivos por día'!$B$5:$B$468,"&lt;="&amp;D63)</f>
        <v>0</v>
      </c>
      <c r="I63" s="15">
        <f>COUNTIFS('Festivos por día'!$B$5:$B$468,"&gt;="&amp;C63,'Festivos por día'!$B$5:$B$468,"&lt;="&amp;MIN(D63,$L$2),'Festivos por día'!$H$5:$H$468,1)</f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3">
        <v>2015</v>
      </c>
      <c r="B64" s="3" t="s">
        <v>20</v>
      </c>
      <c r="C64" s="32">
        <v>42278</v>
      </c>
      <c r="D64" s="32">
        <v>42369</v>
      </c>
      <c r="E64" s="14">
        <f>COUNTIFS('Festivos por día'!$B$5:$B$468,"&gt;="&amp;C64,'Festivos por día'!$B$5:$B$468,"&lt;="&amp;D64,'Festivos por día'!$H$5:$H$468,1)</f>
        <v>5</v>
      </c>
      <c r="F64" s="14">
        <f>COUNTIFS('Festivos por día'!$B$5:$B$468,"&gt;="&amp;C64,'Festivos por día'!$B$5:$B$468,"&lt;="&amp;D64)</f>
        <v>5</v>
      </c>
      <c r="G64" s="14">
        <f>COUNTIFS('Festivos por día'!$B$5:$B$468,"&gt;="&amp;C64,'Festivos por día'!$B$5:$B$468,"&lt;="&amp;D64,'Festivos por día'!$H$5:$H$468,0)</f>
        <v>0</v>
      </c>
      <c r="H64" s="14">
        <f>SUMIFS('Festivos por día'!$I$5:$I$468,'Festivos por día'!$B$5:$B$468,"&gt;="&amp;C64,'Festivos por día'!$B$5:$B$468,"&lt;="&amp;D64)</f>
        <v>0</v>
      </c>
      <c r="I64" s="15">
        <f>COUNTIFS('Festivos por día'!$B$5:$B$468,"&gt;="&amp;C64,'Festivos por día'!$B$5:$B$468,"&lt;="&amp;MIN(D64,$L$2),'Festivos por día'!$H$5:$H$468,1)</f>
        <v>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3">
        <v>2016</v>
      </c>
      <c r="B65" s="3" t="s">
        <v>15</v>
      </c>
      <c r="C65" s="32">
        <v>42370</v>
      </c>
      <c r="D65" s="32">
        <v>42460</v>
      </c>
      <c r="E65" s="14">
        <f>COUNTIFS('Festivos por día'!$B$5:$B$468,"&gt;="&amp;C65,'Festivos por día'!$B$5:$B$468,"&lt;="&amp;D65,'Festivos por día'!$H$5:$H$468,1)</f>
        <v>5</v>
      </c>
      <c r="F65" s="14">
        <f>COUNTIFS('Festivos por día'!$B$5:$B$468,"&gt;="&amp;C65,'Festivos por día'!$B$5:$B$468,"&lt;="&amp;D65)</f>
        <v>5</v>
      </c>
      <c r="G65" s="14">
        <f>COUNTIFS('Festivos por día'!$B$5:$B$468,"&gt;="&amp;C65,'Festivos por día'!$B$5:$B$468,"&lt;="&amp;D65,'Festivos por día'!$H$5:$H$468,0)</f>
        <v>0</v>
      </c>
      <c r="H65" s="14">
        <f>SUMIFS('Festivos por día'!$I$5:$I$468,'Festivos por día'!$B$5:$B$468,"&gt;="&amp;C65,'Festivos por día'!$B$5:$B$468,"&lt;="&amp;D65)</f>
        <v>0</v>
      </c>
      <c r="I65" s="15">
        <f>COUNTIFS('Festivos por día'!$B$5:$B$468,"&gt;="&amp;C65,'Festivos por día'!$B$5:$B$468,"&lt;="&amp;MIN(D65,$L$2),'Festivos por día'!$H$5:$H$468,1)</f>
        <v>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3">
        <v>2016</v>
      </c>
      <c r="B66" s="3" t="s">
        <v>17</v>
      </c>
      <c r="C66" s="32">
        <v>42461</v>
      </c>
      <c r="D66" s="32">
        <v>42551</v>
      </c>
      <c r="E66" s="14">
        <f>COUNTIFS('Festivos por día'!$B$5:$B$468,"&gt;="&amp;C66,'Festivos por día'!$B$5:$B$468,"&lt;="&amp;D66,'Festivos por día'!$H$5:$H$468,1)</f>
        <v>3</v>
      </c>
      <c r="F66" s="14">
        <f>COUNTIFS('Festivos por día'!$B$5:$B$468,"&gt;="&amp;C66,'Festivos por día'!$B$5:$B$468,"&lt;="&amp;D66)</f>
        <v>4</v>
      </c>
      <c r="G66" s="14">
        <f>COUNTIFS('Festivos por día'!$B$5:$B$468,"&gt;="&amp;C66,'Festivos por día'!$B$5:$B$468,"&lt;="&amp;D66,'Festivos por día'!$H$5:$H$468,0)</f>
        <v>1</v>
      </c>
      <c r="H66" s="14">
        <f>SUMIFS('Festivos por día'!$I$5:$I$468,'Festivos por día'!$B$5:$B$468,"&gt;="&amp;C66,'Festivos por día'!$B$5:$B$468,"&lt;="&amp;D66)</f>
        <v>0</v>
      </c>
      <c r="I66" s="15">
        <f>COUNTIFS('Festivos por día'!$B$5:$B$468,"&gt;="&amp;C66,'Festivos por día'!$B$5:$B$468,"&lt;="&amp;MIN(D66,$L$2),'Festivos por día'!$H$5:$H$468,1)</f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3">
        <v>2016</v>
      </c>
      <c r="B67" s="3" t="s">
        <v>19</v>
      </c>
      <c r="C67" s="32">
        <v>42552</v>
      </c>
      <c r="D67" s="32">
        <v>42643</v>
      </c>
      <c r="E67" s="14">
        <f>COUNTIFS('Festivos por día'!$B$5:$B$468,"&gt;="&amp;C67,'Festivos por día'!$B$5:$B$468,"&lt;="&amp;D67,'Festivos por día'!$H$5:$H$468,1)</f>
        <v>3</v>
      </c>
      <c r="F67" s="14">
        <f>COUNTIFS('Festivos por día'!$B$5:$B$468,"&gt;="&amp;C67,'Festivos por día'!$B$5:$B$468,"&lt;="&amp;D67)</f>
        <v>4</v>
      </c>
      <c r="G67" s="14">
        <f>COUNTIFS('Festivos por día'!$B$5:$B$468,"&gt;="&amp;C67,'Festivos por día'!$B$5:$B$468,"&lt;="&amp;D67,'Festivos por día'!$H$5:$H$468,0)</f>
        <v>1</v>
      </c>
      <c r="H67" s="14">
        <f>SUMIFS('Festivos por día'!$I$5:$I$468,'Festivos por día'!$B$5:$B$468,"&gt;="&amp;C67,'Festivos por día'!$B$5:$B$468,"&lt;="&amp;D67)</f>
        <v>0</v>
      </c>
      <c r="I67" s="15">
        <f>COUNTIFS('Festivos por día'!$B$5:$B$468,"&gt;="&amp;C67,'Festivos por día'!$B$5:$B$468,"&lt;="&amp;MIN(D67,$L$2),'Festivos por día'!$H$5:$H$468,1)</f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3">
        <v>2016</v>
      </c>
      <c r="B68" s="3" t="s">
        <v>20</v>
      </c>
      <c r="C68" s="32">
        <v>42644</v>
      </c>
      <c r="D68" s="32">
        <v>42735</v>
      </c>
      <c r="E68" s="14">
        <f>COUNTIFS('Festivos por día'!$B$5:$B$468,"&gt;="&amp;C68,'Festivos por día'!$B$5:$B$468,"&lt;="&amp;D68,'Festivos por día'!$H$5:$H$468,1)</f>
        <v>4</v>
      </c>
      <c r="F68" s="14">
        <f>COUNTIFS('Festivos por día'!$B$5:$B$468,"&gt;="&amp;C68,'Festivos por día'!$B$5:$B$468,"&lt;="&amp;D68)</f>
        <v>5</v>
      </c>
      <c r="G68" s="14">
        <f>COUNTIFS('Festivos por día'!$B$5:$B$468,"&gt;="&amp;C68,'Festivos por día'!$B$5:$B$468,"&lt;="&amp;D68,'Festivos por día'!$H$5:$H$468,0)</f>
        <v>1</v>
      </c>
      <c r="H68" s="14">
        <f>SUMIFS('Festivos por día'!$I$5:$I$468,'Festivos por día'!$B$5:$B$468,"&gt;="&amp;C68,'Festivos por día'!$B$5:$B$468,"&lt;="&amp;D68)</f>
        <v>0</v>
      </c>
      <c r="I68" s="15">
        <f>COUNTIFS('Festivos por día'!$B$5:$B$468,"&gt;="&amp;C68,'Festivos por día'!$B$5:$B$468,"&lt;="&amp;MIN(D68,$L$2),'Festivos por día'!$H$5:$H$468,1)</f>
        <v>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3">
        <v>2017</v>
      </c>
      <c r="B69" s="3" t="s">
        <v>15</v>
      </c>
      <c r="C69" s="32">
        <v>42736</v>
      </c>
      <c r="D69" s="32">
        <v>42825</v>
      </c>
      <c r="E69" s="14">
        <f>COUNTIFS('Festivos por día'!$B$5:$B$468,"&gt;="&amp;C69,'Festivos por día'!$B$5:$B$468,"&lt;="&amp;D69,'Festivos por día'!$H$5:$H$468,1)</f>
        <v>2</v>
      </c>
      <c r="F69" s="14">
        <f>COUNTIFS('Festivos por día'!$B$5:$B$468,"&gt;="&amp;C69,'Festivos por día'!$B$5:$B$468,"&lt;="&amp;D69)</f>
        <v>3</v>
      </c>
      <c r="G69" s="14">
        <f>COUNTIFS('Festivos por día'!$B$5:$B$468,"&gt;="&amp;C69,'Festivos por día'!$B$5:$B$468,"&lt;="&amp;D69,'Festivos por día'!$H$5:$H$468,0)</f>
        <v>1</v>
      </c>
      <c r="H69" s="14">
        <f>SUMIFS('Festivos por día'!$I$5:$I$468,'Festivos por día'!$B$5:$B$468,"&gt;="&amp;C69,'Festivos por día'!$B$5:$B$468,"&lt;="&amp;D69)</f>
        <v>0</v>
      </c>
      <c r="I69" s="15">
        <f>COUNTIFS('Festivos por día'!$B$5:$B$468,"&gt;="&amp;C69,'Festivos por día'!$B$5:$B$468,"&lt;="&amp;MIN(D69,$L$2),'Festivos por día'!$H$5:$H$468,1)</f>
        <v>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3">
        <v>2017</v>
      </c>
      <c r="B70" s="3" t="s">
        <v>17</v>
      </c>
      <c r="C70" s="32">
        <v>42826</v>
      </c>
      <c r="D70" s="32">
        <v>42916</v>
      </c>
      <c r="E70" s="14">
        <f>COUNTIFS('Festivos por día'!$B$5:$B$468,"&gt;="&amp;C70,'Festivos por día'!$B$5:$B$468,"&lt;="&amp;D70,'Festivos por día'!$H$5:$H$468,1)</f>
        <v>6</v>
      </c>
      <c r="F70" s="14">
        <f>COUNTIFS('Festivos por día'!$B$5:$B$468,"&gt;="&amp;C70,'Festivos por día'!$B$5:$B$468,"&lt;="&amp;D70)</f>
        <v>6</v>
      </c>
      <c r="G70" s="14">
        <f>COUNTIFS('Festivos por día'!$B$5:$B$468,"&gt;="&amp;C70,'Festivos por día'!$B$5:$B$468,"&lt;="&amp;D70,'Festivos por día'!$H$5:$H$468,0)</f>
        <v>0</v>
      </c>
      <c r="H70" s="14">
        <f>SUMIFS('Festivos por día'!$I$5:$I$468,'Festivos por día'!$B$5:$B$468,"&gt;="&amp;C70,'Festivos por día'!$B$5:$B$468,"&lt;="&amp;D70)</f>
        <v>0</v>
      </c>
      <c r="I70" s="15">
        <f>COUNTIFS('Festivos por día'!$B$5:$B$468,"&gt;="&amp;C70,'Festivos por día'!$B$5:$B$468,"&lt;="&amp;MIN(D70,$L$2),'Festivos por día'!$H$5:$H$468,1)</f>
        <v>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3">
        <v>2017</v>
      </c>
      <c r="B71" s="3" t="s">
        <v>19</v>
      </c>
      <c r="C71" s="32">
        <v>42917</v>
      </c>
      <c r="D71" s="32">
        <v>43008</v>
      </c>
      <c r="E71" s="14">
        <f>COUNTIFS('Festivos por día'!$B$5:$B$468,"&gt;="&amp;C71,'Festivos por día'!$B$5:$B$468,"&lt;="&amp;D71,'Festivos por día'!$H$5:$H$468,1)</f>
        <v>4</v>
      </c>
      <c r="F71" s="14">
        <f>COUNTIFS('Festivos por día'!$B$5:$B$468,"&gt;="&amp;C71,'Festivos por día'!$B$5:$B$468,"&lt;="&amp;D71)</f>
        <v>4</v>
      </c>
      <c r="G71" s="14">
        <f>COUNTIFS('Festivos por día'!$B$5:$B$468,"&gt;="&amp;C71,'Festivos por día'!$B$5:$B$468,"&lt;="&amp;D71,'Festivos por día'!$H$5:$H$468,0)</f>
        <v>0</v>
      </c>
      <c r="H71" s="14">
        <f>SUMIFS('Festivos por día'!$I$5:$I$468,'Festivos por día'!$B$5:$B$468,"&gt;="&amp;C71,'Festivos por día'!$B$5:$B$468,"&lt;="&amp;D71)</f>
        <v>0</v>
      </c>
      <c r="I71" s="15">
        <f>COUNTIFS('Festivos por día'!$B$5:$B$468,"&gt;="&amp;C71,'Festivos por día'!$B$5:$B$468,"&lt;="&amp;MIN(D71,$L$2),'Festivos por día'!$H$5:$H$468,1)</f>
        <v>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3">
        <v>2017</v>
      </c>
      <c r="B72" s="3" t="s">
        <v>20</v>
      </c>
      <c r="C72" s="32">
        <v>43009</v>
      </c>
      <c r="D72" s="32">
        <v>43100</v>
      </c>
      <c r="E72" s="14">
        <f>COUNTIFS('Festivos por día'!$B$5:$B$468,"&gt;="&amp;C72,'Festivos por día'!$B$5:$B$468,"&lt;="&amp;D72,'Festivos por día'!$H$5:$H$468,1)</f>
        <v>5</v>
      </c>
      <c r="F72" s="14">
        <f>COUNTIFS('Festivos por día'!$B$5:$B$468,"&gt;="&amp;C72,'Festivos por día'!$B$5:$B$468,"&lt;="&amp;D72)</f>
        <v>5</v>
      </c>
      <c r="G72" s="14">
        <f>COUNTIFS('Festivos por día'!$B$5:$B$468,"&gt;="&amp;C72,'Festivos por día'!$B$5:$B$468,"&lt;="&amp;D72,'Festivos por día'!$H$5:$H$468,0)</f>
        <v>0</v>
      </c>
      <c r="H72" s="14">
        <f>SUMIFS('Festivos por día'!$I$5:$I$468,'Festivos por día'!$B$5:$B$468,"&gt;="&amp;C72,'Festivos por día'!$B$5:$B$468,"&lt;="&amp;D72)</f>
        <v>0</v>
      </c>
      <c r="I72" s="15">
        <f>COUNTIFS('Festivos por día'!$B$5:$B$468,"&gt;="&amp;C72,'Festivos por día'!$B$5:$B$468,"&lt;="&amp;MIN(D72,$L$2),'Festivos por día'!$H$5:$H$468,1)</f>
        <v>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3">
        <v>2018</v>
      </c>
      <c r="B73" s="3" t="s">
        <v>15</v>
      </c>
      <c r="C73" s="32">
        <v>43101</v>
      </c>
      <c r="D73" s="32">
        <v>43190</v>
      </c>
      <c r="E73" s="14">
        <f>COUNTIFS('Festivos por día'!$B$5:$B$468,"&gt;="&amp;C73,'Festivos por día'!$B$5:$B$468,"&lt;="&amp;D73,'Festivos por día'!$H$5:$H$468,1)</f>
        <v>5</v>
      </c>
      <c r="F73" s="14">
        <f>COUNTIFS('Festivos por día'!$B$5:$B$468,"&gt;="&amp;C73,'Festivos por día'!$B$5:$B$468,"&lt;="&amp;D73)</f>
        <v>5</v>
      </c>
      <c r="G73" s="14">
        <f>COUNTIFS('Festivos por día'!$B$5:$B$468,"&gt;="&amp;C73,'Festivos por día'!$B$5:$B$468,"&lt;="&amp;D73,'Festivos por día'!$H$5:$H$468,0)</f>
        <v>0</v>
      </c>
      <c r="H73" s="14">
        <f>SUMIFS('Festivos por día'!$I$5:$I$468,'Festivos por día'!$B$5:$B$468,"&gt;="&amp;C73,'Festivos por día'!$B$5:$B$468,"&lt;="&amp;D73)</f>
        <v>0</v>
      </c>
      <c r="I73" s="15">
        <f>COUNTIFS('Festivos por día'!$B$5:$B$468,"&gt;="&amp;C73,'Festivos por día'!$B$5:$B$468,"&lt;="&amp;MIN(D73,$L$2),'Festivos por día'!$H$5:$H$468,1)</f>
        <v>5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3">
        <v>2018</v>
      </c>
      <c r="B74" s="3" t="s">
        <v>17</v>
      </c>
      <c r="C74" s="32">
        <v>43191</v>
      </c>
      <c r="D74" s="32">
        <v>43281</v>
      </c>
      <c r="E74" s="14">
        <f>COUNTIFS('Festivos por día'!$B$5:$B$468,"&gt;="&amp;C74,'Festivos por día'!$B$5:$B$468,"&lt;="&amp;D74,'Festivos por día'!$H$5:$H$468,1)</f>
        <v>4</v>
      </c>
      <c r="F74" s="14">
        <f>COUNTIFS('Festivos por día'!$B$5:$B$468,"&gt;="&amp;C74,'Festivos por día'!$B$5:$B$468,"&lt;="&amp;D74)</f>
        <v>4</v>
      </c>
      <c r="G74" s="14">
        <f>COUNTIFS('Festivos por día'!$B$5:$B$468,"&gt;="&amp;C74,'Festivos por día'!$B$5:$B$468,"&lt;="&amp;D74,'Festivos por día'!$H$5:$H$468,0)</f>
        <v>0</v>
      </c>
      <c r="H74" s="14">
        <f>SUMIFS('Festivos por día'!$I$5:$I$468,'Festivos por día'!$B$5:$B$468,"&gt;="&amp;C74,'Festivos por día'!$B$5:$B$468,"&lt;="&amp;D74)</f>
        <v>0</v>
      </c>
      <c r="I74" s="15">
        <f>COUNTIFS('Festivos por día'!$B$5:$B$468,"&gt;="&amp;C74,'Festivos por día'!$B$5:$B$468,"&lt;="&amp;MIN(D74,$L$2),'Festivos por día'!$H$5:$H$468,1)</f>
        <v>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3">
        <v>2018</v>
      </c>
      <c r="B75" s="3" t="s">
        <v>19</v>
      </c>
      <c r="C75" s="32">
        <v>43282</v>
      </c>
      <c r="D75" s="32">
        <v>43373</v>
      </c>
      <c r="E75" s="14">
        <f>COUNTIFS('Festivos por día'!$B$5:$B$468,"&gt;="&amp;C75,'Festivos por día'!$B$5:$B$468,"&lt;="&amp;D75,'Festivos por día'!$H$5:$H$468,1)</f>
        <v>4</v>
      </c>
      <c r="F75" s="14">
        <f>COUNTIFS('Festivos por día'!$B$5:$B$468,"&gt;="&amp;C75,'Festivos por día'!$B$5:$B$468,"&lt;="&amp;D75)</f>
        <v>4</v>
      </c>
      <c r="G75" s="14">
        <f>COUNTIFS('Festivos por día'!$B$5:$B$468,"&gt;="&amp;C75,'Festivos por día'!$B$5:$B$468,"&lt;="&amp;D75,'Festivos por día'!$H$5:$H$468,0)</f>
        <v>0</v>
      </c>
      <c r="H75" s="14">
        <f>SUMIFS('Festivos por día'!$I$5:$I$468,'Festivos por día'!$B$5:$B$468,"&gt;="&amp;C75,'Festivos por día'!$B$5:$B$468,"&lt;="&amp;D75)</f>
        <v>0</v>
      </c>
      <c r="I75" s="15">
        <f>COUNTIFS('Festivos por día'!$B$5:$B$468,"&gt;="&amp;C75,'Festivos por día'!$B$5:$B$468,"&lt;="&amp;MIN(D75,$L$2),'Festivos por día'!$H$5:$H$468,1)</f>
        <v>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3">
        <v>2018</v>
      </c>
      <c r="B76" s="3" t="s">
        <v>20</v>
      </c>
      <c r="C76" s="32">
        <v>43374</v>
      </c>
      <c r="D76" s="32">
        <v>43465</v>
      </c>
      <c r="E76" s="14">
        <f>COUNTIFS('Festivos por día'!$B$5:$B$468,"&gt;="&amp;C76,'Festivos por día'!$B$5:$B$468,"&lt;="&amp;D76,'Festivos por día'!$H$5:$H$468,1)</f>
        <v>5</v>
      </c>
      <c r="F76" s="14">
        <f>COUNTIFS('Festivos por día'!$B$5:$B$468,"&gt;="&amp;C76,'Festivos por día'!$B$5:$B$468,"&lt;="&amp;D76)</f>
        <v>5</v>
      </c>
      <c r="G76" s="14">
        <f>COUNTIFS('Festivos por día'!$B$5:$B$468,"&gt;="&amp;C76,'Festivos por día'!$B$5:$B$468,"&lt;="&amp;D76,'Festivos por día'!$H$5:$H$468,0)</f>
        <v>0</v>
      </c>
      <c r="H76" s="14">
        <f>SUMIFS('Festivos por día'!$I$5:$I$468,'Festivos por día'!$B$5:$B$468,"&gt;="&amp;C76,'Festivos por día'!$B$5:$B$468,"&lt;="&amp;D76)</f>
        <v>0</v>
      </c>
      <c r="I76" s="15">
        <f>COUNTIFS('Festivos por día'!$B$5:$B$468,"&gt;="&amp;C76,'Festivos por día'!$B$5:$B$468,"&lt;="&amp;MIN(D76,$L$2),'Festivos por día'!$H$5:$H$468,1)</f>
        <v>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3">
        <v>2019</v>
      </c>
      <c r="B77" s="3" t="s">
        <v>15</v>
      </c>
      <c r="C77" s="32">
        <v>43466</v>
      </c>
      <c r="D77" s="32">
        <v>43555</v>
      </c>
      <c r="E77" s="14">
        <f>COUNTIFS('Festivos por día'!$B$5:$B$468,"&gt;="&amp;C77,'Festivos por día'!$B$5:$B$468,"&lt;="&amp;D77,'Festivos por día'!$H$5:$H$468,1)</f>
        <v>3</v>
      </c>
      <c r="F77" s="14">
        <f>COUNTIFS('Festivos por día'!$B$5:$B$468,"&gt;="&amp;C77,'Festivos por día'!$B$5:$B$468,"&lt;="&amp;D77)</f>
        <v>3</v>
      </c>
      <c r="G77" s="14">
        <f>COUNTIFS('Festivos por día'!$B$5:$B$468,"&gt;="&amp;C77,'Festivos por día'!$B$5:$B$468,"&lt;="&amp;D77,'Festivos por día'!$H$5:$H$468,0)</f>
        <v>0</v>
      </c>
      <c r="H77" s="14">
        <f>SUMIFS('Festivos por día'!$I$5:$I$468,'Festivos por día'!$B$5:$B$468,"&gt;="&amp;C77,'Festivos por día'!$B$5:$B$468,"&lt;="&amp;D77)</f>
        <v>0</v>
      </c>
      <c r="I77" s="15">
        <f>COUNTIFS('Festivos por día'!$B$5:$B$468,"&gt;="&amp;C77,'Festivos por día'!$B$5:$B$468,"&lt;="&amp;MIN(D77,$L$2),'Festivos por día'!$H$5:$H$468,1)</f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3">
        <v>2019</v>
      </c>
      <c r="B78" s="3" t="s">
        <v>17</v>
      </c>
      <c r="C78" s="32">
        <v>43556</v>
      </c>
      <c r="D78" s="32">
        <v>43646</v>
      </c>
      <c r="E78" s="14">
        <f>COUNTIFS('Festivos por día'!$B$5:$B$468,"&gt;="&amp;C78,'Festivos por día'!$B$5:$B$468,"&lt;="&amp;D78,'Festivos por día'!$H$5:$H$468,1)</f>
        <v>5</v>
      </c>
      <c r="F78" s="14">
        <f>COUNTIFS('Festivos por día'!$B$5:$B$468,"&gt;="&amp;C78,'Festivos por día'!$B$5:$B$468,"&lt;="&amp;D78)</f>
        <v>5</v>
      </c>
      <c r="G78" s="14">
        <f>COUNTIFS('Festivos por día'!$B$5:$B$468,"&gt;="&amp;C78,'Festivos por día'!$B$5:$B$468,"&lt;="&amp;D78,'Festivos por día'!$H$5:$H$468,0)</f>
        <v>0</v>
      </c>
      <c r="H78" s="14">
        <f>SUMIFS('Festivos por día'!$I$5:$I$468,'Festivos por día'!$B$5:$B$468,"&gt;="&amp;C78,'Festivos por día'!$B$5:$B$468,"&lt;="&amp;D78)</f>
        <v>0</v>
      </c>
      <c r="I78" s="15">
        <f>COUNTIFS('Festivos por día'!$B$5:$B$468,"&gt;="&amp;C78,'Festivos por día'!$B$5:$B$468,"&lt;="&amp;MIN(D78,$L$2),'Festivos por día'!$H$5:$H$468,1)</f>
        <v>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3">
        <v>2019</v>
      </c>
      <c r="B79" s="3" t="s">
        <v>19</v>
      </c>
      <c r="C79" s="32">
        <v>43647</v>
      </c>
      <c r="D79" s="32">
        <v>43738</v>
      </c>
      <c r="E79" s="14">
        <f>COUNTIFS('Festivos por día'!$B$5:$B$468,"&gt;="&amp;C79,'Festivos por día'!$B$5:$B$468,"&lt;="&amp;D79,'Festivos por día'!$H$5:$H$468,1)</f>
        <v>4</v>
      </c>
      <c r="F79" s="14">
        <f>COUNTIFS('Festivos por día'!$B$5:$B$468,"&gt;="&amp;C79,'Festivos por día'!$B$5:$B$468,"&lt;="&amp;D79)</f>
        <v>4</v>
      </c>
      <c r="G79" s="14">
        <f>COUNTIFS('Festivos por día'!$B$5:$B$468,"&gt;="&amp;C79,'Festivos por día'!$B$5:$B$468,"&lt;="&amp;D79,'Festivos por día'!$H$5:$H$468,0)</f>
        <v>0</v>
      </c>
      <c r="H79" s="14">
        <f>SUMIFS('Festivos por día'!$I$5:$I$468,'Festivos por día'!$B$5:$B$468,"&gt;="&amp;C79,'Festivos por día'!$B$5:$B$468,"&lt;="&amp;D79)</f>
        <v>1</v>
      </c>
      <c r="I79" s="15">
        <f>COUNTIFS('Festivos por día'!$B$5:$B$468,"&gt;="&amp;C79,'Festivos por día'!$B$5:$B$468,"&lt;="&amp;MIN(D79,$L$2),'Festivos por día'!$H$5:$H$468,1)</f>
        <v>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3">
        <v>2019</v>
      </c>
      <c r="B80" s="3" t="s">
        <v>20</v>
      </c>
      <c r="C80" s="32">
        <v>43739</v>
      </c>
      <c r="D80" s="32">
        <v>43830</v>
      </c>
      <c r="E80" s="14">
        <f>COUNTIFS('Festivos por día'!$B$5:$B$468,"&gt;="&amp;C80,'Festivos por día'!$B$5:$B$468,"&lt;="&amp;D80,'Festivos por día'!$H$5:$H$468,1)</f>
        <v>4</v>
      </c>
      <c r="F80" s="14">
        <f>COUNTIFS('Festivos por día'!$B$5:$B$468,"&gt;="&amp;C80,'Festivos por día'!$B$5:$B$468,"&lt;="&amp;D80)</f>
        <v>5</v>
      </c>
      <c r="G80" s="14">
        <f>COUNTIFS('Festivos por día'!$B$5:$B$468,"&gt;="&amp;C80,'Festivos por día'!$B$5:$B$468,"&lt;="&amp;D80,'Festivos por día'!$H$5:$H$468,0)</f>
        <v>1</v>
      </c>
      <c r="H80" s="14">
        <f>SUMIFS('Festivos por día'!$I$5:$I$468,'Festivos por día'!$B$5:$B$468,"&gt;="&amp;C80,'Festivos por día'!$B$5:$B$468,"&lt;="&amp;D80)</f>
        <v>0</v>
      </c>
      <c r="I80" s="15">
        <f>COUNTIFS('Festivos por día'!$B$5:$B$468,"&gt;="&amp;C80,'Festivos por día'!$B$5:$B$468,"&lt;="&amp;MIN(D80,$L$2),'Festivos por día'!$H$5:$H$468,1)</f>
        <v>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3">
        <v>2020</v>
      </c>
      <c r="B81" s="3" t="s">
        <v>15</v>
      </c>
      <c r="C81" s="32">
        <v>43831</v>
      </c>
      <c r="D81" s="32">
        <v>43921</v>
      </c>
      <c r="E81" s="14">
        <f>COUNTIFS('Festivos por día'!$B$5:$B$468,"&gt;="&amp;C81,'Festivos por día'!$B$5:$B$468,"&lt;="&amp;D81,'Festivos por día'!$H$5:$H$468,1)</f>
        <v>3</v>
      </c>
      <c r="F81" s="14">
        <f>COUNTIFS('Festivos por día'!$B$5:$B$468,"&gt;="&amp;C81,'Festivos por día'!$B$5:$B$468,"&lt;="&amp;D81)</f>
        <v>3</v>
      </c>
      <c r="G81" s="14">
        <f>COUNTIFS('Festivos por día'!$B$5:$B$468,"&gt;="&amp;C81,'Festivos por día'!$B$5:$B$468,"&lt;="&amp;D81,'Festivos por día'!$H$5:$H$468,0)</f>
        <v>0</v>
      </c>
      <c r="H81" s="14">
        <f>SUMIFS('Festivos por día'!$I$5:$I$468,'Festivos por día'!$B$5:$B$468,"&gt;="&amp;C81,'Festivos por día'!$B$5:$B$468,"&lt;="&amp;D81)</f>
        <v>0</v>
      </c>
      <c r="I81" s="15">
        <f>COUNTIFS('Festivos por día'!$B$5:$B$468,"&gt;="&amp;C81,'Festivos por día'!$B$5:$B$468,"&lt;="&amp;MIN(D81,$L$2),'Festivos por día'!$H$5:$H$468,1)</f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3">
        <v>2020</v>
      </c>
      <c r="B82" s="3" t="s">
        <v>17</v>
      </c>
      <c r="C82" s="32">
        <v>43922</v>
      </c>
      <c r="D82" s="32">
        <v>44012</v>
      </c>
      <c r="E82" s="14">
        <f>COUNTIFS('Festivos por día'!$B$5:$B$468,"&gt;="&amp;C82,'Festivos por día'!$B$5:$B$468,"&lt;="&amp;D82,'Festivos por día'!$H$5:$H$468,1)</f>
        <v>7</v>
      </c>
      <c r="F82" s="14">
        <f>COUNTIFS('Festivos por día'!$B$5:$B$468,"&gt;="&amp;C82,'Festivos por día'!$B$5:$B$468,"&lt;="&amp;D82)</f>
        <v>7</v>
      </c>
      <c r="G82" s="14">
        <f>COUNTIFS('Festivos por día'!$B$5:$B$468,"&gt;="&amp;C82,'Festivos por día'!$B$5:$B$468,"&lt;="&amp;D82,'Festivos por día'!$H$5:$H$468,0)</f>
        <v>0</v>
      </c>
      <c r="H82" s="14">
        <f>SUMIFS('Festivos por día'!$I$5:$I$468,'Festivos por día'!$B$5:$B$468,"&gt;="&amp;C82,'Festivos por día'!$B$5:$B$468,"&lt;="&amp;D82)</f>
        <v>0</v>
      </c>
      <c r="I82" s="15">
        <f>COUNTIFS('Festivos por día'!$B$5:$B$468,"&gt;="&amp;C82,'Festivos por día'!$B$5:$B$468,"&lt;="&amp;MIN(D82,$L$2),'Festivos por día'!$H$5:$H$468,1)</f>
        <v>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3">
        <v>2020</v>
      </c>
      <c r="B83" s="3" t="s">
        <v>19</v>
      </c>
      <c r="C83" s="32">
        <v>44013</v>
      </c>
      <c r="D83" s="32">
        <v>44104</v>
      </c>
      <c r="E83" s="14">
        <f>COUNTIFS('Festivos por día'!$B$5:$B$468,"&gt;="&amp;C83,'Festivos por día'!$B$5:$B$468,"&lt;="&amp;D83,'Festivos por día'!$H$5:$H$468,1)</f>
        <v>3</v>
      </c>
      <c r="F83" s="14">
        <f>COUNTIFS('Festivos por día'!$B$5:$B$468,"&gt;="&amp;C83,'Festivos por día'!$B$5:$B$468,"&lt;="&amp;D83)</f>
        <v>3</v>
      </c>
      <c r="G83" s="14">
        <f>COUNTIFS('Festivos por día'!$B$5:$B$468,"&gt;="&amp;C83,'Festivos por día'!$B$5:$B$468,"&lt;="&amp;D83,'Festivos por día'!$H$5:$H$468,0)</f>
        <v>0</v>
      </c>
      <c r="H83" s="14">
        <f>SUMIFS('Festivos por día'!$I$5:$I$468,'Festivos por día'!$B$5:$B$468,"&gt;="&amp;C83,'Festivos por día'!$B$5:$B$468,"&lt;="&amp;D83)</f>
        <v>0</v>
      </c>
      <c r="I83" s="15">
        <f>COUNTIFS('Festivos por día'!$B$5:$B$468,"&gt;="&amp;C83,'Festivos por día'!$B$5:$B$468,"&lt;="&amp;MIN(D83,$L$2),'Festivos por día'!$H$5:$H$468,1)</f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3">
        <v>2020</v>
      </c>
      <c r="B84" s="3" t="s">
        <v>20</v>
      </c>
      <c r="C84" s="32">
        <v>44105</v>
      </c>
      <c r="D84" s="32">
        <v>44196</v>
      </c>
      <c r="E84" s="14">
        <f>COUNTIFS('Festivos por día'!$B$5:$B$468,"&gt;="&amp;C84,'Festivos por día'!$B$5:$B$468,"&lt;="&amp;D84,'Festivos por día'!$H$5:$H$468,1)</f>
        <v>5</v>
      </c>
      <c r="F84" s="14">
        <f>COUNTIFS('Festivos por día'!$B$5:$B$468,"&gt;="&amp;C84,'Festivos por día'!$B$5:$B$468,"&lt;="&amp;D84)</f>
        <v>5</v>
      </c>
      <c r="G84" s="14">
        <f>COUNTIFS('Festivos por día'!$B$5:$B$468,"&gt;="&amp;C84,'Festivos por día'!$B$5:$B$468,"&lt;="&amp;D84,'Festivos por día'!$H$5:$H$468,0)</f>
        <v>0</v>
      </c>
      <c r="H84" s="14">
        <f>SUMIFS('Festivos por día'!$I$5:$I$468,'Festivos por día'!$B$5:$B$468,"&gt;="&amp;C84,'Festivos por día'!$B$5:$B$468,"&lt;="&amp;D84)</f>
        <v>0</v>
      </c>
      <c r="I84" s="15">
        <f>COUNTIFS('Festivos por día'!$B$5:$B$468,"&gt;="&amp;C84,'Festivos por día'!$B$5:$B$468,"&lt;="&amp;MIN(D84,$L$2),'Festivos por día'!$H$5:$H$468,1)</f>
        <v>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3">
        <v>2021</v>
      </c>
      <c r="B85" s="3" t="s">
        <v>15</v>
      </c>
      <c r="C85" s="32">
        <v>44197</v>
      </c>
      <c r="D85" s="32">
        <v>44286</v>
      </c>
      <c r="E85" s="14">
        <f>COUNTIFS('Festivos por día'!$B$5:$B$468,"&gt;="&amp;C85,'Festivos por día'!$B$5:$B$468,"&lt;="&amp;D85,'Festivos por día'!$H$5:$H$468,1)</f>
        <v>3</v>
      </c>
      <c r="F85" s="14">
        <f>COUNTIFS('Festivos por día'!$B$5:$B$468,"&gt;="&amp;C85,'Festivos por día'!$B$5:$B$468,"&lt;="&amp;D85)</f>
        <v>3</v>
      </c>
      <c r="G85" s="14">
        <f>COUNTIFS('Festivos por día'!$B$5:$B$468,"&gt;="&amp;C85,'Festivos por día'!$B$5:$B$468,"&lt;="&amp;D85,'Festivos por día'!$H$5:$H$468,0)</f>
        <v>0</v>
      </c>
      <c r="H85" s="14">
        <f>SUMIFS('Festivos por día'!$I$5:$I$468,'Festivos por día'!$B$5:$B$468,"&gt;="&amp;C85,'Festivos por día'!$B$5:$B$468,"&lt;="&amp;D85)</f>
        <v>0</v>
      </c>
      <c r="I85" s="15">
        <f>COUNTIFS('Festivos por día'!$B$5:$B$468,"&gt;="&amp;C85,'Festivos por día'!$B$5:$B$468,"&lt;="&amp;MIN(D85,$L$2),'Festivos por día'!$H$5:$H$468,1)</f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3">
        <v>2021</v>
      </c>
      <c r="B86" s="3" t="s">
        <v>17</v>
      </c>
      <c r="C86" s="32">
        <v>44287</v>
      </c>
      <c r="D86" s="32">
        <v>44377</v>
      </c>
      <c r="E86" s="14">
        <f>COUNTIFS('Festivos por día'!$B$5:$B$468,"&gt;="&amp;C86,'Festivos por día'!$B$5:$B$468,"&lt;="&amp;D86,'Festivos por día'!$H$5:$H$468,1)</f>
        <v>6</v>
      </c>
      <c r="F86" s="14">
        <f>COUNTIFS('Festivos por día'!$B$5:$B$468,"&gt;="&amp;C86,'Festivos por día'!$B$5:$B$468,"&lt;="&amp;D86)</f>
        <v>6</v>
      </c>
      <c r="G86" s="14">
        <f>COUNTIFS('Festivos por día'!$B$5:$B$468,"&gt;="&amp;C86,'Festivos por día'!$B$5:$B$468,"&lt;="&amp;D86,'Festivos por día'!$H$5:$H$468,0)</f>
        <v>0</v>
      </c>
      <c r="H86" s="14">
        <f>SUMIFS('Festivos por día'!$I$5:$I$468,'Festivos por día'!$B$5:$B$468,"&gt;="&amp;C86,'Festivos por día'!$B$5:$B$468,"&lt;="&amp;D86)</f>
        <v>0</v>
      </c>
      <c r="I86" s="15">
        <f>COUNTIFS('Festivos por día'!$B$5:$B$468,"&gt;="&amp;C86,'Festivos por día'!$B$5:$B$468,"&lt;="&amp;MIN(D86,$L$2),'Festivos por día'!$H$5:$H$468,1)</f>
        <v>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3">
        <v>2021</v>
      </c>
      <c r="B87" s="3" t="s">
        <v>19</v>
      </c>
      <c r="C87" s="32">
        <v>44378</v>
      </c>
      <c r="D87" s="32">
        <v>44469</v>
      </c>
      <c r="E87" s="14">
        <f>COUNTIFS('Festivos por día'!$B$5:$B$468,"&gt;="&amp;C87,'Festivos por día'!$B$5:$B$468,"&lt;="&amp;D87,'Festivos por día'!$H$5:$H$468,1)</f>
        <v>4</v>
      </c>
      <c r="F87" s="14">
        <f>COUNTIFS('Festivos por día'!$B$5:$B$468,"&gt;="&amp;C87,'Festivos por día'!$B$5:$B$468,"&lt;="&amp;D87)</f>
        <v>4</v>
      </c>
      <c r="G87" s="14">
        <f>COUNTIFS('Festivos por día'!$B$5:$B$468,"&gt;="&amp;C87,'Festivos por día'!$B$5:$B$468,"&lt;="&amp;D87,'Festivos por día'!$H$5:$H$468,0)</f>
        <v>0</v>
      </c>
      <c r="H87" s="14">
        <f>SUMIFS('Festivos por día'!$I$5:$I$468,'Festivos por día'!$B$5:$B$468,"&gt;="&amp;C87,'Festivos por día'!$B$5:$B$468,"&lt;="&amp;D87)</f>
        <v>0</v>
      </c>
      <c r="I87" s="15">
        <f>COUNTIFS('Festivos por día'!$B$5:$B$468,"&gt;="&amp;C87,'Festivos por día'!$B$5:$B$468,"&lt;="&amp;MIN(D87,$L$2),'Festivos por día'!$H$5:$H$468,1)</f>
        <v>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3">
        <v>2021</v>
      </c>
      <c r="B88" s="3" t="s">
        <v>20</v>
      </c>
      <c r="C88" s="32">
        <v>44470</v>
      </c>
      <c r="D88" s="32">
        <v>44561</v>
      </c>
      <c r="E88" s="14">
        <f>COUNTIFS('Festivos por día'!$B$5:$B$468,"&gt;="&amp;C88,'Festivos por día'!$B$5:$B$468,"&lt;="&amp;D88,'Festivos por día'!$H$5:$H$468,1)</f>
        <v>5</v>
      </c>
      <c r="F88" s="14">
        <f>COUNTIFS('Festivos por día'!$B$5:$B$468,"&gt;="&amp;C88,'Festivos por día'!$B$5:$B$468,"&lt;="&amp;D88)</f>
        <v>5</v>
      </c>
      <c r="G88" s="14">
        <f>COUNTIFS('Festivos por día'!$B$5:$B$468,"&gt;="&amp;C88,'Festivos por día'!$B$5:$B$468,"&lt;="&amp;D88,'Festivos por día'!$H$5:$H$468,0)</f>
        <v>0</v>
      </c>
      <c r="H88" s="14">
        <f>SUMIFS('Festivos por día'!$I$5:$I$468,'Festivos por día'!$B$5:$B$468,"&gt;="&amp;C88,'Festivos por día'!$B$5:$B$468,"&lt;="&amp;D88)</f>
        <v>0</v>
      </c>
      <c r="I88" s="15">
        <f>COUNTIFS('Festivos por día'!$B$5:$B$468,"&gt;="&amp;C88,'Festivos por día'!$B$5:$B$468,"&lt;="&amp;MIN(D88,$L$2),'Festivos por día'!$H$5:$H$468,1)</f>
        <v>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3">
        <v>2022</v>
      </c>
      <c r="B89" s="3" t="s">
        <v>15</v>
      </c>
      <c r="C89" s="32">
        <v>44562</v>
      </c>
      <c r="D89" s="32">
        <v>44651</v>
      </c>
      <c r="E89" s="14">
        <f>COUNTIFS('Festivos por día'!$B$5:$B$468,"&gt;="&amp;C89,'Festivos por día'!$B$5:$B$468,"&lt;="&amp;D89,'Festivos por día'!$H$5:$H$468,1)</f>
        <v>3</v>
      </c>
      <c r="F89" s="14">
        <f>COUNTIFS('Festivos por día'!$B$5:$B$468,"&gt;="&amp;C89,'Festivos por día'!$B$5:$B$468,"&lt;="&amp;D89)</f>
        <v>3</v>
      </c>
      <c r="G89" s="14">
        <f>COUNTIFS('Festivos por día'!$B$5:$B$468,"&gt;="&amp;C89,'Festivos por día'!$B$5:$B$468,"&lt;="&amp;D89,'Festivos por día'!$H$5:$H$468,0)</f>
        <v>0</v>
      </c>
      <c r="H89" s="14">
        <f>SUMIFS('Festivos por día'!$I$5:$I$468,'Festivos por día'!$B$5:$B$468,"&gt;="&amp;C89,'Festivos por día'!$B$5:$B$468,"&lt;="&amp;D89)</f>
        <v>0</v>
      </c>
      <c r="I89" s="15">
        <f>COUNTIFS('Festivos por día'!$B$5:$B$468,"&gt;="&amp;C89,'Festivos por día'!$B$5:$B$468,"&lt;="&amp;MIN(D89,$L$2),'Festivos por día'!$H$5:$H$468,1)</f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3">
        <v>2022</v>
      </c>
      <c r="B90" s="3" t="s">
        <v>17</v>
      </c>
      <c r="C90" s="32">
        <v>44652</v>
      </c>
      <c r="D90" s="32">
        <v>44742</v>
      </c>
      <c r="E90" s="14">
        <f>COUNTIFS('Festivos por día'!$B$5:$B$468,"&gt;="&amp;C90,'Festivos por día'!$B$5:$B$468,"&lt;="&amp;D90,'Festivos por día'!$H$5:$H$468,1)</f>
        <v>5</v>
      </c>
      <c r="F90" s="14">
        <f>COUNTIFS('Festivos por día'!$B$5:$B$468,"&gt;="&amp;C90,'Festivos por día'!$B$5:$B$468,"&lt;="&amp;D90)</f>
        <v>6</v>
      </c>
      <c r="G90" s="14">
        <f>COUNTIFS('Festivos por día'!$B$5:$B$468,"&gt;="&amp;C90,'Festivos por día'!$B$5:$B$468,"&lt;="&amp;D90,'Festivos por día'!$H$5:$H$468,0)</f>
        <v>1</v>
      </c>
      <c r="H90" s="14">
        <f>SUMIFS('Festivos por día'!$I$5:$I$468,'Festivos por día'!$B$5:$B$468,"&gt;="&amp;C90,'Festivos por día'!$B$5:$B$468,"&lt;="&amp;D90)</f>
        <v>0</v>
      </c>
      <c r="I90" s="15">
        <f>COUNTIFS('Festivos por día'!$B$5:$B$468,"&gt;="&amp;C90,'Festivos por día'!$B$5:$B$468,"&lt;="&amp;MIN(D90,$L$2),'Festivos por día'!$H$5:$H$468,1)</f>
        <v>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3">
        <v>2022</v>
      </c>
      <c r="B91" s="3" t="s">
        <v>19</v>
      </c>
      <c r="C91" s="32">
        <v>44743</v>
      </c>
      <c r="D91" s="32">
        <v>44834</v>
      </c>
      <c r="E91" s="14">
        <f>COUNTIFS('Festivos por día'!$B$5:$B$468,"&gt;="&amp;C91,'Festivos por día'!$B$5:$B$468,"&lt;="&amp;D91,'Festivos por día'!$H$5:$H$468,1)</f>
        <v>3</v>
      </c>
      <c r="F91" s="14">
        <f>COUNTIFS('Festivos por día'!$B$5:$B$468,"&gt;="&amp;C91,'Festivos por día'!$B$5:$B$468,"&lt;="&amp;D91)</f>
        <v>4</v>
      </c>
      <c r="G91" s="14">
        <f>COUNTIFS('Festivos por día'!$B$5:$B$468,"&gt;="&amp;C91,'Festivos por día'!$B$5:$B$468,"&lt;="&amp;D91,'Festivos por día'!$H$5:$H$468,0)</f>
        <v>1</v>
      </c>
      <c r="H91" s="14">
        <f>SUMIFS('Festivos por día'!$I$5:$I$468,'Festivos por día'!$B$5:$B$468,"&gt;="&amp;C91,'Festivos por día'!$B$5:$B$468,"&lt;="&amp;D91)</f>
        <v>0</v>
      </c>
      <c r="I91" s="15">
        <f>COUNTIFS('Festivos por día'!$B$5:$B$468,"&gt;="&amp;C91,'Festivos por día'!$B$5:$B$468,"&lt;="&amp;MIN(D91,$L$2),'Festivos por día'!$H$5:$H$468,1)</f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3">
        <v>2022</v>
      </c>
      <c r="B92" s="3" t="s">
        <v>20</v>
      </c>
      <c r="C92" s="32">
        <v>44835</v>
      </c>
      <c r="D92" s="32">
        <v>44926</v>
      </c>
      <c r="E92" s="14">
        <f>COUNTIFS('Festivos por día'!$B$5:$B$468,"&gt;="&amp;C92,'Festivos por día'!$B$5:$B$468,"&lt;="&amp;D92,'Festivos por día'!$H$5:$H$468,1)</f>
        <v>4</v>
      </c>
      <c r="F92" s="14">
        <f>COUNTIFS('Festivos por día'!$B$5:$B$468,"&gt;="&amp;C92,'Festivos por día'!$B$5:$B$468,"&lt;="&amp;D92)</f>
        <v>5</v>
      </c>
      <c r="G92" s="14">
        <f>COUNTIFS('Festivos por día'!$B$5:$B$468,"&gt;="&amp;C92,'Festivos por día'!$B$5:$B$468,"&lt;="&amp;D92,'Festivos por día'!$H$5:$H$468,0)</f>
        <v>1</v>
      </c>
      <c r="H92" s="14">
        <f>SUMIFS('Festivos por día'!$I$5:$I$468,'Festivos por día'!$B$5:$B$468,"&gt;="&amp;C92,'Festivos por día'!$B$5:$B$468,"&lt;="&amp;D92)</f>
        <v>0</v>
      </c>
      <c r="I92" s="15">
        <f>COUNTIFS('Festivos por día'!$B$5:$B$468,"&gt;="&amp;C92,'Festivos por día'!$B$5:$B$468,"&lt;="&amp;MIN(D92,$L$2),'Festivos por día'!$H$5:$H$468,1)</f>
        <v>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3">
        <v>2023</v>
      </c>
      <c r="B93" s="3" t="s">
        <v>15</v>
      </c>
      <c r="C93" s="32">
        <v>44927</v>
      </c>
      <c r="D93" s="32">
        <v>45016</v>
      </c>
      <c r="E93" s="14">
        <f>COUNTIFS('Festivos por día'!$B$5:$B$468,"&gt;="&amp;C93,'Festivos por día'!$B$5:$B$468,"&lt;="&amp;D93,'Festivos por día'!$H$5:$H$468,1)</f>
        <v>2</v>
      </c>
      <c r="F93" s="14">
        <f>COUNTIFS('Festivos por día'!$B$5:$B$468,"&gt;="&amp;C93,'Festivos por día'!$B$5:$B$468,"&lt;="&amp;D93)</f>
        <v>3</v>
      </c>
      <c r="G93" s="14">
        <f>COUNTIFS('Festivos por día'!$B$5:$B$468,"&gt;="&amp;C93,'Festivos por día'!$B$5:$B$468,"&lt;="&amp;D93,'Festivos por día'!$H$5:$H$468,0)</f>
        <v>1</v>
      </c>
      <c r="H93" s="14">
        <f>SUMIFS('Festivos por día'!$I$5:$I$468,'Festivos por día'!$B$5:$B$468,"&gt;="&amp;C93,'Festivos por día'!$B$5:$B$468,"&lt;="&amp;D93)</f>
        <v>0</v>
      </c>
      <c r="I93" s="15">
        <f>COUNTIFS('Festivos por día'!$B$5:$B$468,"&gt;="&amp;C93,'Festivos por día'!$B$5:$B$468,"&lt;="&amp;MIN(D93,$L$2),'Festivos por día'!$H$5:$H$468,1)</f>
        <v>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3">
        <v>2023</v>
      </c>
      <c r="B94" s="3" t="s">
        <v>17</v>
      </c>
      <c r="C94" s="32">
        <v>45017</v>
      </c>
      <c r="D94" s="32">
        <v>45107</v>
      </c>
      <c r="E94" s="14">
        <f>COUNTIFS('Festivos por día'!$B$5:$B$468,"&gt;="&amp;C94,'Festivos por día'!$B$5:$B$468,"&lt;="&amp;D94,'Festivos por día'!$H$5:$H$468,1)</f>
        <v>6</v>
      </c>
      <c r="F94" s="14">
        <f>COUNTIFS('Festivos por día'!$B$5:$B$468,"&gt;="&amp;C94,'Festivos por día'!$B$5:$B$468,"&lt;="&amp;D94)</f>
        <v>6</v>
      </c>
      <c r="G94" s="14">
        <f>COUNTIFS('Festivos por día'!$B$5:$B$468,"&gt;="&amp;C94,'Festivos por día'!$B$5:$B$468,"&lt;="&amp;D94,'Festivos por día'!$H$5:$H$468,0)</f>
        <v>0</v>
      </c>
      <c r="H94" s="14">
        <f>SUMIFS('Festivos por día'!$I$5:$I$468,'Festivos por día'!$B$5:$B$468,"&gt;="&amp;C94,'Festivos por día'!$B$5:$B$468,"&lt;="&amp;D94)</f>
        <v>0</v>
      </c>
      <c r="I94" s="15">
        <f>COUNTIFS('Festivos por día'!$B$5:$B$468,"&gt;="&amp;C94,'Festivos por día'!$B$5:$B$468,"&lt;="&amp;MIN(D94,$L$2),'Festivos por día'!$H$5:$H$468,1)</f>
        <v>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3">
        <v>2023</v>
      </c>
      <c r="B95" s="3" t="s">
        <v>19</v>
      </c>
      <c r="C95" s="32">
        <v>45108</v>
      </c>
      <c r="D95" s="32">
        <v>45199</v>
      </c>
      <c r="E95" s="14">
        <f>COUNTIFS('Festivos por día'!$B$5:$B$468,"&gt;="&amp;C95,'Festivos por día'!$B$5:$B$468,"&lt;="&amp;D95,'Festivos por día'!$H$5:$H$468,1)</f>
        <v>4</v>
      </c>
      <c r="F95" s="14">
        <f>COUNTIFS('Festivos por día'!$B$5:$B$468,"&gt;="&amp;C95,'Festivos por día'!$B$5:$B$468,"&lt;="&amp;D95)</f>
        <v>4</v>
      </c>
      <c r="G95" s="14">
        <f>COUNTIFS('Festivos por día'!$B$5:$B$468,"&gt;="&amp;C95,'Festivos por día'!$B$5:$B$468,"&lt;="&amp;D95,'Festivos por día'!$H$5:$H$468,0)</f>
        <v>0</v>
      </c>
      <c r="H95" s="14">
        <f>SUMIFS('Festivos por día'!$I$5:$I$468,'Festivos por día'!$B$5:$B$468,"&gt;="&amp;C95,'Festivos por día'!$B$5:$B$468,"&lt;="&amp;D95)</f>
        <v>0</v>
      </c>
      <c r="I95" s="15">
        <f>COUNTIFS('Festivos por día'!$B$5:$B$468,"&gt;="&amp;C95,'Festivos por día'!$B$5:$B$468,"&lt;="&amp;MIN(D95,$L$2),'Festivos por día'!$H$5:$H$468,1)</f>
        <v>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3">
        <v>2023</v>
      </c>
      <c r="B96" s="3" t="s">
        <v>20</v>
      </c>
      <c r="C96" s="32">
        <v>45200</v>
      </c>
      <c r="D96" s="32">
        <v>45291</v>
      </c>
      <c r="E96" s="14">
        <f>COUNTIFS('Festivos por día'!$B$5:$B$468,"&gt;="&amp;C96,'Festivos por día'!$B$5:$B$468,"&lt;="&amp;D96,'Festivos por día'!$H$5:$H$468,1)</f>
        <v>5</v>
      </c>
      <c r="F96" s="14">
        <f>COUNTIFS('Festivos por día'!$B$5:$B$468,"&gt;="&amp;C96,'Festivos por día'!$B$5:$B$468,"&lt;="&amp;D96)</f>
        <v>5</v>
      </c>
      <c r="G96" s="14">
        <f>COUNTIFS('Festivos por día'!$B$5:$B$468,"&gt;="&amp;C96,'Festivos por día'!$B$5:$B$468,"&lt;="&amp;D96,'Festivos por día'!$H$5:$H$468,0)</f>
        <v>0</v>
      </c>
      <c r="H96" s="14">
        <f>SUMIFS('Festivos por día'!$I$5:$I$468,'Festivos por día'!$B$5:$B$468,"&gt;="&amp;C96,'Festivos por día'!$B$5:$B$468,"&lt;="&amp;D96)</f>
        <v>0</v>
      </c>
      <c r="I96" s="15">
        <f>COUNTIFS('Festivos por día'!$B$5:$B$468,"&gt;="&amp;C96,'Festivos por día'!$B$5:$B$468,"&lt;="&amp;MIN(D96,$L$2),'Festivos por día'!$H$5:$H$468,1)</f>
        <v>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3">
        <v>2024</v>
      </c>
      <c r="B97" s="3" t="s">
        <v>15</v>
      </c>
      <c r="C97" s="32">
        <v>45292</v>
      </c>
      <c r="D97" s="32">
        <v>45382</v>
      </c>
      <c r="E97" s="14">
        <f>COUNTIFS('Festivos por día'!$B$5:$B$468,"&gt;="&amp;C97,'Festivos por día'!$B$5:$B$468,"&lt;="&amp;D97,'Festivos por día'!$H$5:$H$468,1)</f>
        <v>5</v>
      </c>
      <c r="F97" s="14">
        <f>COUNTIFS('Festivos por día'!$B$5:$B$468,"&gt;="&amp;C97,'Festivos por día'!$B$5:$B$468,"&lt;="&amp;D97)</f>
        <v>5</v>
      </c>
      <c r="G97" s="14">
        <f>COUNTIFS('Festivos por día'!$B$5:$B$468,"&gt;="&amp;C97,'Festivos por día'!$B$5:$B$468,"&lt;="&amp;D97,'Festivos por día'!$H$5:$H$468,0)</f>
        <v>0</v>
      </c>
      <c r="H97" s="14">
        <f>SUMIFS('Festivos por día'!$I$5:$I$468,'Festivos por día'!$B$5:$B$468,"&gt;="&amp;C97,'Festivos por día'!$B$5:$B$468,"&lt;="&amp;D97)</f>
        <v>0</v>
      </c>
      <c r="I97" s="15">
        <f>COUNTIFS('Festivos por día'!$B$5:$B$468,"&gt;="&amp;C97,'Festivos por día'!$B$5:$B$468,"&lt;="&amp;MIN(D97,$L$2),'Festivos por día'!$H$5:$H$468,1)</f>
        <v>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3">
        <v>2024</v>
      </c>
      <c r="B98" s="3" t="s">
        <v>17</v>
      </c>
      <c r="C98" s="32">
        <v>45383</v>
      </c>
      <c r="D98" s="32">
        <v>45473</v>
      </c>
      <c r="E98" s="14">
        <f>COUNTIFS('Festivos por día'!$B$5:$B$468,"&gt;="&amp;C98,'Festivos por día'!$B$5:$B$468,"&lt;="&amp;D98,'Festivos por día'!$H$5:$H$468,1)</f>
        <v>4</v>
      </c>
      <c r="F98" s="14">
        <f>COUNTIFS('Festivos por día'!$B$5:$B$468,"&gt;="&amp;C98,'Festivos por día'!$B$5:$B$468,"&lt;="&amp;D98)</f>
        <v>4</v>
      </c>
      <c r="G98" s="14">
        <f>COUNTIFS('Festivos por día'!$B$5:$B$468,"&gt;="&amp;C98,'Festivos por día'!$B$5:$B$468,"&lt;="&amp;D98,'Festivos por día'!$H$5:$H$468,0)</f>
        <v>0</v>
      </c>
      <c r="H98" s="14">
        <f>SUMIFS('Festivos por día'!$I$5:$I$468,'Festivos por día'!$B$5:$B$468,"&gt;="&amp;C98,'Festivos por día'!$B$5:$B$468,"&lt;="&amp;D98)</f>
        <v>0</v>
      </c>
      <c r="I98" s="15">
        <f>COUNTIFS('Festivos por día'!$B$5:$B$468,"&gt;="&amp;C98,'Festivos por día'!$B$5:$B$468,"&lt;="&amp;MIN(D98,$L$2),'Festivos por día'!$H$5:$H$468,1)</f>
        <v>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3">
        <v>2024</v>
      </c>
      <c r="B99" s="3" t="s">
        <v>19</v>
      </c>
      <c r="C99" s="32">
        <v>45474</v>
      </c>
      <c r="D99" s="32">
        <v>45565</v>
      </c>
      <c r="E99" s="14">
        <f>COUNTIFS('Festivos por día'!$B$5:$B$468,"&gt;="&amp;C99,'Festivos por día'!$B$5:$B$468,"&lt;="&amp;D99,'Festivos por día'!$H$5:$H$468,1)</f>
        <v>4</v>
      </c>
      <c r="F99" s="14">
        <f>COUNTIFS('Festivos por día'!$B$5:$B$468,"&gt;="&amp;C99,'Festivos por día'!$B$5:$B$468,"&lt;="&amp;D99)</f>
        <v>4</v>
      </c>
      <c r="G99" s="14">
        <f>COUNTIFS('Festivos por día'!$B$5:$B$468,"&gt;="&amp;C99,'Festivos por día'!$B$5:$B$468,"&lt;="&amp;D99,'Festivos por día'!$H$5:$H$468,0)</f>
        <v>0</v>
      </c>
      <c r="H99" s="14">
        <f>SUMIFS('Festivos por día'!$I$5:$I$468,'Festivos por día'!$B$5:$B$468,"&gt;="&amp;C99,'Festivos por día'!$B$5:$B$468,"&lt;="&amp;D99)</f>
        <v>0</v>
      </c>
      <c r="I99" s="15">
        <f>COUNTIFS('Festivos por día'!$B$5:$B$468,"&gt;="&amp;C99,'Festivos por día'!$B$5:$B$468,"&lt;="&amp;MIN(D99,$L$2),'Festivos por día'!$H$5:$H$468,1)</f>
        <v>4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3">
        <v>2024</v>
      </c>
      <c r="B100" s="3" t="s">
        <v>20</v>
      </c>
      <c r="C100" s="32">
        <v>45566</v>
      </c>
      <c r="D100" s="32">
        <v>45657</v>
      </c>
      <c r="E100" s="14">
        <f>COUNTIFS('Festivos por día'!$B$5:$B$468,"&gt;="&amp;C100,'Festivos por día'!$B$5:$B$468,"&lt;="&amp;D100,'Festivos por día'!$H$5:$H$468,1)</f>
        <v>4</v>
      </c>
      <c r="F100" s="14">
        <f>COUNTIFS('Festivos por día'!$B$5:$B$468,"&gt;="&amp;C100,'Festivos por día'!$B$5:$B$468,"&lt;="&amp;D100)</f>
        <v>5</v>
      </c>
      <c r="G100" s="14">
        <f>COUNTIFS('Festivos por día'!$B$5:$B$468,"&gt;="&amp;C100,'Festivos por día'!$B$5:$B$468,"&lt;="&amp;D100,'Festivos por día'!$H$5:$H$468,0)</f>
        <v>1</v>
      </c>
      <c r="H100" s="14">
        <f>SUMIFS('Festivos por día'!$I$5:$I$468,'Festivos por día'!$B$5:$B$468,"&gt;="&amp;C100,'Festivos por día'!$B$5:$B$468,"&lt;="&amp;D100)</f>
        <v>0</v>
      </c>
      <c r="I100" s="15">
        <f>COUNTIFS('Festivos por día'!$B$5:$B$468,"&gt;="&amp;C100,'Festivos por día'!$B$5:$B$468,"&lt;="&amp;MIN(D100,$L$2),'Festivos por día'!$H$5:$H$468,1)</f>
        <v>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3">
        <v>2025</v>
      </c>
      <c r="B101" s="3" t="s">
        <v>15</v>
      </c>
      <c r="C101" s="32">
        <v>45658</v>
      </c>
      <c r="D101" s="32">
        <v>45747</v>
      </c>
      <c r="E101" s="14">
        <f>COUNTIFS('Festivos por día'!$B$5:$B$468,"&gt;="&amp;C101,'Festivos por día'!$B$5:$B$468,"&lt;="&amp;D101,'Festivos por día'!$H$5:$H$468,1)</f>
        <v>3</v>
      </c>
      <c r="F101" s="14">
        <f>COUNTIFS('Festivos por día'!$B$5:$B$468,"&gt;="&amp;C101,'Festivos por día'!$B$5:$B$468,"&lt;="&amp;D101)</f>
        <v>3</v>
      </c>
      <c r="G101" s="14">
        <f>COUNTIFS('Festivos por día'!$B$5:$B$468,"&gt;="&amp;C101,'Festivos por día'!$B$5:$B$468,"&lt;="&amp;D101,'Festivos por día'!$H$5:$H$468,0)</f>
        <v>0</v>
      </c>
      <c r="H101" s="14">
        <f>SUMIFS('Festivos por día'!$I$5:$I$468,'Festivos por día'!$B$5:$B$468,"&gt;="&amp;C101,'Festivos por día'!$B$5:$B$468,"&lt;="&amp;D101)</f>
        <v>0</v>
      </c>
      <c r="I101" s="15">
        <f>COUNTIFS('Festivos por día'!$B$5:$B$468,"&gt;="&amp;C101,'Festivos por día'!$B$5:$B$468,"&lt;="&amp;MIN(D101,$L$2),'Festivos por día'!$H$5:$H$468,1)</f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3">
        <v>2025</v>
      </c>
      <c r="B102" s="3" t="s">
        <v>17</v>
      </c>
      <c r="C102" s="32">
        <v>45748</v>
      </c>
      <c r="D102" s="32">
        <v>45838</v>
      </c>
      <c r="E102" s="14">
        <f>COUNTIFS('Festivos por día'!$B$5:$B$468,"&gt;="&amp;C102,'Festivos por día'!$B$5:$B$468,"&lt;="&amp;D102,'Festivos por día'!$H$5:$H$468,1)</f>
        <v>6</v>
      </c>
      <c r="F102" s="14">
        <f>COUNTIFS('Festivos por día'!$B$5:$B$468,"&gt;="&amp;C102,'Festivos por día'!$B$5:$B$468,"&lt;="&amp;D102)</f>
        <v>6</v>
      </c>
      <c r="G102" s="14">
        <f>COUNTIFS('Festivos por día'!$B$5:$B$468,"&gt;="&amp;C102,'Festivos por día'!$B$5:$B$468,"&lt;="&amp;D102,'Festivos por día'!$H$5:$H$468,0)</f>
        <v>0</v>
      </c>
      <c r="H102" s="14">
        <f>SUMIFS('Festivos por día'!$I$5:$I$468,'Festivos por día'!$B$5:$B$468,"&gt;="&amp;C102,'Festivos por día'!$B$5:$B$468,"&lt;="&amp;D102)</f>
        <v>1</v>
      </c>
      <c r="I102" s="15">
        <f>COUNTIFS('Festivos por día'!$B$5:$B$468,"&gt;="&amp;C102,'Festivos por día'!$B$5:$B$468,"&lt;="&amp;MIN(D102,$L$2),'Festivos por día'!$H$5:$H$468,1)</f>
        <v>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3">
        <v>2025</v>
      </c>
      <c r="B103" s="3" t="s">
        <v>19</v>
      </c>
      <c r="C103" s="32">
        <v>45839</v>
      </c>
      <c r="D103" s="32">
        <v>45930</v>
      </c>
      <c r="E103" s="14">
        <f>COUNTIFS('Festivos por día'!$B$5:$B$468,"&gt;="&amp;C103,'Festivos por día'!$B$5:$B$468,"&lt;="&amp;D103,'Festivos por día'!$H$5:$H$468,1)</f>
        <v>2</v>
      </c>
      <c r="F103" s="14">
        <f>COUNTIFS('Festivos por día'!$B$5:$B$468,"&gt;="&amp;C103,'Festivos por día'!$B$5:$B$468,"&lt;="&amp;D103)</f>
        <v>3</v>
      </c>
      <c r="G103" s="14">
        <f>COUNTIFS('Festivos por día'!$B$5:$B$468,"&gt;="&amp;C103,'Festivos por día'!$B$5:$B$468,"&lt;="&amp;D103,'Festivos por día'!$H$5:$H$468,0)</f>
        <v>1</v>
      </c>
      <c r="H103" s="14">
        <f>SUMIFS('Festivos por día'!$I$5:$I$468,'Festivos por día'!$B$5:$B$468,"&gt;="&amp;C103,'Festivos por día'!$B$5:$B$468,"&lt;="&amp;D103)</f>
        <v>0</v>
      </c>
      <c r="I103" s="15">
        <f>COUNTIFS('Festivos por día'!$B$5:$B$468,"&gt;="&amp;C103,'Festivos por día'!$B$5:$B$468,"&lt;="&amp;MIN(D103,$L$2),'Festivos por día'!$H$5:$H$468,1)</f>
        <v>2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3">
        <v>2025</v>
      </c>
      <c r="B104" s="3" t="s">
        <v>20</v>
      </c>
      <c r="C104" s="32">
        <v>45931</v>
      </c>
      <c r="D104" s="32">
        <v>46022</v>
      </c>
      <c r="E104" s="14">
        <f>COUNTIFS('Festivos por día'!$B$5:$B$468,"&gt;="&amp;C104,'Festivos por día'!$B$5:$B$468,"&lt;="&amp;D104,'Festivos por día'!$H$5:$H$468,1)</f>
        <v>5</v>
      </c>
      <c r="F104" s="14">
        <f>COUNTIFS('Festivos por día'!$B$5:$B$468,"&gt;="&amp;C104,'Festivos por día'!$B$5:$B$468,"&lt;="&amp;D104)</f>
        <v>5</v>
      </c>
      <c r="G104" s="14">
        <f>COUNTIFS('Festivos por día'!$B$5:$B$468,"&gt;="&amp;C104,'Festivos por día'!$B$5:$B$468,"&lt;="&amp;D104,'Festivos por día'!$H$5:$H$468,0)</f>
        <v>0</v>
      </c>
      <c r="H104" s="14">
        <f>SUMIFS('Festivos por día'!$I$5:$I$468,'Festivos por día'!$B$5:$B$468,"&gt;="&amp;C104,'Festivos por día'!$B$5:$B$468,"&lt;="&amp;D104)</f>
        <v>0</v>
      </c>
      <c r="I104" s="15">
        <f>COUNTIFS('Festivos por día'!$B$5:$B$468,"&gt;="&amp;C104,'Festivos por día'!$B$5:$B$468,"&lt;="&amp;MIN(D104,$L$2),'Festivos por día'!$H$5:$H$468,1)</f>
        <v>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3">
        <v>2026</v>
      </c>
      <c r="B105" s="3" t="s">
        <v>15</v>
      </c>
      <c r="C105" s="32">
        <v>46023</v>
      </c>
      <c r="D105" s="32">
        <v>46112</v>
      </c>
      <c r="E105" s="14">
        <f>COUNTIFS('Festivos por día'!$B$5:$B$468,"&gt;="&amp;C105,'Festivos por día'!$B$5:$B$468,"&lt;="&amp;D105,'Festivos por día'!$H$5:$H$468,1)</f>
        <v>3</v>
      </c>
      <c r="F105" s="14">
        <f>COUNTIFS('Festivos por día'!$B$5:$B$468,"&gt;="&amp;C105,'Festivos por día'!$B$5:$B$468,"&lt;="&amp;D105)</f>
        <v>3</v>
      </c>
      <c r="G105" s="14">
        <f>COUNTIFS('Festivos por día'!$B$5:$B$468,"&gt;="&amp;C105,'Festivos por día'!$B$5:$B$468,"&lt;="&amp;D105,'Festivos por día'!$H$5:$H$468,0)</f>
        <v>0</v>
      </c>
      <c r="H105" s="14">
        <f>SUMIFS('Festivos por día'!$I$5:$I$468,'Festivos por día'!$B$5:$B$468,"&gt;="&amp;C105,'Festivos por día'!$B$5:$B$468,"&lt;="&amp;D105)</f>
        <v>0</v>
      </c>
      <c r="I105" s="15">
        <f>COUNTIFS('Festivos por día'!$B$5:$B$468,"&gt;="&amp;C105,'Festivos por día'!$B$5:$B$468,"&lt;="&amp;MIN(D105,$L$2),'Festivos por día'!$H$5:$H$468,1)</f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3">
        <v>2026</v>
      </c>
      <c r="B106" s="3" t="s">
        <v>17</v>
      </c>
      <c r="C106" s="32">
        <v>46113</v>
      </c>
      <c r="D106" s="32">
        <v>46203</v>
      </c>
      <c r="E106" s="14">
        <f>COUNTIFS('Festivos por día'!$B$5:$B$468,"&gt;="&amp;C106,'Festivos por día'!$B$5:$B$468,"&lt;="&amp;D106,'Festivos por día'!$H$5:$H$468,1)</f>
        <v>7</v>
      </c>
      <c r="F106" s="14">
        <f>COUNTIFS('Festivos por día'!$B$5:$B$468,"&gt;="&amp;C106,'Festivos por día'!$B$5:$B$468,"&lt;="&amp;D106)</f>
        <v>7</v>
      </c>
      <c r="G106" s="14">
        <f>COUNTIFS('Festivos por día'!$B$5:$B$468,"&gt;="&amp;C106,'Festivos por día'!$B$5:$B$468,"&lt;="&amp;D106,'Festivos por día'!$H$5:$H$468,0)</f>
        <v>0</v>
      </c>
      <c r="H106" s="14">
        <f>SUMIFS('Festivos por día'!$I$5:$I$468,'Festivos por día'!$B$5:$B$468,"&gt;="&amp;C106,'Festivos por día'!$B$5:$B$468,"&lt;="&amp;D106)</f>
        <v>0</v>
      </c>
      <c r="I106" s="15">
        <f>COUNTIFS('Festivos por día'!$B$5:$B$468,"&gt;="&amp;C106,'Festivos por día'!$B$5:$B$468,"&lt;="&amp;MIN(D106,$L$2),'Festivos por día'!$H$5:$H$468,1)</f>
        <v>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3">
        <v>2026</v>
      </c>
      <c r="B107" s="3" t="s">
        <v>19</v>
      </c>
      <c r="C107" s="32">
        <v>46204</v>
      </c>
      <c r="D107" s="32">
        <v>46295</v>
      </c>
      <c r="E107" s="14">
        <f>COUNTIFS('Festivos por día'!$B$5:$B$468,"&gt;="&amp;C107,'Festivos por día'!$B$5:$B$468,"&lt;="&amp;D107,'Festivos por día'!$H$5:$H$468,1)</f>
        <v>4</v>
      </c>
      <c r="F107" s="14">
        <f>COUNTIFS('Festivos por día'!$B$5:$B$468,"&gt;="&amp;C107,'Festivos por día'!$B$5:$B$468,"&lt;="&amp;D107)</f>
        <v>4</v>
      </c>
      <c r="G107" s="14">
        <f>COUNTIFS('Festivos por día'!$B$5:$B$468,"&gt;="&amp;C107,'Festivos por día'!$B$5:$B$468,"&lt;="&amp;D107,'Festivos por día'!$H$5:$H$468,0)</f>
        <v>0</v>
      </c>
      <c r="H107" s="14">
        <f>SUMIFS('Festivos por día'!$I$5:$I$468,'Festivos por día'!$B$5:$B$468,"&gt;="&amp;C107,'Festivos por día'!$B$5:$B$468,"&lt;="&amp;D107)</f>
        <v>0</v>
      </c>
      <c r="I107" s="15">
        <f>COUNTIFS('Festivos por día'!$B$5:$B$468,"&gt;="&amp;C107,'Festivos por día'!$B$5:$B$468,"&lt;="&amp;MIN(D107,$L$2),'Festivos por día'!$H$5:$H$468,1)</f>
        <v>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26">
        <v>2026</v>
      </c>
      <c r="B108" s="27" t="s">
        <v>20</v>
      </c>
      <c r="C108" s="33">
        <v>46296</v>
      </c>
      <c r="D108" s="33">
        <v>46387</v>
      </c>
      <c r="E108" s="28">
        <f>COUNTIFS('Festivos por día'!$B$5:$B$468,"&gt;="&amp;C108,'Festivos por día'!$B$5:$B$468,"&lt;="&amp;D108,'Festivos por día'!$H$5:$H$468,1)</f>
        <v>5</v>
      </c>
      <c r="F108" s="28">
        <f>COUNTIFS('Festivos por día'!$B$5:$B$468,"&gt;="&amp;C108,'Festivos por día'!$B$5:$B$468,"&lt;="&amp;D108)</f>
        <v>5</v>
      </c>
      <c r="G108" s="28">
        <f>COUNTIFS('Festivos por día'!$B$5:$B$468,"&gt;="&amp;C108,'Festivos por día'!$B$5:$B$468,"&lt;="&amp;D108,'Festivos por día'!$H$5:$H$468,0)</f>
        <v>0</v>
      </c>
      <c r="H108" s="28">
        <f>SUMIFS('Festivos por día'!$I$5:$I$468,'Festivos por día'!$B$5:$B$468,"&gt;="&amp;C108,'Festivos por día'!$B$5:$B$468,"&lt;="&amp;D108)</f>
        <v>0</v>
      </c>
      <c r="I108" s="29">
        <f>COUNTIFS('Festivos por día'!$B$5:$B$468,"&gt;="&amp;C108,'Festivos por día'!$B$5:$B$468,"&lt;="&amp;MIN(D108,$L$2),'Festivos por día'!$H$5:$H$468,1)</f>
        <v>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I1"/>
    <mergeCell ref="A2:I2"/>
    <mergeCell ref="K1:M1"/>
  </mergeCells>
  <conditionalFormatting sqref="L10:O35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RowHeight="13.8"/>
  <cols>
    <col min="1" max="1" width="9" customWidth="1"/>
    <col min="2" max="2" width="15" customWidth="1"/>
    <col min="3" max="3" width="12" customWidth="1"/>
    <col min="4" max="4" width="11" customWidth="1"/>
    <col min="5" max="5" width="36" customWidth="1"/>
    <col min="6" max="6" width="25" customWidth="1"/>
    <col min="7" max="9" width="14" customWidth="1"/>
    <col min="10" max="10" width="42" customWidth="1"/>
    <col min="11" max="11" width="24" customWidth="1"/>
    <col min="12" max="12" width="46" customWidth="1"/>
    <col min="13" max="13" width="16" customWidth="1"/>
  </cols>
  <sheetData>
    <row r="1" spans="1:26" ht="21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6" t="s">
        <v>23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15" customHeight="1">
      <c r="A4" s="6" t="s">
        <v>5</v>
      </c>
      <c r="B4" s="7" t="s">
        <v>24</v>
      </c>
      <c r="C4" s="7" t="s">
        <v>25</v>
      </c>
      <c r="D4" s="7" t="s">
        <v>6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30</v>
      </c>
      <c r="J4" s="7" t="s">
        <v>31</v>
      </c>
      <c r="K4" s="7" t="s">
        <v>32</v>
      </c>
      <c r="L4" s="7" t="s">
        <v>33</v>
      </c>
      <c r="M4" s="8" t="s">
        <v>34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9">
        <v>2001</v>
      </c>
      <c r="B5" s="31">
        <v>36892</v>
      </c>
      <c r="C5" s="10" t="s">
        <v>35</v>
      </c>
      <c r="D5" s="10" t="s">
        <v>15</v>
      </c>
      <c r="E5" s="10" t="s">
        <v>36</v>
      </c>
      <c r="F5" s="10" t="s">
        <v>37</v>
      </c>
      <c r="G5" s="11">
        <v>1</v>
      </c>
      <c r="H5" s="11">
        <v>1</v>
      </c>
      <c r="I5" s="11">
        <v>0</v>
      </c>
      <c r="J5" s="10" t="s">
        <v>38</v>
      </c>
      <c r="K5" s="10" t="s">
        <v>39</v>
      </c>
      <c r="L5" s="10" t="s">
        <v>40</v>
      </c>
      <c r="M5" s="12">
        <v>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13">
        <v>2001</v>
      </c>
      <c r="B6" s="32">
        <v>36899</v>
      </c>
      <c r="C6" s="3" t="s">
        <v>35</v>
      </c>
      <c r="D6" s="3" t="s">
        <v>15</v>
      </c>
      <c r="E6" s="3" t="s">
        <v>41</v>
      </c>
      <c r="F6" s="3" t="s">
        <v>42</v>
      </c>
      <c r="G6" s="14">
        <v>1</v>
      </c>
      <c r="H6" s="14">
        <v>1</v>
      </c>
      <c r="I6" s="14">
        <v>0</v>
      </c>
      <c r="J6" s="3" t="s">
        <v>38</v>
      </c>
      <c r="K6" s="3" t="s">
        <v>39</v>
      </c>
      <c r="L6" s="3" t="s">
        <v>40</v>
      </c>
      <c r="M6" s="15">
        <v>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13">
        <v>2001</v>
      </c>
      <c r="B7" s="32">
        <v>36969</v>
      </c>
      <c r="C7" s="3" t="s">
        <v>35</v>
      </c>
      <c r="D7" s="3" t="s">
        <v>15</v>
      </c>
      <c r="E7" s="3" t="s">
        <v>43</v>
      </c>
      <c r="F7" s="3" t="s">
        <v>44</v>
      </c>
      <c r="G7" s="14">
        <v>1</v>
      </c>
      <c r="H7" s="14">
        <v>1</v>
      </c>
      <c r="I7" s="14">
        <v>0</v>
      </c>
      <c r="J7" s="3" t="s">
        <v>38</v>
      </c>
      <c r="K7" s="3" t="s">
        <v>39</v>
      </c>
      <c r="L7" s="3" t="s">
        <v>40</v>
      </c>
      <c r="M7" s="15">
        <v>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13">
        <v>2001</v>
      </c>
      <c r="B8" s="32">
        <v>36993</v>
      </c>
      <c r="C8" s="3" t="s">
        <v>45</v>
      </c>
      <c r="D8" s="3" t="s">
        <v>17</v>
      </c>
      <c r="E8" s="3" t="s">
        <v>46</v>
      </c>
      <c r="F8" s="3" t="s">
        <v>47</v>
      </c>
      <c r="G8" s="14">
        <v>1</v>
      </c>
      <c r="H8" s="14">
        <v>1</v>
      </c>
      <c r="I8" s="14">
        <v>0</v>
      </c>
      <c r="J8" s="3" t="s">
        <v>38</v>
      </c>
      <c r="K8" s="3" t="s">
        <v>39</v>
      </c>
      <c r="L8" s="3" t="s">
        <v>40</v>
      </c>
      <c r="M8" s="15">
        <v>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13">
        <v>2001</v>
      </c>
      <c r="B9" s="32">
        <v>36994</v>
      </c>
      <c r="C9" s="3" t="s">
        <v>48</v>
      </c>
      <c r="D9" s="3" t="s">
        <v>17</v>
      </c>
      <c r="E9" s="3" t="s">
        <v>49</v>
      </c>
      <c r="F9" s="3" t="s">
        <v>50</v>
      </c>
      <c r="G9" s="14">
        <v>1</v>
      </c>
      <c r="H9" s="14">
        <v>1</v>
      </c>
      <c r="I9" s="14">
        <v>0</v>
      </c>
      <c r="J9" s="3" t="s">
        <v>38</v>
      </c>
      <c r="K9" s="3" t="s">
        <v>39</v>
      </c>
      <c r="L9" s="3" t="s">
        <v>40</v>
      </c>
      <c r="M9" s="15">
        <v>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13">
        <v>2001</v>
      </c>
      <c r="B10" s="32">
        <v>37012</v>
      </c>
      <c r="C10" s="3" t="s">
        <v>51</v>
      </c>
      <c r="D10" s="3" t="s">
        <v>17</v>
      </c>
      <c r="E10" s="3" t="s">
        <v>52</v>
      </c>
      <c r="F10" s="3" t="s">
        <v>53</v>
      </c>
      <c r="G10" s="14">
        <v>1</v>
      </c>
      <c r="H10" s="14">
        <v>1</v>
      </c>
      <c r="I10" s="14">
        <v>0</v>
      </c>
      <c r="J10" s="3" t="s">
        <v>38</v>
      </c>
      <c r="K10" s="3" t="s">
        <v>39</v>
      </c>
      <c r="L10" s="3" t="s">
        <v>40</v>
      </c>
      <c r="M10" s="15">
        <v>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13">
        <v>2001</v>
      </c>
      <c r="B11" s="32">
        <v>37039</v>
      </c>
      <c r="C11" s="3" t="s">
        <v>35</v>
      </c>
      <c r="D11" s="3" t="s">
        <v>17</v>
      </c>
      <c r="E11" s="3" t="s">
        <v>54</v>
      </c>
      <c r="F11" s="3" t="s">
        <v>55</v>
      </c>
      <c r="G11" s="14">
        <v>1</v>
      </c>
      <c r="H11" s="14">
        <v>1</v>
      </c>
      <c r="I11" s="14">
        <v>0</v>
      </c>
      <c r="J11" s="3" t="s">
        <v>38</v>
      </c>
      <c r="K11" s="3" t="s">
        <v>39</v>
      </c>
      <c r="L11" s="3" t="s">
        <v>40</v>
      </c>
      <c r="M11" s="15">
        <v>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13">
        <v>2001</v>
      </c>
      <c r="B12" s="32">
        <v>37060</v>
      </c>
      <c r="C12" s="3" t="s">
        <v>35</v>
      </c>
      <c r="D12" s="3" t="s">
        <v>17</v>
      </c>
      <c r="E12" s="3" t="s">
        <v>56</v>
      </c>
      <c r="F12" s="3" t="s">
        <v>57</v>
      </c>
      <c r="G12" s="14">
        <v>1</v>
      </c>
      <c r="H12" s="14">
        <v>1</v>
      </c>
      <c r="I12" s="14">
        <v>0</v>
      </c>
      <c r="J12" s="3" t="s">
        <v>38</v>
      </c>
      <c r="K12" s="3" t="s">
        <v>39</v>
      </c>
      <c r="L12" s="3" t="s">
        <v>40</v>
      </c>
      <c r="M12" s="15">
        <v>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>
      <c r="A13" s="13">
        <v>2001</v>
      </c>
      <c r="B13" s="32">
        <v>37067</v>
      </c>
      <c r="C13" s="3" t="s">
        <v>35</v>
      </c>
      <c r="D13" s="3" t="s">
        <v>17</v>
      </c>
      <c r="E13" s="3" t="s">
        <v>58</v>
      </c>
      <c r="F13" s="3" t="s">
        <v>59</v>
      </c>
      <c r="G13" s="14">
        <v>1</v>
      </c>
      <c r="H13" s="14">
        <v>1</v>
      </c>
      <c r="I13" s="14">
        <v>0</v>
      </c>
      <c r="J13" s="3" t="s">
        <v>38</v>
      </c>
      <c r="K13" s="3" t="s">
        <v>39</v>
      </c>
      <c r="L13" s="3" t="s">
        <v>40</v>
      </c>
      <c r="M13" s="15">
        <v>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13">
        <v>2001</v>
      </c>
      <c r="B14" s="32">
        <v>37074</v>
      </c>
      <c r="C14" s="3" t="s">
        <v>35</v>
      </c>
      <c r="D14" s="3" t="s">
        <v>19</v>
      </c>
      <c r="E14" s="3" t="s">
        <v>60</v>
      </c>
      <c r="F14" s="3" t="s">
        <v>61</v>
      </c>
      <c r="G14" s="14">
        <v>1</v>
      </c>
      <c r="H14" s="14">
        <v>1</v>
      </c>
      <c r="I14" s="14">
        <v>0</v>
      </c>
      <c r="J14" s="3" t="s">
        <v>38</v>
      </c>
      <c r="K14" s="3" t="s">
        <v>39</v>
      </c>
      <c r="L14" s="3" t="s">
        <v>40</v>
      </c>
      <c r="M14" s="15">
        <v>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6">
      <c r="A15" s="13">
        <v>2001</v>
      </c>
      <c r="B15" s="32">
        <v>37092</v>
      </c>
      <c r="C15" s="3" t="s">
        <v>48</v>
      </c>
      <c r="D15" s="3" t="s">
        <v>19</v>
      </c>
      <c r="E15" s="3" t="s">
        <v>62</v>
      </c>
      <c r="F15" s="3" t="s">
        <v>63</v>
      </c>
      <c r="G15" s="14">
        <v>1</v>
      </c>
      <c r="H15" s="14">
        <v>1</v>
      </c>
      <c r="I15" s="14">
        <v>0</v>
      </c>
      <c r="J15" s="3" t="s">
        <v>38</v>
      </c>
      <c r="K15" s="3" t="s">
        <v>39</v>
      </c>
      <c r="L15" s="3" t="s">
        <v>40</v>
      </c>
      <c r="M15" s="15">
        <v>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6">
      <c r="A16" s="13">
        <v>2001</v>
      </c>
      <c r="B16" s="32">
        <v>37110</v>
      </c>
      <c r="C16" s="3" t="s">
        <v>51</v>
      </c>
      <c r="D16" s="3" t="s">
        <v>19</v>
      </c>
      <c r="E16" s="3" t="s">
        <v>64</v>
      </c>
      <c r="F16" s="3" t="s">
        <v>65</v>
      </c>
      <c r="G16" s="14">
        <v>1</v>
      </c>
      <c r="H16" s="14">
        <v>1</v>
      </c>
      <c r="I16" s="14">
        <v>0</v>
      </c>
      <c r="J16" s="3" t="s">
        <v>38</v>
      </c>
      <c r="K16" s="3" t="s">
        <v>39</v>
      </c>
      <c r="L16" s="3" t="s">
        <v>40</v>
      </c>
      <c r="M16" s="15">
        <v>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6">
      <c r="A17" s="13">
        <v>2001</v>
      </c>
      <c r="B17" s="32">
        <v>37123</v>
      </c>
      <c r="C17" s="3" t="s">
        <v>35</v>
      </c>
      <c r="D17" s="3" t="s">
        <v>19</v>
      </c>
      <c r="E17" s="3" t="s">
        <v>66</v>
      </c>
      <c r="F17" s="3" t="s">
        <v>67</v>
      </c>
      <c r="G17" s="14">
        <v>1</v>
      </c>
      <c r="H17" s="14">
        <v>1</v>
      </c>
      <c r="I17" s="14">
        <v>0</v>
      </c>
      <c r="J17" s="3" t="s">
        <v>38</v>
      </c>
      <c r="K17" s="3" t="s">
        <v>39</v>
      </c>
      <c r="L17" s="3" t="s">
        <v>40</v>
      </c>
      <c r="M17" s="15">
        <v>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6">
      <c r="A18" s="13">
        <v>2001</v>
      </c>
      <c r="B18" s="32">
        <v>37179</v>
      </c>
      <c r="C18" s="3" t="s">
        <v>35</v>
      </c>
      <c r="D18" s="3" t="s">
        <v>20</v>
      </c>
      <c r="E18" s="3" t="s">
        <v>68</v>
      </c>
      <c r="F18" s="3" t="s">
        <v>69</v>
      </c>
      <c r="G18" s="14">
        <v>1</v>
      </c>
      <c r="H18" s="14">
        <v>1</v>
      </c>
      <c r="I18" s="14">
        <v>0</v>
      </c>
      <c r="J18" s="3" t="s">
        <v>38</v>
      </c>
      <c r="K18" s="3" t="s">
        <v>39</v>
      </c>
      <c r="L18" s="3" t="s">
        <v>40</v>
      </c>
      <c r="M18" s="15">
        <v>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6">
      <c r="A19" s="13">
        <v>2001</v>
      </c>
      <c r="B19" s="32">
        <v>37200</v>
      </c>
      <c r="C19" s="3" t="s">
        <v>35</v>
      </c>
      <c r="D19" s="3" t="s">
        <v>20</v>
      </c>
      <c r="E19" s="3" t="s">
        <v>70</v>
      </c>
      <c r="F19" s="3" t="s">
        <v>71</v>
      </c>
      <c r="G19" s="14">
        <v>1</v>
      </c>
      <c r="H19" s="14">
        <v>1</v>
      </c>
      <c r="I19" s="14">
        <v>0</v>
      </c>
      <c r="J19" s="3" t="s">
        <v>38</v>
      </c>
      <c r="K19" s="3" t="s">
        <v>39</v>
      </c>
      <c r="L19" s="3" t="s">
        <v>40</v>
      </c>
      <c r="M19" s="15">
        <v>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6">
      <c r="A20" s="13">
        <v>2001</v>
      </c>
      <c r="B20" s="32">
        <v>37207</v>
      </c>
      <c r="C20" s="3" t="s">
        <v>35</v>
      </c>
      <c r="D20" s="3" t="s">
        <v>20</v>
      </c>
      <c r="E20" s="3" t="s">
        <v>72</v>
      </c>
      <c r="F20" s="3" t="s">
        <v>73</v>
      </c>
      <c r="G20" s="14">
        <v>1</v>
      </c>
      <c r="H20" s="14">
        <v>1</v>
      </c>
      <c r="I20" s="14">
        <v>0</v>
      </c>
      <c r="J20" s="3" t="s">
        <v>38</v>
      </c>
      <c r="K20" s="3" t="s">
        <v>39</v>
      </c>
      <c r="L20" s="3" t="s">
        <v>40</v>
      </c>
      <c r="M20" s="15">
        <v>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6">
      <c r="A21" s="13">
        <v>2001</v>
      </c>
      <c r="B21" s="32">
        <v>37233</v>
      </c>
      <c r="C21" s="3" t="s">
        <v>74</v>
      </c>
      <c r="D21" s="3" t="s">
        <v>20</v>
      </c>
      <c r="E21" s="3" t="s">
        <v>75</v>
      </c>
      <c r="F21" s="3" t="s">
        <v>76</v>
      </c>
      <c r="G21" s="14">
        <v>1</v>
      </c>
      <c r="H21" s="14">
        <v>1</v>
      </c>
      <c r="I21" s="14">
        <v>0</v>
      </c>
      <c r="J21" s="3" t="s">
        <v>38</v>
      </c>
      <c r="K21" s="3" t="s">
        <v>39</v>
      </c>
      <c r="L21" s="3" t="s">
        <v>40</v>
      </c>
      <c r="M21" s="15">
        <v>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6">
      <c r="A22" s="13">
        <v>2001</v>
      </c>
      <c r="B22" s="32">
        <v>37250</v>
      </c>
      <c r="C22" s="3" t="s">
        <v>51</v>
      </c>
      <c r="D22" s="3" t="s">
        <v>20</v>
      </c>
      <c r="E22" s="3" t="s">
        <v>77</v>
      </c>
      <c r="F22" s="3" t="s">
        <v>78</v>
      </c>
      <c r="G22" s="14">
        <v>1</v>
      </c>
      <c r="H22" s="14">
        <v>1</v>
      </c>
      <c r="I22" s="14">
        <v>0</v>
      </c>
      <c r="J22" s="3" t="s">
        <v>38</v>
      </c>
      <c r="K22" s="3" t="s">
        <v>39</v>
      </c>
      <c r="L22" s="3" t="s">
        <v>40</v>
      </c>
      <c r="M22" s="15">
        <v>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13">
        <v>2002</v>
      </c>
      <c r="B23" s="32">
        <v>37257</v>
      </c>
      <c r="C23" s="3" t="s">
        <v>51</v>
      </c>
      <c r="D23" s="3" t="s">
        <v>15</v>
      </c>
      <c r="E23" s="3" t="s">
        <v>36</v>
      </c>
      <c r="F23" s="3" t="s">
        <v>79</v>
      </c>
      <c r="G23" s="14">
        <v>1</v>
      </c>
      <c r="H23" s="14">
        <v>1</v>
      </c>
      <c r="I23" s="14">
        <v>0</v>
      </c>
      <c r="J23" s="3" t="s">
        <v>38</v>
      </c>
      <c r="K23" s="3" t="s">
        <v>39</v>
      </c>
      <c r="L23" s="3" t="s">
        <v>40</v>
      </c>
      <c r="M23" s="15">
        <v>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6">
      <c r="A24" s="13">
        <v>2002</v>
      </c>
      <c r="B24" s="32">
        <v>37263</v>
      </c>
      <c r="C24" s="3" t="s">
        <v>35</v>
      </c>
      <c r="D24" s="3" t="s">
        <v>15</v>
      </c>
      <c r="E24" s="3" t="s">
        <v>41</v>
      </c>
      <c r="F24" s="3" t="s">
        <v>80</v>
      </c>
      <c r="G24" s="14">
        <v>1</v>
      </c>
      <c r="H24" s="14">
        <v>1</v>
      </c>
      <c r="I24" s="14">
        <v>0</v>
      </c>
      <c r="J24" s="3" t="s">
        <v>38</v>
      </c>
      <c r="K24" s="3" t="s">
        <v>39</v>
      </c>
      <c r="L24" s="3" t="s">
        <v>40</v>
      </c>
      <c r="M24" s="15">
        <v>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6">
      <c r="A25" s="13">
        <v>2002</v>
      </c>
      <c r="B25" s="32">
        <v>37340</v>
      </c>
      <c r="C25" s="3" t="s">
        <v>35</v>
      </c>
      <c r="D25" s="3" t="s">
        <v>15</v>
      </c>
      <c r="E25" s="3" t="s">
        <v>43</v>
      </c>
      <c r="F25" s="3" t="s">
        <v>81</v>
      </c>
      <c r="G25" s="14">
        <v>1</v>
      </c>
      <c r="H25" s="14">
        <v>1</v>
      </c>
      <c r="I25" s="14">
        <v>0</v>
      </c>
      <c r="J25" s="3" t="s">
        <v>38</v>
      </c>
      <c r="K25" s="3" t="s">
        <v>39</v>
      </c>
      <c r="L25" s="3" t="s">
        <v>40</v>
      </c>
      <c r="M25" s="15">
        <v>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6">
      <c r="A26" s="13">
        <v>2002</v>
      </c>
      <c r="B26" s="32">
        <v>37343</v>
      </c>
      <c r="C26" s="3" t="s">
        <v>45</v>
      </c>
      <c r="D26" s="3" t="s">
        <v>15</v>
      </c>
      <c r="E26" s="3" t="s">
        <v>46</v>
      </c>
      <c r="F26" s="3" t="s">
        <v>82</v>
      </c>
      <c r="G26" s="14">
        <v>1</v>
      </c>
      <c r="H26" s="14">
        <v>1</v>
      </c>
      <c r="I26" s="14">
        <v>0</v>
      </c>
      <c r="J26" s="3" t="s">
        <v>38</v>
      </c>
      <c r="K26" s="3" t="s">
        <v>39</v>
      </c>
      <c r="L26" s="3" t="s">
        <v>40</v>
      </c>
      <c r="M26" s="15">
        <v>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6">
      <c r="A27" s="13">
        <v>2002</v>
      </c>
      <c r="B27" s="32">
        <v>37344</v>
      </c>
      <c r="C27" s="3" t="s">
        <v>48</v>
      </c>
      <c r="D27" s="3" t="s">
        <v>15</v>
      </c>
      <c r="E27" s="3" t="s">
        <v>49</v>
      </c>
      <c r="F27" s="3" t="s">
        <v>83</v>
      </c>
      <c r="G27" s="14">
        <v>1</v>
      </c>
      <c r="H27" s="14">
        <v>1</v>
      </c>
      <c r="I27" s="14">
        <v>0</v>
      </c>
      <c r="J27" s="3" t="s">
        <v>38</v>
      </c>
      <c r="K27" s="3" t="s">
        <v>39</v>
      </c>
      <c r="L27" s="3" t="s">
        <v>40</v>
      </c>
      <c r="M27" s="15">
        <v>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6">
      <c r="A28" s="13">
        <v>2002</v>
      </c>
      <c r="B28" s="32">
        <v>37377</v>
      </c>
      <c r="C28" s="3" t="s">
        <v>84</v>
      </c>
      <c r="D28" s="3" t="s">
        <v>17</v>
      </c>
      <c r="E28" s="3" t="s">
        <v>52</v>
      </c>
      <c r="F28" s="3" t="s">
        <v>85</v>
      </c>
      <c r="G28" s="14">
        <v>1</v>
      </c>
      <c r="H28" s="14">
        <v>1</v>
      </c>
      <c r="I28" s="14">
        <v>0</v>
      </c>
      <c r="J28" s="3" t="s">
        <v>38</v>
      </c>
      <c r="K28" s="3" t="s">
        <v>39</v>
      </c>
      <c r="L28" s="3" t="s">
        <v>40</v>
      </c>
      <c r="M28" s="15">
        <v>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6">
      <c r="A29" s="13">
        <v>2002</v>
      </c>
      <c r="B29" s="32">
        <v>37389</v>
      </c>
      <c r="C29" s="3" t="s">
        <v>35</v>
      </c>
      <c r="D29" s="3" t="s">
        <v>17</v>
      </c>
      <c r="E29" s="3" t="s">
        <v>54</v>
      </c>
      <c r="F29" s="3" t="s">
        <v>86</v>
      </c>
      <c r="G29" s="14">
        <v>1</v>
      </c>
      <c r="H29" s="14">
        <v>1</v>
      </c>
      <c r="I29" s="14">
        <v>0</v>
      </c>
      <c r="J29" s="3" t="s">
        <v>38</v>
      </c>
      <c r="K29" s="3" t="s">
        <v>39</v>
      </c>
      <c r="L29" s="3" t="s">
        <v>40</v>
      </c>
      <c r="M29" s="15">
        <v>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6">
      <c r="A30" s="13">
        <v>2002</v>
      </c>
      <c r="B30" s="32">
        <v>37410</v>
      </c>
      <c r="C30" s="3" t="s">
        <v>35</v>
      </c>
      <c r="D30" s="3" t="s">
        <v>17</v>
      </c>
      <c r="E30" s="3" t="s">
        <v>56</v>
      </c>
      <c r="F30" s="3" t="s">
        <v>87</v>
      </c>
      <c r="G30" s="14">
        <v>1</v>
      </c>
      <c r="H30" s="14">
        <v>1</v>
      </c>
      <c r="I30" s="14">
        <v>0</v>
      </c>
      <c r="J30" s="3" t="s">
        <v>38</v>
      </c>
      <c r="K30" s="3" t="s">
        <v>39</v>
      </c>
      <c r="L30" s="3" t="s">
        <v>40</v>
      </c>
      <c r="M30" s="15">
        <v>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6">
      <c r="A31" s="13">
        <v>2002</v>
      </c>
      <c r="B31" s="32">
        <v>37417</v>
      </c>
      <c r="C31" s="3" t="s">
        <v>35</v>
      </c>
      <c r="D31" s="3" t="s">
        <v>17</v>
      </c>
      <c r="E31" s="3" t="s">
        <v>58</v>
      </c>
      <c r="F31" s="3" t="s">
        <v>88</v>
      </c>
      <c r="G31" s="14">
        <v>1</v>
      </c>
      <c r="H31" s="14">
        <v>1</v>
      </c>
      <c r="I31" s="14">
        <v>0</v>
      </c>
      <c r="J31" s="3" t="s">
        <v>38</v>
      </c>
      <c r="K31" s="3" t="s">
        <v>39</v>
      </c>
      <c r="L31" s="3" t="s">
        <v>40</v>
      </c>
      <c r="M31" s="15">
        <v>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6">
      <c r="A32" s="13">
        <v>2002</v>
      </c>
      <c r="B32" s="32">
        <v>37438</v>
      </c>
      <c r="C32" s="3" t="s">
        <v>35</v>
      </c>
      <c r="D32" s="3" t="s">
        <v>19</v>
      </c>
      <c r="E32" s="3" t="s">
        <v>60</v>
      </c>
      <c r="F32" s="3" t="s">
        <v>89</v>
      </c>
      <c r="G32" s="14">
        <v>1</v>
      </c>
      <c r="H32" s="14">
        <v>1</v>
      </c>
      <c r="I32" s="14">
        <v>0</v>
      </c>
      <c r="J32" s="3" t="s">
        <v>38</v>
      </c>
      <c r="K32" s="3" t="s">
        <v>39</v>
      </c>
      <c r="L32" s="3" t="s">
        <v>40</v>
      </c>
      <c r="M32" s="15">
        <v>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6">
      <c r="A33" s="13">
        <v>2002</v>
      </c>
      <c r="B33" s="32">
        <v>37457</v>
      </c>
      <c r="C33" s="3" t="s">
        <v>74</v>
      </c>
      <c r="D33" s="3" t="s">
        <v>19</v>
      </c>
      <c r="E33" s="3" t="s">
        <v>62</v>
      </c>
      <c r="F33" s="3" t="s">
        <v>90</v>
      </c>
      <c r="G33" s="14">
        <v>1</v>
      </c>
      <c r="H33" s="14">
        <v>1</v>
      </c>
      <c r="I33" s="14">
        <v>0</v>
      </c>
      <c r="J33" s="3" t="s">
        <v>38</v>
      </c>
      <c r="K33" s="3" t="s">
        <v>39</v>
      </c>
      <c r="L33" s="3" t="s">
        <v>40</v>
      </c>
      <c r="M33" s="15">
        <v>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6">
      <c r="A34" s="13">
        <v>2002</v>
      </c>
      <c r="B34" s="32">
        <v>37475</v>
      </c>
      <c r="C34" s="3" t="s">
        <v>84</v>
      </c>
      <c r="D34" s="3" t="s">
        <v>19</v>
      </c>
      <c r="E34" s="3" t="s">
        <v>64</v>
      </c>
      <c r="F34" s="3" t="s">
        <v>91</v>
      </c>
      <c r="G34" s="14">
        <v>1</v>
      </c>
      <c r="H34" s="14">
        <v>1</v>
      </c>
      <c r="I34" s="14">
        <v>0</v>
      </c>
      <c r="J34" s="3" t="s">
        <v>38</v>
      </c>
      <c r="K34" s="3" t="s">
        <v>39</v>
      </c>
      <c r="L34" s="3" t="s">
        <v>40</v>
      </c>
      <c r="M34" s="15">
        <v>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6">
      <c r="A35" s="13">
        <v>2002</v>
      </c>
      <c r="B35" s="32">
        <v>37487</v>
      </c>
      <c r="C35" s="3" t="s">
        <v>35</v>
      </c>
      <c r="D35" s="3" t="s">
        <v>19</v>
      </c>
      <c r="E35" s="3" t="s">
        <v>66</v>
      </c>
      <c r="F35" s="3" t="s">
        <v>92</v>
      </c>
      <c r="G35" s="14">
        <v>1</v>
      </c>
      <c r="H35" s="14">
        <v>1</v>
      </c>
      <c r="I35" s="14">
        <v>0</v>
      </c>
      <c r="J35" s="3" t="s">
        <v>38</v>
      </c>
      <c r="K35" s="3" t="s">
        <v>39</v>
      </c>
      <c r="L35" s="3" t="s">
        <v>40</v>
      </c>
      <c r="M35" s="15">
        <v>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6">
      <c r="A36" s="13">
        <v>2002</v>
      </c>
      <c r="B36" s="32">
        <v>37543</v>
      </c>
      <c r="C36" s="3" t="s">
        <v>35</v>
      </c>
      <c r="D36" s="3" t="s">
        <v>20</v>
      </c>
      <c r="E36" s="3" t="s">
        <v>68</v>
      </c>
      <c r="F36" s="3" t="s">
        <v>93</v>
      </c>
      <c r="G36" s="14">
        <v>1</v>
      </c>
      <c r="H36" s="14">
        <v>1</v>
      </c>
      <c r="I36" s="14">
        <v>0</v>
      </c>
      <c r="J36" s="3" t="s">
        <v>38</v>
      </c>
      <c r="K36" s="3" t="s">
        <v>39</v>
      </c>
      <c r="L36" s="3" t="s">
        <v>40</v>
      </c>
      <c r="M36" s="15">
        <v>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6">
      <c r="A37" s="13">
        <v>2002</v>
      </c>
      <c r="B37" s="32">
        <v>37564</v>
      </c>
      <c r="C37" s="3" t="s">
        <v>35</v>
      </c>
      <c r="D37" s="3" t="s">
        <v>20</v>
      </c>
      <c r="E37" s="3" t="s">
        <v>70</v>
      </c>
      <c r="F37" s="3" t="s">
        <v>94</v>
      </c>
      <c r="G37" s="14">
        <v>1</v>
      </c>
      <c r="H37" s="14">
        <v>1</v>
      </c>
      <c r="I37" s="14">
        <v>0</v>
      </c>
      <c r="J37" s="3" t="s">
        <v>38</v>
      </c>
      <c r="K37" s="3" t="s">
        <v>39</v>
      </c>
      <c r="L37" s="3" t="s">
        <v>40</v>
      </c>
      <c r="M37" s="15">
        <v>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6">
      <c r="A38" s="13">
        <v>2002</v>
      </c>
      <c r="B38" s="32">
        <v>37571</v>
      </c>
      <c r="C38" s="3" t="s">
        <v>35</v>
      </c>
      <c r="D38" s="3" t="s">
        <v>20</v>
      </c>
      <c r="E38" s="3" t="s">
        <v>72</v>
      </c>
      <c r="F38" s="3" t="s">
        <v>95</v>
      </c>
      <c r="G38" s="14">
        <v>1</v>
      </c>
      <c r="H38" s="14">
        <v>1</v>
      </c>
      <c r="I38" s="14">
        <v>0</v>
      </c>
      <c r="J38" s="3" t="s">
        <v>38</v>
      </c>
      <c r="K38" s="3" t="s">
        <v>39</v>
      </c>
      <c r="L38" s="3" t="s">
        <v>40</v>
      </c>
      <c r="M38" s="15">
        <v>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6">
      <c r="A39" s="13">
        <v>2002</v>
      </c>
      <c r="B39" s="32">
        <v>37598</v>
      </c>
      <c r="C39" s="3" t="s">
        <v>96</v>
      </c>
      <c r="D39" s="3" t="s">
        <v>20</v>
      </c>
      <c r="E39" s="3" t="s">
        <v>75</v>
      </c>
      <c r="F39" s="3" t="s">
        <v>97</v>
      </c>
      <c r="G39" s="14">
        <v>1</v>
      </c>
      <c r="H39" s="14">
        <v>0</v>
      </c>
      <c r="I39" s="14">
        <v>0</v>
      </c>
      <c r="J39" s="3" t="s">
        <v>98</v>
      </c>
      <c r="K39" s="3" t="s">
        <v>39</v>
      </c>
      <c r="L39" s="3" t="s">
        <v>40</v>
      </c>
      <c r="M39" s="15">
        <v>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6">
      <c r="A40" s="13">
        <v>2002</v>
      </c>
      <c r="B40" s="32">
        <v>37615</v>
      </c>
      <c r="C40" s="3" t="s">
        <v>84</v>
      </c>
      <c r="D40" s="3" t="s">
        <v>20</v>
      </c>
      <c r="E40" s="3" t="s">
        <v>77</v>
      </c>
      <c r="F40" s="3" t="s">
        <v>99</v>
      </c>
      <c r="G40" s="14">
        <v>1</v>
      </c>
      <c r="H40" s="14">
        <v>1</v>
      </c>
      <c r="I40" s="14">
        <v>0</v>
      </c>
      <c r="J40" s="3" t="s">
        <v>38</v>
      </c>
      <c r="K40" s="3" t="s">
        <v>39</v>
      </c>
      <c r="L40" s="3" t="s">
        <v>40</v>
      </c>
      <c r="M40" s="15">
        <v>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6">
      <c r="A41" s="13">
        <v>2003</v>
      </c>
      <c r="B41" s="32">
        <v>37622</v>
      </c>
      <c r="C41" s="3" t="s">
        <v>84</v>
      </c>
      <c r="D41" s="3" t="s">
        <v>15</v>
      </c>
      <c r="E41" s="3" t="s">
        <v>36</v>
      </c>
      <c r="F41" s="3" t="s">
        <v>100</v>
      </c>
      <c r="G41" s="14">
        <v>1</v>
      </c>
      <c r="H41" s="14">
        <v>1</v>
      </c>
      <c r="I41" s="14">
        <v>0</v>
      </c>
      <c r="J41" s="3" t="s">
        <v>38</v>
      </c>
      <c r="K41" s="3" t="s">
        <v>39</v>
      </c>
      <c r="L41" s="3" t="s">
        <v>40</v>
      </c>
      <c r="M41" s="15">
        <v>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6">
      <c r="A42" s="13">
        <v>2003</v>
      </c>
      <c r="B42" s="32">
        <v>37627</v>
      </c>
      <c r="C42" s="3" t="s">
        <v>35</v>
      </c>
      <c r="D42" s="3" t="s">
        <v>15</v>
      </c>
      <c r="E42" s="3" t="s">
        <v>41</v>
      </c>
      <c r="F42" s="3" t="s">
        <v>101</v>
      </c>
      <c r="G42" s="14">
        <v>1</v>
      </c>
      <c r="H42" s="14">
        <v>1</v>
      </c>
      <c r="I42" s="14">
        <v>0</v>
      </c>
      <c r="J42" s="3" t="s">
        <v>38</v>
      </c>
      <c r="K42" s="3" t="s">
        <v>39</v>
      </c>
      <c r="L42" s="3" t="s">
        <v>40</v>
      </c>
      <c r="M42" s="15">
        <v>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6">
      <c r="A43" s="13">
        <v>2003</v>
      </c>
      <c r="B43" s="32">
        <v>37704</v>
      </c>
      <c r="C43" s="3" t="s">
        <v>35</v>
      </c>
      <c r="D43" s="3" t="s">
        <v>15</v>
      </c>
      <c r="E43" s="3" t="s">
        <v>43</v>
      </c>
      <c r="F43" s="3" t="s">
        <v>102</v>
      </c>
      <c r="G43" s="14">
        <v>1</v>
      </c>
      <c r="H43" s="14">
        <v>1</v>
      </c>
      <c r="I43" s="14">
        <v>0</v>
      </c>
      <c r="J43" s="3" t="s">
        <v>38</v>
      </c>
      <c r="K43" s="3" t="s">
        <v>39</v>
      </c>
      <c r="L43" s="3" t="s">
        <v>40</v>
      </c>
      <c r="M43" s="15">
        <v>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6">
      <c r="A44" s="13">
        <v>2003</v>
      </c>
      <c r="B44" s="32">
        <v>37728</v>
      </c>
      <c r="C44" s="3" t="s">
        <v>45</v>
      </c>
      <c r="D44" s="3" t="s">
        <v>17</v>
      </c>
      <c r="E44" s="3" t="s">
        <v>46</v>
      </c>
      <c r="F44" s="3" t="s">
        <v>103</v>
      </c>
      <c r="G44" s="14">
        <v>1</v>
      </c>
      <c r="H44" s="14">
        <v>1</v>
      </c>
      <c r="I44" s="14">
        <v>0</v>
      </c>
      <c r="J44" s="3" t="s">
        <v>38</v>
      </c>
      <c r="K44" s="3" t="s">
        <v>39</v>
      </c>
      <c r="L44" s="3" t="s">
        <v>40</v>
      </c>
      <c r="M44" s="15">
        <v>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6">
      <c r="A45" s="13">
        <v>2003</v>
      </c>
      <c r="B45" s="32">
        <v>37729</v>
      </c>
      <c r="C45" s="3" t="s">
        <v>48</v>
      </c>
      <c r="D45" s="3" t="s">
        <v>17</v>
      </c>
      <c r="E45" s="3" t="s">
        <v>49</v>
      </c>
      <c r="F45" s="3" t="s">
        <v>104</v>
      </c>
      <c r="G45" s="14">
        <v>1</v>
      </c>
      <c r="H45" s="14">
        <v>1</v>
      </c>
      <c r="I45" s="14">
        <v>0</v>
      </c>
      <c r="J45" s="3" t="s">
        <v>38</v>
      </c>
      <c r="K45" s="3" t="s">
        <v>39</v>
      </c>
      <c r="L45" s="3" t="s">
        <v>40</v>
      </c>
      <c r="M45" s="15">
        <v>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6">
      <c r="A46" s="13">
        <v>2003</v>
      </c>
      <c r="B46" s="32">
        <v>37742</v>
      </c>
      <c r="C46" s="3" t="s">
        <v>45</v>
      </c>
      <c r="D46" s="3" t="s">
        <v>17</v>
      </c>
      <c r="E46" s="3" t="s">
        <v>52</v>
      </c>
      <c r="F46" s="3" t="s">
        <v>105</v>
      </c>
      <c r="G46" s="14">
        <v>1</v>
      </c>
      <c r="H46" s="14">
        <v>1</v>
      </c>
      <c r="I46" s="14">
        <v>0</v>
      </c>
      <c r="J46" s="3" t="s">
        <v>38</v>
      </c>
      <c r="K46" s="3" t="s">
        <v>39</v>
      </c>
      <c r="L46" s="3" t="s">
        <v>40</v>
      </c>
      <c r="M46" s="15">
        <v>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6">
      <c r="A47" s="13">
        <v>2003</v>
      </c>
      <c r="B47" s="32">
        <v>37774</v>
      </c>
      <c r="C47" s="3" t="s">
        <v>35</v>
      </c>
      <c r="D47" s="3" t="s">
        <v>17</v>
      </c>
      <c r="E47" s="3" t="s">
        <v>54</v>
      </c>
      <c r="F47" s="3" t="s">
        <v>106</v>
      </c>
      <c r="G47" s="14">
        <v>1</v>
      </c>
      <c r="H47" s="14">
        <v>1</v>
      </c>
      <c r="I47" s="14">
        <v>0</v>
      </c>
      <c r="J47" s="3" t="s">
        <v>38</v>
      </c>
      <c r="K47" s="3" t="s">
        <v>39</v>
      </c>
      <c r="L47" s="3" t="s">
        <v>40</v>
      </c>
      <c r="M47" s="15">
        <v>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.6">
      <c r="A48" s="13">
        <v>2003</v>
      </c>
      <c r="B48" s="32">
        <v>37795</v>
      </c>
      <c r="C48" s="3" t="s">
        <v>35</v>
      </c>
      <c r="D48" s="3" t="s">
        <v>17</v>
      </c>
      <c r="E48" s="3" t="s">
        <v>56</v>
      </c>
      <c r="F48" s="3" t="s">
        <v>107</v>
      </c>
      <c r="G48" s="14">
        <v>1</v>
      </c>
      <c r="H48" s="14">
        <v>1</v>
      </c>
      <c r="I48" s="14">
        <v>0</v>
      </c>
      <c r="J48" s="3" t="s">
        <v>38</v>
      </c>
      <c r="K48" s="3" t="s">
        <v>39</v>
      </c>
      <c r="L48" s="3" t="s">
        <v>40</v>
      </c>
      <c r="M48" s="15">
        <v>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6">
      <c r="A49" s="13">
        <v>2003</v>
      </c>
      <c r="B49" s="32">
        <v>37802</v>
      </c>
      <c r="C49" s="3" t="s">
        <v>35</v>
      </c>
      <c r="D49" s="3" t="s">
        <v>17</v>
      </c>
      <c r="E49" s="3" t="s">
        <v>108</v>
      </c>
      <c r="F49" s="3" t="s">
        <v>109</v>
      </c>
      <c r="G49" s="14">
        <v>2</v>
      </c>
      <c r="H49" s="14">
        <v>1</v>
      </c>
      <c r="I49" s="14">
        <v>1</v>
      </c>
      <c r="J49" s="3" t="s">
        <v>38</v>
      </c>
      <c r="K49" s="3" t="s">
        <v>39</v>
      </c>
      <c r="L49" s="3" t="s">
        <v>40</v>
      </c>
      <c r="M49" s="15">
        <v>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6">
      <c r="A50" s="13">
        <v>2003</v>
      </c>
      <c r="B50" s="32">
        <v>37822</v>
      </c>
      <c r="C50" s="3" t="s">
        <v>96</v>
      </c>
      <c r="D50" s="3" t="s">
        <v>19</v>
      </c>
      <c r="E50" s="3" t="s">
        <v>62</v>
      </c>
      <c r="F50" s="3" t="s">
        <v>110</v>
      </c>
      <c r="G50" s="14">
        <v>1</v>
      </c>
      <c r="H50" s="14">
        <v>0</v>
      </c>
      <c r="I50" s="14">
        <v>0</v>
      </c>
      <c r="J50" s="3" t="s">
        <v>98</v>
      </c>
      <c r="K50" s="3" t="s">
        <v>39</v>
      </c>
      <c r="L50" s="3" t="s">
        <v>40</v>
      </c>
      <c r="M50" s="15">
        <v>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6">
      <c r="A51" s="13">
        <v>2003</v>
      </c>
      <c r="B51" s="32">
        <v>37840</v>
      </c>
      <c r="C51" s="3" t="s">
        <v>45</v>
      </c>
      <c r="D51" s="3" t="s">
        <v>19</v>
      </c>
      <c r="E51" s="3" t="s">
        <v>64</v>
      </c>
      <c r="F51" s="3" t="s">
        <v>111</v>
      </c>
      <c r="G51" s="14">
        <v>1</v>
      </c>
      <c r="H51" s="14">
        <v>1</v>
      </c>
      <c r="I51" s="14">
        <v>0</v>
      </c>
      <c r="J51" s="3" t="s">
        <v>38</v>
      </c>
      <c r="K51" s="3" t="s">
        <v>39</v>
      </c>
      <c r="L51" s="3" t="s">
        <v>40</v>
      </c>
      <c r="M51" s="15">
        <v>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6">
      <c r="A52" s="13">
        <v>2003</v>
      </c>
      <c r="B52" s="32">
        <v>37851</v>
      </c>
      <c r="C52" s="3" t="s">
        <v>35</v>
      </c>
      <c r="D52" s="3" t="s">
        <v>19</v>
      </c>
      <c r="E52" s="3" t="s">
        <v>66</v>
      </c>
      <c r="F52" s="3" t="s">
        <v>112</v>
      </c>
      <c r="G52" s="14">
        <v>1</v>
      </c>
      <c r="H52" s="14">
        <v>1</v>
      </c>
      <c r="I52" s="14">
        <v>0</v>
      </c>
      <c r="J52" s="3" t="s">
        <v>38</v>
      </c>
      <c r="K52" s="3" t="s">
        <v>39</v>
      </c>
      <c r="L52" s="3" t="s">
        <v>40</v>
      </c>
      <c r="M52" s="15">
        <v>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.6">
      <c r="A53" s="13">
        <v>2003</v>
      </c>
      <c r="B53" s="32">
        <v>37907</v>
      </c>
      <c r="C53" s="3" t="s">
        <v>35</v>
      </c>
      <c r="D53" s="3" t="s">
        <v>20</v>
      </c>
      <c r="E53" s="3" t="s">
        <v>68</v>
      </c>
      <c r="F53" s="3" t="s">
        <v>113</v>
      </c>
      <c r="G53" s="14">
        <v>1</v>
      </c>
      <c r="H53" s="14">
        <v>1</v>
      </c>
      <c r="I53" s="14">
        <v>0</v>
      </c>
      <c r="J53" s="3" t="s">
        <v>38</v>
      </c>
      <c r="K53" s="3" t="s">
        <v>39</v>
      </c>
      <c r="L53" s="3" t="s">
        <v>40</v>
      </c>
      <c r="M53" s="15">
        <v>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.6">
      <c r="A54" s="13">
        <v>2003</v>
      </c>
      <c r="B54" s="32">
        <v>37928</v>
      </c>
      <c r="C54" s="3" t="s">
        <v>35</v>
      </c>
      <c r="D54" s="3" t="s">
        <v>20</v>
      </c>
      <c r="E54" s="3" t="s">
        <v>70</v>
      </c>
      <c r="F54" s="3" t="s">
        <v>114</v>
      </c>
      <c r="G54" s="14">
        <v>1</v>
      </c>
      <c r="H54" s="14">
        <v>1</v>
      </c>
      <c r="I54" s="14">
        <v>0</v>
      </c>
      <c r="J54" s="3" t="s">
        <v>38</v>
      </c>
      <c r="K54" s="3" t="s">
        <v>39</v>
      </c>
      <c r="L54" s="3" t="s">
        <v>40</v>
      </c>
      <c r="M54" s="15">
        <v>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.6">
      <c r="A55" s="13">
        <v>2003</v>
      </c>
      <c r="B55" s="32">
        <v>37942</v>
      </c>
      <c r="C55" s="3" t="s">
        <v>35</v>
      </c>
      <c r="D55" s="3" t="s">
        <v>20</v>
      </c>
      <c r="E55" s="3" t="s">
        <v>72</v>
      </c>
      <c r="F55" s="3" t="s">
        <v>115</v>
      </c>
      <c r="G55" s="14">
        <v>1</v>
      </c>
      <c r="H55" s="14">
        <v>1</v>
      </c>
      <c r="I55" s="14">
        <v>0</v>
      </c>
      <c r="J55" s="3" t="s">
        <v>38</v>
      </c>
      <c r="K55" s="3" t="s">
        <v>39</v>
      </c>
      <c r="L55" s="3" t="s">
        <v>40</v>
      </c>
      <c r="M55" s="15">
        <v>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6">
      <c r="A56" s="13">
        <v>2003</v>
      </c>
      <c r="B56" s="32">
        <v>37963</v>
      </c>
      <c r="C56" s="3" t="s">
        <v>35</v>
      </c>
      <c r="D56" s="3" t="s">
        <v>20</v>
      </c>
      <c r="E56" s="3" t="s">
        <v>75</v>
      </c>
      <c r="F56" s="3" t="s">
        <v>116</v>
      </c>
      <c r="G56" s="14">
        <v>1</v>
      </c>
      <c r="H56" s="14">
        <v>1</v>
      </c>
      <c r="I56" s="14">
        <v>0</v>
      </c>
      <c r="J56" s="3" t="s">
        <v>38</v>
      </c>
      <c r="K56" s="3" t="s">
        <v>39</v>
      </c>
      <c r="L56" s="3" t="s">
        <v>40</v>
      </c>
      <c r="M56" s="15">
        <v>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6">
      <c r="A57" s="13">
        <v>2003</v>
      </c>
      <c r="B57" s="32">
        <v>37980</v>
      </c>
      <c r="C57" s="3" t="s">
        <v>45</v>
      </c>
      <c r="D57" s="3" t="s">
        <v>20</v>
      </c>
      <c r="E57" s="3" t="s">
        <v>77</v>
      </c>
      <c r="F57" s="3" t="s">
        <v>117</v>
      </c>
      <c r="G57" s="14">
        <v>1</v>
      </c>
      <c r="H57" s="14">
        <v>1</v>
      </c>
      <c r="I57" s="14">
        <v>0</v>
      </c>
      <c r="J57" s="3" t="s">
        <v>38</v>
      </c>
      <c r="K57" s="3" t="s">
        <v>39</v>
      </c>
      <c r="L57" s="3" t="s">
        <v>40</v>
      </c>
      <c r="M57" s="15">
        <v>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6">
      <c r="A58" s="13">
        <v>2004</v>
      </c>
      <c r="B58" s="32">
        <v>37987</v>
      </c>
      <c r="C58" s="3" t="s">
        <v>45</v>
      </c>
      <c r="D58" s="3" t="s">
        <v>15</v>
      </c>
      <c r="E58" s="3" t="s">
        <v>36</v>
      </c>
      <c r="F58" s="3" t="s">
        <v>118</v>
      </c>
      <c r="G58" s="14">
        <v>1</v>
      </c>
      <c r="H58" s="14">
        <v>1</v>
      </c>
      <c r="I58" s="14">
        <v>0</v>
      </c>
      <c r="J58" s="3" t="s">
        <v>38</v>
      </c>
      <c r="K58" s="3" t="s">
        <v>39</v>
      </c>
      <c r="L58" s="3" t="s">
        <v>40</v>
      </c>
      <c r="M58" s="15">
        <v>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6">
      <c r="A59" s="13">
        <v>2004</v>
      </c>
      <c r="B59" s="32">
        <v>37998</v>
      </c>
      <c r="C59" s="3" t="s">
        <v>35</v>
      </c>
      <c r="D59" s="3" t="s">
        <v>15</v>
      </c>
      <c r="E59" s="3" t="s">
        <v>41</v>
      </c>
      <c r="F59" s="3" t="s">
        <v>119</v>
      </c>
      <c r="G59" s="14">
        <v>1</v>
      </c>
      <c r="H59" s="14">
        <v>1</v>
      </c>
      <c r="I59" s="14">
        <v>0</v>
      </c>
      <c r="J59" s="3" t="s">
        <v>38</v>
      </c>
      <c r="K59" s="3" t="s">
        <v>39</v>
      </c>
      <c r="L59" s="3" t="s">
        <v>40</v>
      </c>
      <c r="M59" s="15">
        <v>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6">
      <c r="A60" s="13">
        <v>2004</v>
      </c>
      <c r="B60" s="32">
        <v>38068</v>
      </c>
      <c r="C60" s="3" t="s">
        <v>35</v>
      </c>
      <c r="D60" s="3" t="s">
        <v>15</v>
      </c>
      <c r="E60" s="3" t="s">
        <v>43</v>
      </c>
      <c r="F60" s="3" t="s">
        <v>120</v>
      </c>
      <c r="G60" s="14">
        <v>1</v>
      </c>
      <c r="H60" s="14">
        <v>1</v>
      </c>
      <c r="I60" s="14">
        <v>0</v>
      </c>
      <c r="J60" s="3" t="s">
        <v>38</v>
      </c>
      <c r="K60" s="3" t="s">
        <v>39</v>
      </c>
      <c r="L60" s="3" t="s">
        <v>40</v>
      </c>
      <c r="M60" s="15">
        <v>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6">
      <c r="A61" s="13">
        <v>2004</v>
      </c>
      <c r="B61" s="32">
        <v>38085</v>
      </c>
      <c r="C61" s="3" t="s">
        <v>45</v>
      </c>
      <c r="D61" s="3" t="s">
        <v>17</v>
      </c>
      <c r="E61" s="3" t="s">
        <v>46</v>
      </c>
      <c r="F61" s="3" t="s">
        <v>121</v>
      </c>
      <c r="G61" s="14">
        <v>1</v>
      </c>
      <c r="H61" s="14">
        <v>1</v>
      </c>
      <c r="I61" s="14">
        <v>0</v>
      </c>
      <c r="J61" s="3" t="s">
        <v>38</v>
      </c>
      <c r="K61" s="3" t="s">
        <v>39</v>
      </c>
      <c r="L61" s="3" t="s">
        <v>40</v>
      </c>
      <c r="M61" s="15">
        <v>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6">
      <c r="A62" s="13">
        <v>2004</v>
      </c>
      <c r="B62" s="32">
        <v>38086</v>
      </c>
      <c r="C62" s="3" t="s">
        <v>48</v>
      </c>
      <c r="D62" s="3" t="s">
        <v>17</v>
      </c>
      <c r="E62" s="3" t="s">
        <v>49</v>
      </c>
      <c r="F62" s="3" t="s">
        <v>122</v>
      </c>
      <c r="G62" s="14">
        <v>1</v>
      </c>
      <c r="H62" s="14">
        <v>1</v>
      </c>
      <c r="I62" s="14">
        <v>0</v>
      </c>
      <c r="J62" s="3" t="s">
        <v>38</v>
      </c>
      <c r="K62" s="3" t="s">
        <v>39</v>
      </c>
      <c r="L62" s="3" t="s">
        <v>40</v>
      </c>
      <c r="M62" s="15">
        <v>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6">
      <c r="A63" s="13">
        <v>2004</v>
      </c>
      <c r="B63" s="32">
        <v>38108</v>
      </c>
      <c r="C63" s="3" t="s">
        <v>74</v>
      </c>
      <c r="D63" s="3" t="s">
        <v>17</v>
      </c>
      <c r="E63" s="3" t="s">
        <v>52</v>
      </c>
      <c r="F63" s="3" t="s">
        <v>123</v>
      </c>
      <c r="G63" s="14">
        <v>1</v>
      </c>
      <c r="H63" s="14">
        <v>1</v>
      </c>
      <c r="I63" s="14">
        <v>0</v>
      </c>
      <c r="J63" s="3" t="s">
        <v>38</v>
      </c>
      <c r="K63" s="3" t="s">
        <v>39</v>
      </c>
      <c r="L63" s="3" t="s">
        <v>40</v>
      </c>
      <c r="M63" s="15">
        <v>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6">
      <c r="A64" s="13">
        <v>2004</v>
      </c>
      <c r="B64" s="32">
        <v>38131</v>
      </c>
      <c r="C64" s="3" t="s">
        <v>35</v>
      </c>
      <c r="D64" s="3" t="s">
        <v>17</v>
      </c>
      <c r="E64" s="3" t="s">
        <v>54</v>
      </c>
      <c r="F64" s="3" t="s">
        <v>124</v>
      </c>
      <c r="G64" s="14">
        <v>1</v>
      </c>
      <c r="H64" s="14">
        <v>1</v>
      </c>
      <c r="I64" s="14">
        <v>0</v>
      </c>
      <c r="J64" s="3" t="s">
        <v>38</v>
      </c>
      <c r="K64" s="3" t="s">
        <v>39</v>
      </c>
      <c r="L64" s="3" t="s">
        <v>40</v>
      </c>
      <c r="M64" s="15">
        <v>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6">
      <c r="A65" s="13">
        <v>2004</v>
      </c>
      <c r="B65" s="32">
        <v>38152</v>
      </c>
      <c r="C65" s="3" t="s">
        <v>35</v>
      </c>
      <c r="D65" s="3" t="s">
        <v>17</v>
      </c>
      <c r="E65" s="3" t="s">
        <v>56</v>
      </c>
      <c r="F65" s="3" t="s">
        <v>125</v>
      </c>
      <c r="G65" s="14">
        <v>1</v>
      </c>
      <c r="H65" s="14">
        <v>1</v>
      </c>
      <c r="I65" s="14">
        <v>0</v>
      </c>
      <c r="J65" s="3" t="s">
        <v>38</v>
      </c>
      <c r="K65" s="3" t="s">
        <v>39</v>
      </c>
      <c r="L65" s="3" t="s">
        <v>40</v>
      </c>
      <c r="M65" s="15">
        <v>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6">
      <c r="A66" s="13">
        <v>2004</v>
      </c>
      <c r="B66" s="32">
        <v>38159</v>
      </c>
      <c r="C66" s="3" t="s">
        <v>35</v>
      </c>
      <c r="D66" s="3" t="s">
        <v>17</v>
      </c>
      <c r="E66" s="3" t="s">
        <v>58</v>
      </c>
      <c r="F66" s="3" t="s">
        <v>126</v>
      </c>
      <c r="G66" s="14">
        <v>1</v>
      </c>
      <c r="H66" s="14">
        <v>1</v>
      </c>
      <c r="I66" s="14">
        <v>0</v>
      </c>
      <c r="J66" s="3" t="s">
        <v>38</v>
      </c>
      <c r="K66" s="3" t="s">
        <v>39</v>
      </c>
      <c r="L66" s="3" t="s">
        <v>40</v>
      </c>
      <c r="M66" s="15">
        <v>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6">
      <c r="A67" s="13">
        <v>2004</v>
      </c>
      <c r="B67" s="32">
        <v>38173</v>
      </c>
      <c r="C67" s="3" t="s">
        <v>35</v>
      </c>
      <c r="D67" s="3" t="s">
        <v>19</v>
      </c>
      <c r="E67" s="3" t="s">
        <v>60</v>
      </c>
      <c r="F67" s="3" t="s">
        <v>127</v>
      </c>
      <c r="G67" s="14">
        <v>1</v>
      </c>
      <c r="H67" s="14">
        <v>1</v>
      </c>
      <c r="I67" s="14">
        <v>0</v>
      </c>
      <c r="J67" s="3" t="s">
        <v>38</v>
      </c>
      <c r="K67" s="3" t="s">
        <v>39</v>
      </c>
      <c r="L67" s="3" t="s">
        <v>40</v>
      </c>
      <c r="M67" s="15">
        <v>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6">
      <c r="A68" s="13">
        <v>2004</v>
      </c>
      <c r="B68" s="32">
        <v>38188</v>
      </c>
      <c r="C68" s="3" t="s">
        <v>51</v>
      </c>
      <c r="D68" s="3" t="s">
        <v>19</v>
      </c>
      <c r="E68" s="3" t="s">
        <v>62</v>
      </c>
      <c r="F68" s="3" t="s">
        <v>128</v>
      </c>
      <c r="G68" s="14">
        <v>1</v>
      </c>
      <c r="H68" s="14">
        <v>1</v>
      </c>
      <c r="I68" s="14">
        <v>0</v>
      </c>
      <c r="J68" s="3" t="s">
        <v>38</v>
      </c>
      <c r="K68" s="3" t="s">
        <v>39</v>
      </c>
      <c r="L68" s="3" t="s">
        <v>40</v>
      </c>
      <c r="M68" s="15">
        <v>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6">
      <c r="A69" s="13">
        <v>2004</v>
      </c>
      <c r="B69" s="32">
        <v>38206</v>
      </c>
      <c r="C69" s="3" t="s">
        <v>74</v>
      </c>
      <c r="D69" s="3" t="s">
        <v>19</v>
      </c>
      <c r="E69" s="3" t="s">
        <v>64</v>
      </c>
      <c r="F69" s="3" t="s">
        <v>129</v>
      </c>
      <c r="G69" s="14">
        <v>1</v>
      </c>
      <c r="H69" s="14">
        <v>1</v>
      </c>
      <c r="I69" s="14">
        <v>0</v>
      </c>
      <c r="J69" s="3" t="s">
        <v>38</v>
      </c>
      <c r="K69" s="3" t="s">
        <v>39</v>
      </c>
      <c r="L69" s="3" t="s">
        <v>40</v>
      </c>
      <c r="M69" s="15">
        <v>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6">
      <c r="A70" s="13">
        <v>2004</v>
      </c>
      <c r="B70" s="32">
        <v>38215</v>
      </c>
      <c r="C70" s="3" t="s">
        <v>35</v>
      </c>
      <c r="D70" s="3" t="s">
        <v>19</v>
      </c>
      <c r="E70" s="3" t="s">
        <v>66</v>
      </c>
      <c r="F70" s="3" t="s">
        <v>130</v>
      </c>
      <c r="G70" s="14">
        <v>1</v>
      </c>
      <c r="H70" s="14">
        <v>1</v>
      </c>
      <c r="I70" s="14">
        <v>0</v>
      </c>
      <c r="J70" s="3" t="s">
        <v>38</v>
      </c>
      <c r="K70" s="3" t="s">
        <v>39</v>
      </c>
      <c r="L70" s="3" t="s">
        <v>40</v>
      </c>
      <c r="M70" s="15">
        <v>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6">
      <c r="A71" s="13">
        <v>2004</v>
      </c>
      <c r="B71" s="32">
        <v>38278</v>
      </c>
      <c r="C71" s="3" t="s">
        <v>35</v>
      </c>
      <c r="D71" s="3" t="s">
        <v>20</v>
      </c>
      <c r="E71" s="3" t="s">
        <v>68</v>
      </c>
      <c r="F71" s="3" t="s">
        <v>131</v>
      </c>
      <c r="G71" s="14">
        <v>1</v>
      </c>
      <c r="H71" s="14">
        <v>1</v>
      </c>
      <c r="I71" s="14">
        <v>0</v>
      </c>
      <c r="J71" s="3" t="s">
        <v>38</v>
      </c>
      <c r="K71" s="3" t="s">
        <v>39</v>
      </c>
      <c r="L71" s="3" t="s">
        <v>40</v>
      </c>
      <c r="M71" s="15">
        <v>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6">
      <c r="A72" s="13">
        <v>2004</v>
      </c>
      <c r="B72" s="32">
        <v>38292</v>
      </c>
      <c r="C72" s="3" t="s">
        <v>35</v>
      </c>
      <c r="D72" s="3" t="s">
        <v>20</v>
      </c>
      <c r="E72" s="3" t="s">
        <v>70</v>
      </c>
      <c r="F72" s="3" t="s">
        <v>132</v>
      </c>
      <c r="G72" s="14">
        <v>1</v>
      </c>
      <c r="H72" s="14">
        <v>1</v>
      </c>
      <c r="I72" s="14">
        <v>0</v>
      </c>
      <c r="J72" s="3" t="s">
        <v>38</v>
      </c>
      <c r="K72" s="3" t="s">
        <v>39</v>
      </c>
      <c r="L72" s="3" t="s">
        <v>40</v>
      </c>
      <c r="M72" s="15">
        <v>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6">
      <c r="A73" s="13">
        <v>2004</v>
      </c>
      <c r="B73" s="32">
        <v>38306</v>
      </c>
      <c r="C73" s="3" t="s">
        <v>35</v>
      </c>
      <c r="D73" s="3" t="s">
        <v>20</v>
      </c>
      <c r="E73" s="3" t="s">
        <v>72</v>
      </c>
      <c r="F73" s="3" t="s">
        <v>133</v>
      </c>
      <c r="G73" s="14">
        <v>1</v>
      </c>
      <c r="H73" s="14">
        <v>1</v>
      </c>
      <c r="I73" s="14">
        <v>0</v>
      </c>
      <c r="J73" s="3" t="s">
        <v>38</v>
      </c>
      <c r="K73" s="3" t="s">
        <v>39</v>
      </c>
      <c r="L73" s="3" t="s">
        <v>40</v>
      </c>
      <c r="M73" s="15">
        <v>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6">
      <c r="A74" s="13">
        <v>2004</v>
      </c>
      <c r="B74" s="32">
        <v>38329</v>
      </c>
      <c r="C74" s="3" t="s">
        <v>84</v>
      </c>
      <c r="D74" s="3" t="s">
        <v>20</v>
      </c>
      <c r="E74" s="3" t="s">
        <v>75</v>
      </c>
      <c r="F74" s="3" t="s">
        <v>134</v>
      </c>
      <c r="G74" s="14">
        <v>1</v>
      </c>
      <c r="H74" s="14">
        <v>1</v>
      </c>
      <c r="I74" s="14">
        <v>0</v>
      </c>
      <c r="J74" s="3" t="s">
        <v>38</v>
      </c>
      <c r="K74" s="3" t="s">
        <v>39</v>
      </c>
      <c r="L74" s="3" t="s">
        <v>40</v>
      </c>
      <c r="M74" s="15">
        <v>1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6">
      <c r="A75" s="13">
        <v>2004</v>
      </c>
      <c r="B75" s="32">
        <v>38346</v>
      </c>
      <c r="C75" s="3" t="s">
        <v>74</v>
      </c>
      <c r="D75" s="3" t="s">
        <v>20</v>
      </c>
      <c r="E75" s="3" t="s">
        <v>77</v>
      </c>
      <c r="F75" s="3" t="s">
        <v>135</v>
      </c>
      <c r="G75" s="14">
        <v>1</v>
      </c>
      <c r="H75" s="14">
        <v>1</v>
      </c>
      <c r="I75" s="14">
        <v>0</v>
      </c>
      <c r="J75" s="3" t="s">
        <v>38</v>
      </c>
      <c r="K75" s="3" t="s">
        <v>39</v>
      </c>
      <c r="L75" s="3" t="s">
        <v>40</v>
      </c>
      <c r="M75" s="15">
        <v>1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6">
      <c r="A76" s="13">
        <v>2005</v>
      </c>
      <c r="B76" s="32">
        <v>38353</v>
      </c>
      <c r="C76" s="3" t="s">
        <v>74</v>
      </c>
      <c r="D76" s="3" t="s">
        <v>15</v>
      </c>
      <c r="E76" s="3" t="s">
        <v>36</v>
      </c>
      <c r="F76" s="3" t="s">
        <v>136</v>
      </c>
      <c r="G76" s="14">
        <v>1</v>
      </c>
      <c r="H76" s="14">
        <v>1</v>
      </c>
      <c r="I76" s="14">
        <v>0</v>
      </c>
      <c r="J76" s="3" t="s">
        <v>38</v>
      </c>
      <c r="K76" s="3" t="s">
        <v>39</v>
      </c>
      <c r="L76" s="3" t="s">
        <v>40</v>
      </c>
      <c r="M76" s="15">
        <v>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6">
      <c r="A77" s="13">
        <v>2005</v>
      </c>
      <c r="B77" s="32">
        <v>38362</v>
      </c>
      <c r="C77" s="3" t="s">
        <v>35</v>
      </c>
      <c r="D77" s="3" t="s">
        <v>15</v>
      </c>
      <c r="E77" s="3" t="s">
        <v>41</v>
      </c>
      <c r="F77" s="3" t="s">
        <v>137</v>
      </c>
      <c r="G77" s="14">
        <v>1</v>
      </c>
      <c r="H77" s="14">
        <v>1</v>
      </c>
      <c r="I77" s="14">
        <v>0</v>
      </c>
      <c r="J77" s="3" t="s">
        <v>38</v>
      </c>
      <c r="K77" s="3" t="s">
        <v>39</v>
      </c>
      <c r="L77" s="3" t="s">
        <v>40</v>
      </c>
      <c r="M77" s="15">
        <v>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6">
      <c r="A78" s="13">
        <v>2005</v>
      </c>
      <c r="B78" s="32">
        <v>38432</v>
      </c>
      <c r="C78" s="3" t="s">
        <v>35</v>
      </c>
      <c r="D78" s="3" t="s">
        <v>15</v>
      </c>
      <c r="E78" s="3" t="s">
        <v>43</v>
      </c>
      <c r="F78" s="3" t="s">
        <v>138</v>
      </c>
      <c r="G78" s="14">
        <v>1</v>
      </c>
      <c r="H78" s="14">
        <v>1</v>
      </c>
      <c r="I78" s="14">
        <v>0</v>
      </c>
      <c r="J78" s="3" t="s">
        <v>38</v>
      </c>
      <c r="K78" s="3" t="s">
        <v>39</v>
      </c>
      <c r="L78" s="3" t="s">
        <v>40</v>
      </c>
      <c r="M78" s="15">
        <v>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6">
      <c r="A79" s="13">
        <v>2005</v>
      </c>
      <c r="B79" s="32">
        <v>38435</v>
      </c>
      <c r="C79" s="3" t="s">
        <v>45</v>
      </c>
      <c r="D79" s="3" t="s">
        <v>15</v>
      </c>
      <c r="E79" s="3" t="s">
        <v>46</v>
      </c>
      <c r="F79" s="3" t="s">
        <v>139</v>
      </c>
      <c r="G79" s="14">
        <v>1</v>
      </c>
      <c r="H79" s="14">
        <v>1</v>
      </c>
      <c r="I79" s="14">
        <v>0</v>
      </c>
      <c r="J79" s="3" t="s">
        <v>38</v>
      </c>
      <c r="K79" s="3" t="s">
        <v>39</v>
      </c>
      <c r="L79" s="3" t="s">
        <v>40</v>
      </c>
      <c r="M79" s="15">
        <v>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6">
      <c r="A80" s="13">
        <v>2005</v>
      </c>
      <c r="B80" s="32">
        <v>38436</v>
      </c>
      <c r="C80" s="3" t="s">
        <v>48</v>
      </c>
      <c r="D80" s="3" t="s">
        <v>15</v>
      </c>
      <c r="E80" s="3" t="s">
        <v>49</v>
      </c>
      <c r="F80" s="3" t="s">
        <v>140</v>
      </c>
      <c r="G80" s="14">
        <v>1</v>
      </c>
      <c r="H80" s="14">
        <v>1</v>
      </c>
      <c r="I80" s="14">
        <v>0</v>
      </c>
      <c r="J80" s="3" t="s">
        <v>38</v>
      </c>
      <c r="K80" s="3" t="s">
        <v>39</v>
      </c>
      <c r="L80" s="3" t="s">
        <v>40</v>
      </c>
      <c r="M80" s="15">
        <v>1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6">
      <c r="A81" s="13">
        <v>2005</v>
      </c>
      <c r="B81" s="32">
        <v>38473</v>
      </c>
      <c r="C81" s="3" t="s">
        <v>96</v>
      </c>
      <c r="D81" s="3" t="s">
        <v>17</v>
      </c>
      <c r="E81" s="3" t="s">
        <v>52</v>
      </c>
      <c r="F81" s="3" t="s">
        <v>141</v>
      </c>
      <c r="G81" s="14">
        <v>1</v>
      </c>
      <c r="H81" s="14">
        <v>0</v>
      </c>
      <c r="I81" s="14">
        <v>0</v>
      </c>
      <c r="J81" s="3" t="s">
        <v>98</v>
      </c>
      <c r="K81" s="3" t="s">
        <v>39</v>
      </c>
      <c r="L81" s="3" t="s">
        <v>40</v>
      </c>
      <c r="M81" s="15">
        <v>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6">
      <c r="A82" s="13">
        <v>2005</v>
      </c>
      <c r="B82" s="32">
        <v>38481</v>
      </c>
      <c r="C82" s="3" t="s">
        <v>35</v>
      </c>
      <c r="D82" s="3" t="s">
        <v>17</v>
      </c>
      <c r="E82" s="3" t="s">
        <v>54</v>
      </c>
      <c r="F82" s="3" t="s">
        <v>142</v>
      </c>
      <c r="G82" s="14">
        <v>1</v>
      </c>
      <c r="H82" s="14">
        <v>1</v>
      </c>
      <c r="I82" s="14">
        <v>0</v>
      </c>
      <c r="J82" s="3" t="s">
        <v>38</v>
      </c>
      <c r="K82" s="3" t="s">
        <v>39</v>
      </c>
      <c r="L82" s="3" t="s">
        <v>40</v>
      </c>
      <c r="M82" s="15">
        <v>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6">
      <c r="A83" s="13">
        <v>2005</v>
      </c>
      <c r="B83" s="32">
        <v>38502</v>
      </c>
      <c r="C83" s="3" t="s">
        <v>35</v>
      </c>
      <c r="D83" s="3" t="s">
        <v>17</v>
      </c>
      <c r="E83" s="3" t="s">
        <v>56</v>
      </c>
      <c r="F83" s="3" t="s">
        <v>143</v>
      </c>
      <c r="G83" s="14">
        <v>1</v>
      </c>
      <c r="H83" s="14">
        <v>1</v>
      </c>
      <c r="I83" s="14">
        <v>0</v>
      </c>
      <c r="J83" s="3" t="s">
        <v>38</v>
      </c>
      <c r="K83" s="3" t="s">
        <v>39</v>
      </c>
      <c r="L83" s="3" t="s">
        <v>40</v>
      </c>
      <c r="M83" s="15">
        <v>1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6">
      <c r="A84" s="13">
        <v>2005</v>
      </c>
      <c r="B84" s="32">
        <v>38509</v>
      </c>
      <c r="C84" s="3" t="s">
        <v>35</v>
      </c>
      <c r="D84" s="3" t="s">
        <v>17</v>
      </c>
      <c r="E84" s="3" t="s">
        <v>58</v>
      </c>
      <c r="F84" s="3" t="s">
        <v>144</v>
      </c>
      <c r="G84" s="14">
        <v>1</v>
      </c>
      <c r="H84" s="14">
        <v>1</v>
      </c>
      <c r="I84" s="14">
        <v>0</v>
      </c>
      <c r="J84" s="3" t="s">
        <v>38</v>
      </c>
      <c r="K84" s="3" t="s">
        <v>39</v>
      </c>
      <c r="L84" s="3" t="s">
        <v>40</v>
      </c>
      <c r="M84" s="15">
        <v>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6">
      <c r="A85" s="13">
        <v>2005</v>
      </c>
      <c r="B85" s="32">
        <v>38537</v>
      </c>
      <c r="C85" s="3" t="s">
        <v>35</v>
      </c>
      <c r="D85" s="3" t="s">
        <v>19</v>
      </c>
      <c r="E85" s="3" t="s">
        <v>60</v>
      </c>
      <c r="F85" s="3" t="s">
        <v>145</v>
      </c>
      <c r="G85" s="14">
        <v>1</v>
      </c>
      <c r="H85" s="14">
        <v>1</v>
      </c>
      <c r="I85" s="14">
        <v>0</v>
      </c>
      <c r="J85" s="3" t="s">
        <v>38</v>
      </c>
      <c r="K85" s="3" t="s">
        <v>39</v>
      </c>
      <c r="L85" s="3" t="s">
        <v>40</v>
      </c>
      <c r="M85" s="15">
        <v>1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6">
      <c r="A86" s="13">
        <v>2005</v>
      </c>
      <c r="B86" s="32">
        <v>38553</v>
      </c>
      <c r="C86" s="3" t="s">
        <v>84</v>
      </c>
      <c r="D86" s="3" t="s">
        <v>19</v>
      </c>
      <c r="E86" s="3" t="s">
        <v>62</v>
      </c>
      <c r="F86" s="3" t="s">
        <v>146</v>
      </c>
      <c r="G86" s="14">
        <v>1</v>
      </c>
      <c r="H86" s="14">
        <v>1</v>
      </c>
      <c r="I86" s="14">
        <v>0</v>
      </c>
      <c r="J86" s="3" t="s">
        <v>38</v>
      </c>
      <c r="K86" s="3" t="s">
        <v>39</v>
      </c>
      <c r="L86" s="3" t="s">
        <v>40</v>
      </c>
      <c r="M86" s="15">
        <v>1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6">
      <c r="A87" s="13">
        <v>2005</v>
      </c>
      <c r="B87" s="32">
        <v>38571</v>
      </c>
      <c r="C87" s="3" t="s">
        <v>96</v>
      </c>
      <c r="D87" s="3" t="s">
        <v>19</v>
      </c>
      <c r="E87" s="3" t="s">
        <v>64</v>
      </c>
      <c r="F87" s="3" t="s">
        <v>147</v>
      </c>
      <c r="G87" s="14">
        <v>1</v>
      </c>
      <c r="H87" s="14">
        <v>0</v>
      </c>
      <c r="I87" s="14">
        <v>0</v>
      </c>
      <c r="J87" s="3" t="s">
        <v>98</v>
      </c>
      <c r="K87" s="3" t="s">
        <v>39</v>
      </c>
      <c r="L87" s="3" t="s">
        <v>40</v>
      </c>
      <c r="M87" s="15">
        <v>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6">
      <c r="A88" s="13">
        <v>2005</v>
      </c>
      <c r="B88" s="32">
        <v>38579</v>
      </c>
      <c r="C88" s="3" t="s">
        <v>35</v>
      </c>
      <c r="D88" s="3" t="s">
        <v>19</v>
      </c>
      <c r="E88" s="3" t="s">
        <v>66</v>
      </c>
      <c r="F88" s="3" t="s">
        <v>148</v>
      </c>
      <c r="G88" s="14">
        <v>1</v>
      </c>
      <c r="H88" s="14">
        <v>1</v>
      </c>
      <c r="I88" s="14">
        <v>0</v>
      </c>
      <c r="J88" s="3" t="s">
        <v>38</v>
      </c>
      <c r="K88" s="3" t="s">
        <v>39</v>
      </c>
      <c r="L88" s="3" t="s">
        <v>40</v>
      </c>
      <c r="M88" s="15">
        <v>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6">
      <c r="A89" s="13">
        <v>2005</v>
      </c>
      <c r="B89" s="32">
        <v>38642</v>
      </c>
      <c r="C89" s="3" t="s">
        <v>35</v>
      </c>
      <c r="D89" s="3" t="s">
        <v>20</v>
      </c>
      <c r="E89" s="3" t="s">
        <v>68</v>
      </c>
      <c r="F89" s="3" t="s">
        <v>149</v>
      </c>
      <c r="G89" s="14">
        <v>1</v>
      </c>
      <c r="H89" s="14">
        <v>1</v>
      </c>
      <c r="I89" s="14">
        <v>0</v>
      </c>
      <c r="J89" s="3" t="s">
        <v>38</v>
      </c>
      <c r="K89" s="3" t="s">
        <v>39</v>
      </c>
      <c r="L89" s="3" t="s">
        <v>40</v>
      </c>
      <c r="M89" s="15">
        <v>1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6">
      <c r="A90" s="13">
        <v>2005</v>
      </c>
      <c r="B90" s="32">
        <v>38663</v>
      </c>
      <c r="C90" s="3" t="s">
        <v>35</v>
      </c>
      <c r="D90" s="3" t="s">
        <v>20</v>
      </c>
      <c r="E90" s="3" t="s">
        <v>70</v>
      </c>
      <c r="F90" s="3" t="s">
        <v>150</v>
      </c>
      <c r="G90" s="14">
        <v>1</v>
      </c>
      <c r="H90" s="14">
        <v>1</v>
      </c>
      <c r="I90" s="14">
        <v>0</v>
      </c>
      <c r="J90" s="3" t="s">
        <v>38</v>
      </c>
      <c r="K90" s="3" t="s">
        <v>39</v>
      </c>
      <c r="L90" s="3" t="s">
        <v>40</v>
      </c>
      <c r="M90" s="15">
        <v>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6">
      <c r="A91" s="13">
        <v>2005</v>
      </c>
      <c r="B91" s="32">
        <v>38670</v>
      </c>
      <c r="C91" s="3" t="s">
        <v>35</v>
      </c>
      <c r="D91" s="3" t="s">
        <v>20</v>
      </c>
      <c r="E91" s="3" t="s">
        <v>72</v>
      </c>
      <c r="F91" s="3" t="s">
        <v>151</v>
      </c>
      <c r="G91" s="14">
        <v>1</v>
      </c>
      <c r="H91" s="14">
        <v>1</v>
      </c>
      <c r="I91" s="14">
        <v>0</v>
      </c>
      <c r="J91" s="3" t="s">
        <v>38</v>
      </c>
      <c r="K91" s="3" t="s">
        <v>39</v>
      </c>
      <c r="L91" s="3" t="s">
        <v>40</v>
      </c>
      <c r="M91" s="15">
        <v>1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6">
      <c r="A92" s="13">
        <v>2005</v>
      </c>
      <c r="B92" s="32">
        <v>38694</v>
      </c>
      <c r="C92" s="3" t="s">
        <v>45</v>
      </c>
      <c r="D92" s="3" t="s">
        <v>20</v>
      </c>
      <c r="E92" s="3" t="s">
        <v>75</v>
      </c>
      <c r="F92" s="3" t="s">
        <v>152</v>
      </c>
      <c r="G92" s="14">
        <v>1</v>
      </c>
      <c r="H92" s="14">
        <v>1</v>
      </c>
      <c r="I92" s="14">
        <v>0</v>
      </c>
      <c r="J92" s="3" t="s">
        <v>38</v>
      </c>
      <c r="K92" s="3" t="s">
        <v>39</v>
      </c>
      <c r="L92" s="3" t="s">
        <v>40</v>
      </c>
      <c r="M92" s="15">
        <v>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.6">
      <c r="A93" s="13">
        <v>2005</v>
      </c>
      <c r="B93" s="32">
        <v>38711</v>
      </c>
      <c r="C93" s="3" t="s">
        <v>96</v>
      </c>
      <c r="D93" s="3" t="s">
        <v>20</v>
      </c>
      <c r="E93" s="3" t="s">
        <v>77</v>
      </c>
      <c r="F93" s="3" t="s">
        <v>153</v>
      </c>
      <c r="G93" s="14">
        <v>1</v>
      </c>
      <c r="H93" s="14">
        <v>0</v>
      </c>
      <c r="I93" s="14">
        <v>0</v>
      </c>
      <c r="J93" s="3" t="s">
        <v>98</v>
      </c>
      <c r="K93" s="3" t="s">
        <v>39</v>
      </c>
      <c r="L93" s="3" t="s">
        <v>40</v>
      </c>
      <c r="M93" s="15">
        <v>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.6">
      <c r="A94" s="13">
        <v>2006</v>
      </c>
      <c r="B94" s="32">
        <v>38718</v>
      </c>
      <c r="C94" s="3" t="s">
        <v>96</v>
      </c>
      <c r="D94" s="3" t="s">
        <v>15</v>
      </c>
      <c r="E94" s="3" t="s">
        <v>36</v>
      </c>
      <c r="F94" s="3" t="s">
        <v>154</v>
      </c>
      <c r="G94" s="14">
        <v>1</v>
      </c>
      <c r="H94" s="14">
        <v>0</v>
      </c>
      <c r="I94" s="14">
        <v>0</v>
      </c>
      <c r="J94" s="3" t="s">
        <v>98</v>
      </c>
      <c r="K94" s="3" t="s">
        <v>39</v>
      </c>
      <c r="L94" s="3" t="s">
        <v>40</v>
      </c>
      <c r="M94" s="15">
        <v>1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.6">
      <c r="A95" s="13">
        <v>2006</v>
      </c>
      <c r="B95" s="32">
        <v>38726</v>
      </c>
      <c r="C95" s="3" t="s">
        <v>35</v>
      </c>
      <c r="D95" s="3" t="s">
        <v>15</v>
      </c>
      <c r="E95" s="3" t="s">
        <v>41</v>
      </c>
      <c r="F95" s="3" t="s">
        <v>155</v>
      </c>
      <c r="G95" s="14">
        <v>1</v>
      </c>
      <c r="H95" s="14">
        <v>1</v>
      </c>
      <c r="I95" s="14">
        <v>0</v>
      </c>
      <c r="J95" s="3" t="s">
        <v>38</v>
      </c>
      <c r="K95" s="3" t="s">
        <v>39</v>
      </c>
      <c r="L95" s="3" t="s">
        <v>40</v>
      </c>
      <c r="M95" s="15">
        <v>1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.6">
      <c r="A96" s="13">
        <v>2006</v>
      </c>
      <c r="B96" s="32">
        <v>38796</v>
      </c>
      <c r="C96" s="3" t="s">
        <v>35</v>
      </c>
      <c r="D96" s="3" t="s">
        <v>15</v>
      </c>
      <c r="E96" s="3" t="s">
        <v>43</v>
      </c>
      <c r="F96" s="3" t="s">
        <v>156</v>
      </c>
      <c r="G96" s="14">
        <v>1</v>
      </c>
      <c r="H96" s="14">
        <v>1</v>
      </c>
      <c r="I96" s="14">
        <v>0</v>
      </c>
      <c r="J96" s="3" t="s">
        <v>38</v>
      </c>
      <c r="K96" s="3" t="s">
        <v>39</v>
      </c>
      <c r="L96" s="3" t="s">
        <v>40</v>
      </c>
      <c r="M96" s="15">
        <v>1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.6">
      <c r="A97" s="13">
        <v>2006</v>
      </c>
      <c r="B97" s="32">
        <v>38820</v>
      </c>
      <c r="C97" s="3" t="s">
        <v>45</v>
      </c>
      <c r="D97" s="3" t="s">
        <v>17</v>
      </c>
      <c r="E97" s="3" t="s">
        <v>46</v>
      </c>
      <c r="F97" s="3" t="s">
        <v>157</v>
      </c>
      <c r="G97" s="14">
        <v>1</v>
      </c>
      <c r="H97" s="14">
        <v>1</v>
      </c>
      <c r="I97" s="14">
        <v>0</v>
      </c>
      <c r="J97" s="3" t="s">
        <v>38</v>
      </c>
      <c r="K97" s="3" t="s">
        <v>39</v>
      </c>
      <c r="L97" s="3" t="s">
        <v>40</v>
      </c>
      <c r="M97" s="15">
        <v>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.6">
      <c r="A98" s="13">
        <v>2006</v>
      </c>
      <c r="B98" s="32">
        <v>38821</v>
      </c>
      <c r="C98" s="3" t="s">
        <v>48</v>
      </c>
      <c r="D98" s="3" t="s">
        <v>17</v>
      </c>
      <c r="E98" s="3" t="s">
        <v>49</v>
      </c>
      <c r="F98" s="3" t="s">
        <v>158</v>
      </c>
      <c r="G98" s="14">
        <v>1</v>
      </c>
      <c r="H98" s="14">
        <v>1</v>
      </c>
      <c r="I98" s="14">
        <v>0</v>
      </c>
      <c r="J98" s="3" t="s">
        <v>38</v>
      </c>
      <c r="K98" s="3" t="s">
        <v>39</v>
      </c>
      <c r="L98" s="3" t="s">
        <v>40</v>
      </c>
      <c r="M98" s="15">
        <v>1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.6">
      <c r="A99" s="13">
        <v>2006</v>
      </c>
      <c r="B99" s="32">
        <v>38838</v>
      </c>
      <c r="C99" s="3" t="s">
        <v>35</v>
      </c>
      <c r="D99" s="3" t="s">
        <v>17</v>
      </c>
      <c r="E99" s="3" t="s">
        <v>52</v>
      </c>
      <c r="F99" s="3" t="s">
        <v>159</v>
      </c>
      <c r="G99" s="14">
        <v>1</v>
      </c>
      <c r="H99" s="14">
        <v>1</v>
      </c>
      <c r="I99" s="14">
        <v>0</v>
      </c>
      <c r="J99" s="3" t="s">
        <v>38</v>
      </c>
      <c r="K99" s="3" t="s">
        <v>39</v>
      </c>
      <c r="L99" s="3" t="s">
        <v>40</v>
      </c>
      <c r="M99" s="15">
        <v>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.6">
      <c r="A100" s="13">
        <v>2006</v>
      </c>
      <c r="B100" s="32">
        <v>38866</v>
      </c>
      <c r="C100" s="3" t="s">
        <v>35</v>
      </c>
      <c r="D100" s="3" t="s">
        <v>17</v>
      </c>
      <c r="E100" s="3" t="s">
        <v>54</v>
      </c>
      <c r="F100" s="3" t="s">
        <v>160</v>
      </c>
      <c r="G100" s="14">
        <v>1</v>
      </c>
      <c r="H100" s="14">
        <v>1</v>
      </c>
      <c r="I100" s="14">
        <v>0</v>
      </c>
      <c r="J100" s="3" t="s">
        <v>38</v>
      </c>
      <c r="K100" s="3" t="s">
        <v>39</v>
      </c>
      <c r="L100" s="3" t="s">
        <v>40</v>
      </c>
      <c r="M100" s="15">
        <v>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.6">
      <c r="A101" s="13">
        <v>2006</v>
      </c>
      <c r="B101" s="32">
        <v>38887</v>
      </c>
      <c r="C101" s="3" t="s">
        <v>35</v>
      </c>
      <c r="D101" s="3" t="s">
        <v>17</v>
      </c>
      <c r="E101" s="3" t="s">
        <v>56</v>
      </c>
      <c r="F101" s="3" t="s">
        <v>161</v>
      </c>
      <c r="G101" s="14">
        <v>1</v>
      </c>
      <c r="H101" s="14">
        <v>1</v>
      </c>
      <c r="I101" s="14">
        <v>0</v>
      </c>
      <c r="J101" s="3" t="s">
        <v>38</v>
      </c>
      <c r="K101" s="3" t="s">
        <v>39</v>
      </c>
      <c r="L101" s="3" t="s">
        <v>40</v>
      </c>
      <c r="M101" s="15">
        <v>1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.6">
      <c r="A102" s="13">
        <v>2006</v>
      </c>
      <c r="B102" s="32">
        <v>38894</v>
      </c>
      <c r="C102" s="3" t="s">
        <v>35</v>
      </c>
      <c r="D102" s="3" t="s">
        <v>17</v>
      </c>
      <c r="E102" s="3" t="s">
        <v>58</v>
      </c>
      <c r="F102" s="3" t="s">
        <v>162</v>
      </c>
      <c r="G102" s="14">
        <v>1</v>
      </c>
      <c r="H102" s="14">
        <v>1</v>
      </c>
      <c r="I102" s="14">
        <v>0</v>
      </c>
      <c r="J102" s="3" t="s">
        <v>38</v>
      </c>
      <c r="K102" s="3" t="s">
        <v>39</v>
      </c>
      <c r="L102" s="3" t="s">
        <v>40</v>
      </c>
      <c r="M102" s="15">
        <v>1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.6">
      <c r="A103" s="13">
        <v>2006</v>
      </c>
      <c r="B103" s="32">
        <v>38901</v>
      </c>
      <c r="C103" s="3" t="s">
        <v>35</v>
      </c>
      <c r="D103" s="3" t="s">
        <v>19</v>
      </c>
      <c r="E103" s="3" t="s">
        <v>60</v>
      </c>
      <c r="F103" s="3" t="s">
        <v>163</v>
      </c>
      <c r="G103" s="14">
        <v>1</v>
      </c>
      <c r="H103" s="14">
        <v>1</v>
      </c>
      <c r="I103" s="14">
        <v>0</v>
      </c>
      <c r="J103" s="3" t="s">
        <v>38</v>
      </c>
      <c r="K103" s="3" t="s">
        <v>39</v>
      </c>
      <c r="L103" s="3" t="s">
        <v>40</v>
      </c>
      <c r="M103" s="15">
        <v>1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.6">
      <c r="A104" s="13">
        <v>2006</v>
      </c>
      <c r="B104" s="32">
        <v>38918</v>
      </c>
      <c r="C104" s="3" t="s">
        <v>45</v>
      </c>
      <c r="D104" s="3" t="s">
        <v>19</v>
      </c>
      <c r="E104" s="3" t="s">
        <v>62</v>
      </c>
      <c r="F104" s="3" t="s">
        <v>164</v>
      </c>
      <c r="G104" s="14">
        <v>1</v>
      </c>
      <c r="H104" s="14">
        <v>1</v>
      </c>
      <c r="I104" s="14">
        <v>0</v>
      </c>
      <c r="J104" s="3" t="s">
        <v>38</v>
      </c>
      <c r="K104" s="3" t="s">
        <v>39</v>
      </c>
      <c r="L104" s="3" t="s">
        <v>40</v>
      </c>
      <c r="M104" s="15">
        <v>1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.6">
      <c r="A105" s="13">
        <v>2006</v>
      </c>
      <c r="B105" s="32">
        <v>38936</v>
      </c>
      <c r="C105" s="3" t="s">
        <v>35</v>
      </c>
      <c r="D105" s="3" t="s">
        <v>19</v>
      </c>
      <c r="E105" s="3" t="s">
        <v>64</v>
      </c>
      <c r="F105" s="3" t="s">
        <v>165</v>
      </c>
      <c r="G105" s="14">
        <v>1</v>
      </c>
      <c r="H105" s="14">
        <v>1</v>
      </c>
      <c r="I105" s="14">
        <v>0</v>
      </c>
      <c r="J105" s="3" t="s">
        <v>38</v>
      </c>
      <c r="K105" s="3" t="s">
        <v>39</v>
      </c>
      <c r="L105" s="3" t="s">
        <v>40</v>
      </c>
      <c r="M105" s="15">
        <v>1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.6">
      <c r="A106" s="13">
        <v>2006</v>
      </c>
      <c r="B106" s="32">
        <v>38950</v>
      </c>
      <c r="C106" s="3" t="s">
        <v>35</v>
      </c>
      <c r="D106" s="3" t="s">
        <v>19</v>
      </c>
      <c r="E106" s="3" t="s">
        <v>66</v>
      </c>
      <c r="F106" s="3" t="s">
        <v>166</v>
      </c>
      <c r="G106" s="14">
        <v>1</v>
      </c>
      <c r="H106" s="14">
        <v>1</v>
      </c>
      <c r="I106" s="14">
        <v>0</v>
      </c>
      <c r="J106" s="3" t="s">
        <v>38</v>
      </c>
      <c r="K106" s="3" t="s">
        <v>39</v>
      </c>
      <c r="L106" s="3" t="s">
        <v>40</v>
      </c>
      <c r="M106" s="15">
        <v>1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.6">
      <c r="A107" s="13">
        <v>2006</v>
      </c>
      <c r="B107" s="32">
        <v>39006</v>
      </c>
      <c r="C107" s="3" t="s">
        <v>35</v>
      </c>
      <c r="D107" s="3" t="s">
        <v>20</v>
      </c>
      <c r="E107" s="3" t="s">
        <v>68</v>
      </c>
      <c r="F107" s="3" t="s">
        <v>167</v>
      </c>
      <c r="G107" s="14">
        <v>1</v>
      </c>
      <c r="H107" s="14">
        <v>1</v>
      </c>
      <c r="I107" s="14">
        <v>0</v>
      </c>
      <c r="J107" s="3" t="s">
        <v>38</v>
      </c>
      <c r="K107" s="3" t="s">
        <v>39</v>
      </c>
      <c r="L107" s="3" t="s">
        <v>40</v>
      </c>
      <c r="M107" s="15">
        <v>1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.6">
      <c r="A108" s="13">
        <v>2006</v>
      </c>
      <c r="B108" s="32">
        <v>39027</v>
      </c>
      <c r="C108" s="3" t="s">
        <v>35</v>
      </c>
      <c r="D108" s="3" t="s">
        <v>20</v>
      </c>
      <c r="E108" s="3" t="s">
        <v>70</v>
      </c>
      <c r="F108" s="3" t="s">
        <v>168</v>
      </c>
      <c r="G108" s="14">
        <v>1</v>
      </c>
      <c r="H108" s="14">
        <v>1</v>
      </c>
      <c r="I108" s="14">
        <v>0</v>
      </c>
      <c r="J108" s="3" t="s">
        <v>38</v>
      </c>
      <c r="K108" s="3" t="s">
        <v>39</v>
      </c>
      <c r="L108" s="3" t="s">
        <v>40</v>
      </c>
      <c r="M108" s="15">
        <v>1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.6">
      <c r="A109" s="13">
        <v>2006</v>
      </c>
      <c r="B109" s="32">
        <v>39034</v>
      </c>
      <c r="C109" s="3" t="s">
        <v>35</v>
      </c>
      <c r="D109" s="3" t="s">
        <v>20</v>
      </c>
      <c r="E109" s="3" t="s">
        <v>72</v>
      </c>
      <c r="F109" s="3" t="s">
        <v>169</v>
      </c>
      <c r="G109" s="14">
        <v>1</v>
      </c>
      <c r="H109" s="14">
        <v>1</v>
      </c>
      <c r="I109" s="14">
        <v>0</v>
      </c>
      <c r="J109" s="3" t="s">
        <v>38</v>
      </c>
      <c r="K109" s="3" t="s">
        <v>39</v>
      </c>
      <c r="L109" s="3" t="s">
        <v>40</v>
      </c>
      <c r="M109" s="15">
        <v>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.6">
      <c r="A110" s="13">
        <v>2006</v>
      </c>
      <c r="B110" s="32">
        <v>39059</v>
      </c>
      <c r="C110" s="3" t="s">
        <v>48</v>
      </c>
      <c r="D110" s="3" t="s">
        <v>20</v>
      </c>
      <c r="E110" s="3" t="s">
        <v>75</v>
      </c>
      <c r="F110" s="3" t="s">
        <v>170</v>
      </c>
      <c r="G110" s="14">
        <v>1</v>
      </c>
      <c r="H110" s="14">
        <v>1</v>
      </c>
      <c r="I110" s="14">
        <v>0</v>
      </c>
      <c r="J110" s="3" t="s">
        <v>38</v>
      </c>
      <c r="K110" s="3" t="s">
        <v>39</v>
      </c>
      <c r="L110" s="3" t="s">
        <v>40</v>
      </c>
      <c r="M110" s="15">
        <v>1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.6">
      <c r="A111" s="13">
        <v>2006</v>
      </c>
      <c r="B111" s="32">
        <v>39076</v>
      </c>
      <c r="C111" s="3" t="s">
        <v>35</v>
      </c>
      <c r="D111" s="3" t="s">
        <v>20</v>
      </c>
      <c r="E111" s="3" t="s">
        <v>77</v>
      </c>
      <c r="F111" s="3" t="s">
        <v>171</v>
      </c>
      <c r="G111" s="14">
        <v>1</v>
      </c>
      <c r="H111" s="14">
        <v>1</v>
      </c>
      <c r="I111" s="14">
        <v>0</v>
      </c>
      <c r="J111" s="3" t="s">
        <v>38</v>
      </c>
      <c r="K111" s="3" t="s">
        <v>39</v>
      </c>
      <c r="L111" s="3" t="s">
        <v>40</v>
      </c>
      <c r="M111" s="15">
        <v>1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.6">
      <c r="A112" s="13">
        <v>2007</v>
      </c>
      <c r="B112" s="32">
        <v>39083</v>
      </c>
      <c r="C112" s="3" t="s">
        <v>35</v>
      </c>
      <c r="D112" s="3" t="s">
        <v>15</v>
      </c>
      <c r="E112" s="3" t="s">
        <v>36</v>
      </c>
      <c r="F112" s="3" t="s">
        <v>172</v>
      </c>
      <c r="G112" s="14">
        <v>1</v>
      </c>
      <c r="H112" s="14">
        <v>1</v>
      </c>
      <c r="I112" s="14">
        <v>0</v>
      </c>
      <c r="J112" s="3" t="s">
        <v>38</v>
      </c>
      <c r="K112" s="3" t="s">
        <v>39</v>
      </c>
      <c r="L112" s="3" t="s">
        <v>40</v>
      </c>
      <c r="M112" s="15">
        <v>1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.6">
      <c r="A113" s="13">
        <v>2007</v>
      </c>
      <c r="B113" s="32">
        <v>39090</v>
      </c>
      <c r="C113" s="3" t="s">
        <v>35</v>
      </c>
      <c r="D113" s="3" t="s">
        <v>15</v>
      </c>
      <c r="E113" s="3" t="s">
        <v>41</v>
      </c>
      <c r="F113" s="3" t="s">
        <v>173</v>
      </c>
      <c r="G113" s="14">
        <v>1</v>
      </c>
      <c r="H113" s="14">
        <v>1</v>
      </c>
      <c r="I113" s="14">
        <v>0</v>
      </c>
      <c r="J113" s="3" t="s">
        <v>38</v>
      </c>
      <c r="K113" s="3" t="s">
        <v>39</v>
      </c>
      <c r="L113" s="3" t="s">
        <v>40</v>
      </c>
      <c r="M113" s="15">
        <v>1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.6">
      <c r="A114" s="13">
        <v>2007</v>
      </c>
      <c r="B114" s="32">
        <v>39160</v>
      </c>
      <c r="C114" s="3" t="s">
        <v>35</v>
      </c>
      <c r="D114" s="3" t="s">
        <v>15</v>
      </c>
      <c r="E114" s="3" t="s">
        <v>43</v>
      </c>
      <c r="F114" s="3" t="s">
        <v>174</v>
      </c>
      <c r="G114" s="14">
        <v>1</v>
      </c>
      <c r="H114" s="14">
        <v>1</v>
      </c>
      <c r="I114" s="14">
        <v>0</v>
      </c>
      <c r="J114" s="3" t="s">
        <v>38</v>
      </c>
      <c r="K114" s="3" t="s">
        <v>39</v>
      </c>
      <c r="L114" s="3" t="s">
        <v>40</v>
      </c>
      <c r="M114" s="15">
        <v>1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.6">
      <c r="A115" s="13">
        <v>2007</v>
      </c>
      <c r="B115" s="32">
        <v>39177</v>
      </c>
      <c r="C115" s="3" t="s">
        <v>45</v>
      </c>
      <c r="D115" s="3" t="s">
        <v>17</v>
      </c>
      <c r="E115" s="3" t="s">
        <v>46</v>
      </c>
      <c r="F115" s="3" t="s">
        <v>175</v>
      </c>
      <c r="G115" s="14">
        <v>1</v>
      </c>
      <c r="H115" s="14">
        <v>1</v>
      </c>
      <c r="I115" s="14">
        <v>0</v>
      </c>
      <c r="J115" s="3" t="s">
        <v>38</v>
      </c>
      <c r="K115" s="3" t="s">
        <v>39</v>
      </c>
      <c r="L115" s="3" t="s">
        <v>40</v>
      </c>
      <c r="M115" s="15">
        <v>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.6">
      <c r="A116" s="13">
        <v>2007</v>
      </c>
      <c r="B116" s="32">
        <v>39178</v>
      </c>
      <c r="C116" s="3" t="s">
        <v>48</v>
      </c>
      <c r="D116" s="3" t="s">
        <v>17</v>
      </c>
      <c r="E116" s="3" t="s">
        <v>49</v>
      </c>
      <c r="F116" s="3" t="s">
        <v>176</v>
      </c>
      <c r="G116" s="14">
        <v>1</v>
      </c>
      <c r="H116" s="14">
        <v>1</v>
      </c>
      <c r="I116" s="14">
        <v>0</v>
      </c>
      <c r="J116" s="3" t="s">
        <v>38</v>
      </c>
      <c r="K116" s="3" t="s">
        <v>39</v>
      </c>
      <c r="L116" s="3" t="s">
        <v>40</v>
      </c>
      <c r="M116" s="15">
        <v>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.6">
      <c r="A117" s="13">
        <v>2007</v>
      </c>
      <c r="B117" s="32">
        <v>39203</v>
      </c>
      <c r="C117" s="3" t="s">
        <v>51</v>
      </c>
      <c r="D117" s="3" t="s">
        <v>17</v>
      </c>
      <c r="E117" s="3" t="s">
        <v>52</v>
      </c>
      <c r="F117" s="3" t="s">
        <v>177</v>
      </c>
      <c r="G117" s="14">
        <v>1</v>
      </c>
      <c r="H117" s="14">
        <v>1</v>
      </c>
      <c r="I117" s="14">
        <v>0</v>
      </c>
      <c r="J117" s="3" t="s">
        <v>38</v>
      </c>
      <c r="K117" s="3" t="s">
        <v>39</v>
      </c>
      <c r="L117" s="3" t="s">
        <v>40</v>
      </c>
      <c r="M117" s="15">
        <v>1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.6">
      <c r="A118" s="13">
        <v>2007</v>
      </c>
      <c r="B118" s="32">
        <v>39223</v>
      </c>
      <c r="C118" s="3" t="s">
        <v>35</v>
      </c>
      <c r="D118" s="3" t="s">
        <v>17</v>
      </c>
      <c r="E118" s="3" t="s">
        <v>54</v>
      </c>
      <c r="F118" s="3" t="s">
        <v>178</v>
      </c>
      <c r="G118" s="14">
        <v>1</v>
      </c>
      <c r="H118" s="14">
        <v>1</v>
      </c>
      <c r="I118" s="14">
        <v>0</v>
      </c>
      <c r="J118" s="3" t="s">
        <v>38</v>
      </c>
      <c r="K118" s="3" t="s">
        <v>39</v>
      </c>
      <c r="L118" s="3" t="s">
        <v>40</v>
      </c>
      <c r="M118" s="15">
        <v>1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.6">
      <c r="A119" s="13">
        <v>2007</v>
      </c>
      <c r="B119" s="32">
        <v>39244</v>
      </c>
      <c r="C119" s="3" t="s">
        <v>35</v>
      </c>
      <c r="D119" s="3" t="s">
        <v>17</v>
      </c>
      <c r="E119" s="3" t="s">
        <v>56</v>
      </c>
      <c r="F119" s="3" t="s">
        <v>179</v>
      </c>
      <c r="G119" s="14">
        <v>1</v>
      </c>
      <c r="H119" s="14">
        <v>1</v>
      </c>
      <c r="I119" s="14">
        <v>0</v>
      </c>
      <c r="J119" s="3" t="s">
        <v>38</v>
      </c>
      <c r="K119" s="3" t="s">
        <v>39</v>
      </c>
      <c r="L119" s="3" t="s">
        <v>40</v>
      </c>
      <c r="M119" s="15">
        <v>1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.6">
      <c r="A120" s="13">
        <v>2007</v>
      </c>
      <c r="B120" s="32">
        <v>39251</v>
      </c>
      <c r="C120" s="3" t="s">
        <v>35</v>
      </c>
      <c r="D120" s="3" t="s">
        <v>17</v>
      </c>
      <c r="E120" s="3" t="s">
        <v>58</v>
      </c>
      <c r="F120" s="3" t="s">
        <v>180</v>
      </c>
      <c r="G120" s="14">
        <v>1</v>
      </c>
      <c r="H120" s="14">
        <v>1</v>
      </c>
      <c r="I120" s="14">
        <v>0</v>
      </c>
      <c r="J120" s="3" t="s">
        <v>38</v>
      </c>
      <c r="K120" s="3" t="s">
        <v>39</v>
      </c>
      <c r="L120" s="3" t="s">
        <v>40</v>
      </c>
      <c r="M120" s="15">
        <v>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.6">
      <c r="A121" s="13">
        <v>2007</v>
      </c>
      <c r="B121" s="32">
        <v>39265</v>
      </c>
      <c r="C121" s="3" t="s">
        <v>35</v>
      </c>
      <c r="D121" s="3" t="s">
        <v>19</v>
      </c>
      <c r="E121" s="3" t="s">
        <v>60</v>
      </c>
      <c r="F121" s="3" t="s">
        <v>181</v>
      </c>
      <c r="G121" s="14">
        <v>1</v>
      </c>
      <c r="H121" s="14">
        <v>1</v>
      </c>
      <c r="I121" s="14">
        <v>0</v>
      </c>
      <c r="J121" s="3" t="s">
        <v>38</v>
      </c>
      <c r="K121" s="3" t="s">
        <v>39</v>
      </c>
      <c r="L121" s="3" t="s">
        <v>40</v>
      </c>
      <c r="M121" s="15">
        <v>1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.6">
      <c r="A122" s="13">
        <v>2007</v>
      </c>
      <c r="B122" s="32">
        <v>39283</v>
      </c>
      <c r="C122" s="3" t="s">
        <v>48</v>
      </c>
      <c r="D122" s="3" t="s">
        <v>19</v>
      </c>
      <c r="E122" s="3" t="s">
        <v>62</v>
      </c>
      <c r="F122" s="3" t="s">
        <v>182</v>
      </c>
      <c r="G122" s="14">
        <v>1</v>
      </c>
      <c r="H122" s="14">
        <v>1</v>
      </c>
      <c r="I122" s="14">
        <v>0</v>
      </c>
      <c r="J122" s="3" t="s">
        <v>38</v>
      </c>
      <c r="K122" s="3" t="s">
        <v>39</v>
      </c>
      <c r="L122" s="3" t="s">
        <v>40</v>
      </c>
      <c r="M122" s="15">
        <v>1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.6">
      <c r="A123" s="13">
        <v>2007</v>
      </c>
      <c r="B123" s="32">
        <v>39301</v>
      </c>
      <c r="C123" s="3" t="s">
        <v>51</v>
      </c>
      <c r="D123" s="3" t="s">
        <v>19</v>
      </c>
      <c r="E123" s="3" t="s">
        <v>64</v>
      </c>
      <c r="F123" s="3" t="s">
        <v>183</v>
      </c>
      <c r="G123" s="14">
        <v>1</v>
      </c>
      <c r="H123" s="14">
        <v>1</v>
      </c>
      <c r="I123" s="14">
        <v>0</v>
      </c>
      <c r="J123" s="3" t="s">
        <v>38</v>
      </c>
      <c r="K123" s="3" t="s">
        <v>39</v>
      </c>
      <c r="L123" s="3" t="s">
        <v>40</v>
      </c>
      <c r="M123" s="15">
        <v>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.6">
      <c r="A124" s="13">
        <v>2007</v>
      </c>
      <c r="B124" s="32">
        <v>39314</v>
      </c>
      <c r="C124" s="3" t="s">
        <v>35</v>
      </c>
      <c r="D124" s="3" t="s">
        <v>19</v>
      </c>
      <c r="E124" s="3" t="s">
        <v>66</v>
      </c>
      <c r="F124" s="3" t="s">
        <v>184</v>
      </c>
      <c r="G124" s="14">
        <v>1</v>
      </c>
      <c r="H124" s="14">
        <v>1</v>
      </c>
      <c r="I124" s="14">
        <v>0</v>
      </c>
      <c r="J124" s="3" t="s">
        <v>38</v>
      </c>
      <c r="K124" s="3" t="s">
        <v>39</v>
      </c>
      <c r="L124" s="3" t="s">
        <v>40</v>
      </c>
      <c r="M124" s="15">
        <v>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.6">
      <c r="A125" s="13">
        <v>2007</v>
      </c>
      <c r="B125" s="32">
        <v>39370</v>
      </c>
      <c r="C125" s="3" t="s">
        <v>35</v>
      </c>
      <c r="D125" s="3" t="s">
        <v>20</v>
      </c>
      <c r="E125" s="3" t="s">
        <v>68</v>
      </c>
      <c r="F125" s="3" t="s">
        <v>185</v>
      </c>
      <c r="G125" s="14">
        <v>1</v>
      </c>
      <c r="H125" s="14">
        <v>1</v>
      </c>
      <c r="I125" s="14">
        <v>0</v>
      </c>
      <c r="J125" s="3" t="s">
        <v>38</v>
      </c>
      <c r="K125" s="3" t="s">
        <v>39</v>
      </c>
      <c r="L125" s="3" t="s">
        <v>40</v>
      </c>
      <c r="M125" s="15">
        <v>1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.6">
      <c r="A126" s="13">
        <v>2007</v>
      </c>
      <c r="B126" s="32">
        <v>39391</v>
      </c>
      <c r="C126" s="3" t="s">
        <v>35</v>
      </c>
      <c r="D126" s="3" t="s">
        <v>20</v>
      </c>
      <c r="E126" s="3" t="s">
        <v>70</v>
      </c>
      <c r="F126" s="3" t="s">
        <v>186</v>
      </c>
      <c r="G126" s="14">
        <v>1</v>
      </c>
      <c r="H126" s="14">
        <v>1</v>
      </c>
      <c r="I126" s="14">
        <v>0</v>
      </c>
      <c r="J126" s="3" t="s">
        <v>38</v>
      </c>
      <c r="K126" s="3" t="s">
        <v>39</v>
      </c>
      <c r="L126" s="3" t="s">
        <v>40</v>
      </c>
      <c r="M126" s="15">
        <v>1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.6">
      <c r="A127" s="13">
        <v>2007</v>
      </c>
      <c r="B127" s="32">
        <v>39398</v>
      </c>
      <c r="C127" s="3" t="s">
        <v>35</v>
      </c>
      <c r="D127" s="3" t="s">
        <v>20</v>
      </c>
      <c r="E127" s="3" t="s">
        <v>72</v>
      </c>
      <c r="F127" s="3" t="s">
        <v>187</v>
      </c>
      <c r="G127" s="14">
        <v>1</v>
      </c>
      <c r="H127" s="14">
        <v>1</v>
      </c>
      <c r="I127" s="14">
        <v>0</v>
      </c>
      <c r="J127" s="3" t="s">
        <v>38</v>
      </c>
      <c r="K127" s="3" t="s">
        <v>39</v>
      </c>
      <c r="L127" s="3" t="s">
        <v>40</v>
      </c>
      <c r="M127" s="15">
        <v>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.6">
      <c r="A128" s="13">
        <v>2007</v>
      </c>
      <c r="B128" s="32">
        <v>39424</v>
      </c>
      <c r="C128" s="3" t="s">
        <v>74</v>
      </c>
      <c r="D128" s="3" t="s">
        <v>20</v>
      </c>
      <c r="E128" s="3" t="s">
        <v>75</v>
      </c>
      <c r="F128" s="3" t="s">
        <v>188</v>
      </c>
      <c r="G128" s="14">
        <v>1</v>
      </c>
      <c r="H128" s="14">
        <v>1</v>
      </c>
      <c r="I128" s="14">
        <v>0</v>
      </c>
      <c r="J128" s="3" t="s">
        <v>38</v>
      </c>
      <c r="K128" s="3" t="s">
        <v>39</v>
      </c>
      <c r="L128" s="3" t="s">
        <v>40</v>
      </c>
      <c r="M128" s="15">
        <v>1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.6">
      <c r="A129" s="13">
        <v>2007</v>
      </c>
      <c r="B129" s="32">
        <v>39441</v>
      </c>
      <c r="C129" s="3" t="s">
        <v>51</v>
      </c>
      <c r="D129" s="3" t="s">
        <v>20</v>
      </c>
      <c r="E129" s="3" t="s">
        <v>77</v>
      </c>
      <c r="F129" s="3" t="s">
        <v>189</v>
      </c>
      <c r="G129" s="14">
        <v>1</v>
      </c>
      <c r="H129" s="14">
        <v>1</v>
      </c>
      <c r="I129" s="14">
        <v>0</v>
      </c>
      <c r="J129" s="3" t="s">
        <v>38</v>
      </c>
      <c r="K129" s="3" t="s">
        <v>39</v>
      </c>
      <c r="L129" s="3" t="s">
        <v>40</v>
      </c>
      <c r="M129" s="15">
        <v>1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.6">
      <c r="A130" s="13">
        <v>2008</v>
      </c>
      <c r="B130" s="32">
        <v>39448</v>
      </c>
      <c r="C130" s="3" t="s">
        <v>51</v>
      </c>
      <c r="D130" s="3" t="s">
        <v>15</v>
      </c>
      <c r="E130" s="3" t="s">
        <v>36</v>
      </c>
      <c r="F130" s="3" t="s">
        <v>190</v>
      </c>
      <c r="G130" s="14">
        <v>1</v>
      </c>
      <c r="H130" s="14">
        <v>1</v>
      </c>
      <c r="I130" s="14">
        <v>0</v>
      </c>
      <c r="J130" s="3" t="s">
        <v>38</v>
      </c>
      <c r="K130" s="3" t="s">
        <v>39</v>
      </c>
      <c r="L130" s="3" t="s">
        <v>40</v>
      </c>
      <c r="M130" s="15">
        <v>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.6">
      <c r="A131" s="13">
        <v>2008</v>
      </c>
      <c r="B131" s="32">
        <v>39454</v>
      </c>
      <c r="C131" s="3" t="s">
        <v>35</v>
      </c>
      <c r="D131" s="3" t="s">
        <v>15</v>
      </c>
      <c r="E131" s="3" t="s">
        <v>41</v>
      </c>
      <c r="F131" s="3" t="s">
        <v>191</v>
      </c>
      <c r="G131" s="14">
        <v>1</v>
      </c>
      <c r="H131" s="14">
        <v>1</v>
      </c>
      <c r="I131" s="14">
        <v>0</v>
      </c>
      <c r="J131" s="3" t="s">
        <v>38</v>
      </c>
      <c r="K131" s="3" t="s">
        <v>39</v>
      </c>
      <c r="L131" s="3" t="s">
        <v>40</v>
      </c>
      <c r="M131" s="15">
        <v>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.6">
      <c r="A132" s="13">
        <v>2008</v>
      </c>
      <c r="B132" s="32">
        <v>39527</v>
      </c>
      <c r="C132" s="3" t="s">
        <v>45</v>
      </c>
      <c r="D132" s="3" t="s">
        <v>15</v>
      </c>
      <c r="E132" s="3" t="s">
        <v>46</v>
      </c>
      <c r="F132" s="3" t="s">
        <v>192</v>
      </c>
      <c r="G132" s="14">
        <v>1</v>
      </c>
      <c r="H132" s="14">
        <v>1</v>
      </c>
      <c r="I132" s="14">
        <v>0</v>
      </c>
      <c r="J132" s="3" t="s">
        <v>38</v>
      </c>
      <c r="K132" s="3" t="s">
        <v>39</v>
      </c>
      <c r="L132" s="3" t="s">
        <v>40</v>
      </c>
      <c r="M132" s="15">
        <v>1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.6">
      <c r="A133" s="13">
        <v>2008</v>
      </c>
      <c r="B133" s="32">
        <v>39528</v>
      </c>
      <c r="C133" s="3" t="s">
        <v>48</v>
      </c>
      <c r="D133" s="3" t="s">
        <v>15</v>
      </c>
      <c r="E133" s="3" t="s">
        <v>49</v>
      </c>
      <c r="F133" s="3" t="s">
        <v>193</v>
      </c>
      <c r="G133" s="14">
        <v>1</v>
      </c>
      <c r="H133" s="14">
        <v>1</v>
      </c>
      <c r="I133" s="14">
        <v>0</v>
      </c>
      <c r="J133" s="3" t="s">
        <v>38</v>
      </c>
      <c r="K133" s="3" t="s">
        <v>39</v>
      </c>
      <c r="L133" s="3" t="s">
        <v>40</v>
      </c>
      <c r="M133" s="15">
        <v>1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.6">
      <c r="A134" s="13">
        <v>2008</v>
      </c>
      <c r="B134" s="32">
        <v>39531</v>
      </c>
      <c r="C134" s="3" t="s">
        <v>35</v>
      </c>
      <c r="D134" s="3" t="s">
        <v>15</v>
      </c>
      <c r="E134" s="3" t="s">
        <v>43</v>
      </c>
      <c r="F134" s="3" t="s">
        <v>194</v>
      </c>
      <c r="G134" s="14">
        <v>1</v>
      </c>
      <c r="H134" s="14">
        <v>1</v>
      </c>
      <c r="I134" s="14">
        <v>0</v>
      </c>
      <c r="J134" s="3" t="s">
        <v>38</v>
      </c>
      <c r="K134" s="3" t="s">
        <v>39</v>
      </c>
      <c r="L134" s="3" t="s">
        <v>40</v>
      </c>
      <c r="M134" s="15">
        <v>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.6">
      <c r="A135" s="13">
        <v>2008</v>
      </c>
      <c r="B135" s="32">
        <v>39569</v>
      </c>
      <c r="C135" s="3" t="s">
        <v>45</v>
      </c>
      <c r="D135" s="3" t="s">
        <v>17</v>
      </c>
      <c r="E135" s="3" t="s">
        <v>52</v>
      </c>
      <c r="F135" s="3" t="s">
        <v>195</v>
      </c>
      <c r="G135" s="14">
        <v>1</v>
      </c>
      <c r="H135" s="14">
        <v>1</v>
      </c>
      <c r="I135" s="14">
        <v>0</v>
      </c>
      <c r="J135" s="3" t="s">
        <v>38</v>
      </c>
      <c r="K135" s="3" t="s">
        <v>39</v>
      </c>
      <c r="L135" s="3" t="s">
        <v>40</v>
      </c>
      <c r="M135" s="15">
        <v>1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.6">
      <c r="A136" s="13">
        <v>2008</v>
      </c>
      <c r="B136" s="32">
        <v>39573</v>
      </c>
      <c r="C136" s="3" t="s">
        <v>35</v>
      </c>
      <c r="D136" s="3" t="s">
        <v>17</v>
      </c>
      <c r="E136" s="3" t="s">
        <v>54</v>
      </c>
      <c r="F136" s="3" t="s">
        <v>195</v>
      </c>
      <c r="G136" s="14">
        <v>1</v>
      </c>
      <c r="H136" s="14">
        <v>1</v>
      </c>
      <c r="I136" s="14">
        <v>0</v>
      </c>
      <c r="J136" s="3" t="s">
        <v>38</v>
      </c>
      <c r="K136" s="3" t="s">
        <v>39</v>
      </c>
      <c r="L136" s="3" t="s">
        <v>40</v>
      </c>
      <c r="M136" s="15">
        <v>1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.6">
      <c r="A137" s="13">
        <v>2008</v>
      </c>
      <c r="B137" s="32">
        <v>39594</v>
      </c>
      <c r="C137" s="3" t="s">
        <v>35</v>
      </c>
      <c r="D137" s="3" t="s">
        <v>17</v>
      </c>
      <c r="E137" s="3" t="s">
        <v>56</v>
      </c>
      <c r="F137" s="3" t="s">
        <v>196</v>
      </c>
      <c r="G137" s="14">
        <v>1</v>
      </c>
      <c r="H137" s="14">
        <v>1</v>
      </c>
      <c r="I137" s="14">
        <v>0</v>
      </c>
      <c r="J137" s="3" t="s">
        <v>38</v>
      </c>
      <c r="K137" s="3" t="s">
        <v>39</v>
      </c>
      <c r="L137" s="3" t="s">
        <v>40</v>
      </c>
      <c r="M137" s="15">
        <v>1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.6">
      <c r="A138" s="13">
        <v>2008</v>
      </c>
      <c r="B138" s="32">
        <v>39601</v>
      </c>
      <c r="C138" s="3" t="s">
        <v>35</v>
      </c>
      <c r="D138" s="3" t="s">
        <v>17</v>
      </c>
      <c r="E138" s="3" t="s">
        <v>58</v>
      </c>
      <c r="F138" s="3" t="s">
        <v>197</v>
      </c>
      <c r="G138" s="14">
        <v>1</v>
      </c>
      <c r="H138" s="14">
        <v>1</v>
      </c>
      <c r="I138" s="14">
        <v>0</v>
      </c>
      <c r="J138" s="3" t="s">
        <v>38</v>
      </c>
      <c r="K138" s="3" t="s">
        <v>39</v>
      </c>
      <c r="L138" s="3" t="s">
        <v>40</v>
      </c>
      <c r="M138" s="15">
        <v>1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.6">
      <c r="A139" s="13">
        <v>2008</v>
      </c>
      <c r="B139" s="32">
        <v>39629</v>
      </c>
      <c r="C139" s="3" t="s">
        <v>35</v>
      </c>
      <c r="D139" s="3" t="s">
        <v>17</v>
      </c>
      <c r="E139" s="3" t="s">
        <v>60</v>
      </c>
      <c r="F139" s="3" t="s">
        <v>198</v>
      </c>
      <c r="G139" s="14">
        <v>1</v>
      </c>
      <c r="H139" s="14">
        <v>1</v>
      </c>
      <c r="I139" s="14">
        <v>0</v>
      </c>
      <c r="J139" s="3" t="s">
        <v>38</v>
      </c>
      <c r="K139" s="3" t="s">
        <v>39</v>
      </c>
      <c r="L139" s="3" t="s">
        <v>40</v>
      </c>
      <c r="M139" s="15">
        <v>1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.6">
      <c r="A140" s="13">
        <v>2008</v>
      </c>
      <c r="B140" s="32">
        <v>39649</v>
      </c>
      <c r="C140" s="3" t="s">
        <v>96</v>
      </c>
      <c r="D140" s="3" t="s">
        <v>19</v>
      </c>
      <c r="E140" s="3" t="s">
        <v>62</v>
      </c>
      <c r="F140" s="3" t="s">
        <v>199</v>
      </c>
      <c r="G140" s="14">
        <v>1</v>
      </c>
      <c r="H140" s="14">
        <v>0</v>
      </c>
      <c r="I140" s="14">
        <v>0</v>
      </c>
      <c r="J140" s="3" t="s">
        <v>98</v>
      </c>
      <c r="K140" s="3" t="s">
        <v>39</v>
      </c>
      <c r="L140" s="3" t="s">
        <v>40</v>
      </c>
      <c r="M140" s="15">
        <v>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.6">
      <c r="A141" s="13">
        <v>2008</v>
      </c>
      <c r="B141" s="32">
        <v>39667</v>
      </c>
      <c r="C141" s="3" t="s">
        <v>45</v>
      </c>
      <c r="D141" s="3" t="s">
        <v>19</v>
      </c>
      <c r="E141" s="3" t="s">
        <v>64</v>
      </c>
      <c r="F141" s="3" t="s">
        <v>200</v>
      </c>
      <c r="G141" s="14">
        <v>1</v>
      </c>
      <c r="H141" s="14">
        <v>1</v>
      </c>
      <c r="I141" s="14">
        <v>0</v>
      </c>
      <c r="J141" s="3" t="s">
        <v>38</v>
      </c>
      <c r="K141" s="3" t="s">
        <v>39</v>
      </c>
      <c r="L141" s="3" t="s">
        <v>40</v>
      </c>
      <c r="M141" s="15">
        <v>1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.6">
      <c r="A142" s="13">
        <v>2008</v>
      </c>
      <c r="B142" s="32">
        <v>39678</v>
      </c>
      <c r="C142" s="3" t="s">
        <v>35</v>
      </c>
      <c r="D142" s="3" t="s">
        <v>19</v>
      </c>
      <c r="E142" s="3" t="s">
        <v>66</v>
      </c>
      <c r="F142" s="3" t="s">
        <v>201</v>
      </c>
      <c r="G142" s="14">
        <v>1</v>
      </c>
      <c r="H142" s="14">
        <v>1</v>
      </c>
      <c r="I142" s="14">
        <v>0</v>
      </c>
      <c r="J142" s="3" t="s">
        <v>38</v>
      </c>
      <c r="K142" s="3" t="s">
        <v>39</v>
      </c>
      <c r="L142" s="3" t="s">
        <v>40</v>
      </c>
      <c r="M142" s="15">
        <v>1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.6">
      <c r="A143" s="13">
        <v>2008</v>
      </c>
      <c r="B143" s="32">
        <v>39734</v>
      </c>
      <c r="C143" s="3" t="s">
        <v>35</v>
      </c>
      <c r="D143" s="3" t="s">
        <v>20</v>
      </c>
      <c r="E143" s="3" t="s">
        <v>68</v>
      </c>
      <c r="F143" s="3" t="s">
        <v>202</v>
      </c>
      <c r="G143" s="14">
        <v>1</v>
      </c>
      <c r="H143" s="14">
        <v>1</v>
      </c>
      <c r="I143" s="14">
        <v>0</v>
      </c>
      <c r="J143" s="3" t="s">
        <v>38</v>
      </c>
      <c r="K143" s="3" t="s">
        <v>39</v>
      </c>
      <c r="L143" s="3" t="s">
        <v>40</v>
      </c>
      <c r="M143" s="15">
        <v>1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.6">
      <c r="A144" s="13">
        <v>2008</v>
      </c>
      <c r="B144" s="32">
        <v>39755</v>
      </c>
      <c r="C144" s="3" t="s">
        <v>35</v>
      </c>
      <c r="D144" s="3" t="s">
        <v>20</v>
      </c>
      <c r="E144" s="3" t="s">
        <v>70</v>
      </c>
      <c r="F144" s="3" t="s">
        <v>203</v>
      </c>
      <c r="G144" s="14">
        <v>1</v>
      </c>
      <c r="H144" s="14">
        <v>1</v>
      </c>
      <c r="I144" s="14">
        <v>0</v>
      </c>
      <c r="J144" s="3" t="s">
        <v>38</v>
      </c>
      <c r="K144" s="3" t="s">
        <v>39</v>
      </c>
      <c r="L144" s="3" t="s">
        <v>40</v>
      </c>
      <c r="M144" s="15">
        <v>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.6">
      <c r="A145" s="13">
        <v>2008</v>
      </c>
      <c r="B145" s="32">
        <v>39769</v>
      </c>
      <c r="C145" s="3" t="s">
        <v>35</v>
      </c>
      <c r="D145" s="3" t="s">
        <v>20</v>
      </c>
      <c r="E145" s="3" t="s">
        <v>72</v>
      </c>
      <c r="F145" s="3" t="s">
        <v>204</v>
      </c>
      <c r="G145" s="14">
        <v>1</v>
      </c>
      <c r="H145" s="14">
        <v>1</v>
      </c>
      <c r="I145" s="14">
        <v>0</v>
      </c>
      <c r="J145" s="3" t="s">
        <v>38</v>
      </c>
      <c r="K145" s="3" t="s">
        <v>39</v>
      </c>
      <c r="L145" s="3" t="s">
        <v>40</v>
      </c>
      <c r="M145" s="15">
        <v>1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.6">
      <c r="A146" s="13">
        <v>2008</v>
      </c>
      <c r="B146" s="32">
        <v>39790</v>
      </c>
      <c r="C146" s="3" t="s">
        <v>35</v>
      </c>
      <c r="D146" s="3" t="s">
        <v>20</v>
      </c>
      <c r="E146" s="3" t="s">
        <v>75</v>
      </c>
      <c r="F146" s="3" t="s">
        <v>205</v>
      </c>
      <c r="G146" s="14">
        <v>1</v>
      </c>
      <c r="H146" s="14">
        <v>1</v>
      </c>
      <c r="I146" s="14">
        <v>0</v>
      </c>
      <c r="J146" s="3" t="s">
        <v>38</v>
      </c>
      <c r="K146" s="3" t="s">
        <v>39</v>
      </c>
      <c r="L146" s="3" t="s">
        <v>40</v>
      </c>
      <c r="M146" s="15">
        <v>1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.6">
      <c r="A147" s="13">
        <v>2008</v>
      </c>
      <c r="B147" s="32">
        <v>39807</v>
      </c>
      <c r="C147" s="3" t="s">
        <v>45</v>
      </c>
      <c r="D147" s="3" t="s">
        <v>20</v>
      </c>
      <c r="E147" s="3" t="s">
        <v>77</v>
      </c>
      <c r="F147" s="3" t="s">
        <v>206</v>
      </c>
      <c r="G147" s="14">
        <v>1</v>
      </c>
      <c r="H147" s="14">
        <v>1</v>
      </c>
      <c r="I147" s="14">
        <v>0</v>
      </c>
      <c r="J147" s="3" t="s">
        <v>38</v>
      </c>
      <c r="K147" s="3" t="s">
        <v>39</v>
      </c>
      <c r="L147" s="3" t="s">
        <v>40</v>
      </c>
      <c r="M147" s="15">
        <v>1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.6">
      <c r="A148" s="13">
        <v>2009</v>
      </c>
      <c r="B148" s="32">
        <v>39814</v>
      </c>
      <c r="C148" s="3" t="s">
        <v>45</v>
      </c>
      <c r="D148" s="3" t="s">
        <v>15</v>
      </c>
      <c r="E148" s="3" t="s">
        <v>36</v>
      </c>
      <c r="F148" s="3" t="s">
        <v>207</v>
      </c>
      <c r="G148" s="14">
        <v>1</v>
      </c>
      <c r="H148" s="14">
        <v>1</v>
      </c>
      <c r="I148" s="14">
        <v>0</v>
      </c>
      <c r="J148" s="3" t="s">
        <v>38</v>
      </c>
      <c r="K148" s="3" t="s">
        <v>39</v>
      </c>
      <c r="L148" s="3" t="s">
        <v>40</v>
      </c>
      <c r="M148" s="15">
        <v>1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.6">
      <c r="A149" s="13">
        <v>2009</v>
      </c>
      <c r="B149" s="32">
        <v>39825</v>
      </c>
      <c r="C149" s="3" t="s">
        <v>35</v>
      </c>
      <c r="D149" s="3" t="s">
        <v>15</v>
      </c>
      <c r="E149" s="3" t="s">
        <v>41</v>
      </c>
      <c r="F149" s="3" t="s">
        <v>208</v>
      </c>
      <c r="G149" s="14">
        <v>1</v>
      </c>
      <c r="H149" s="14">
        <v>1</v>
      </c>
      <c r="I149" s="14">
        <v>0</v>
      </c>
      <c r="J149" s="3" t="s">
        <v>38</v>
      </c>
      <c r="K149" s="3" t="s">
        <v>39</v>
      </c>
      <c r="L149" s="3" t="s">
        <v>40</v>
      </c>
      <c r="M149" s="15">
        <v>1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.6">
      <c r="A150" s="13">
        <v>2009</v>
      </c>
      <c r="B150" s="32">
        <v>39895</v>
      </c>
      <c r="C150" s="3" t="s">
        <v>35</v>
      </c>
      <c r="D150" s="3" t="s">
        <v>15</v>
      </c>
      <c r="E150" s="3" t="s">
        <v>43</v>
      </c>
      <c r="F150" s="3" t="s">
        <v>209</v>
      </c>
      <c r="G150" s="14">
        <v>1</v>
      </c>
      <c r="H150" s="14">
        <v>1</v>
      </c>
      <c r="I150" s="14">
        <v>0</v>
      </c>
      <c r="J150" s="3" t="s">
        <v>38</v>
      </c>
      <c r="K150" s="3" t="s">
        <v>39</v>
      </c>
      <c r="L150" s="3" t="s">
        <v>40</v>
      </c>
      <c r="M150" s="15">
        <v>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.6">
      <c r="A151" s="13">
        <v>2009</v>
      </c>
      <c r="B151" s="32">
        <v>39912</v>
      </c>
      <c r="C151" s="3" t="s">
        <v>45</v>
      </c>
      <c r="D151" s="3" t="s">
        <v>17</v>
      </c>
      <c r="E151" s="3" t="s">
        <v>46</v>
      </c>
      <c r="F151" s="3" t="s">
        <v>210</v>
      </c>
      <c r="G151" s="14">
        <v>1</v>
      </c>
      <c r="H151" s="14">
        <v>1</v>
      </c>
      <c r="I151" s="14">
        <v>0</v>
      </c>
      <c r="J151" s="3" t="s">
        <v>38</v>
      </c>
      <c r="K151" s="3" t="s">
        <v>39</v>
      </c>
      <c r="L151" s="3" t="s">
        <v>40</v>
      </c>
      <c r="M151" s="15">
        <v>1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.6">
      <c r="A152" s="13">
        <v>2009</v>
      </c>
      <c r="B152" s="32">
        <v>39913</v>
      </c>
      <c r="C152" s="3" t="s">
        <v>48</v>
      </c>
      <c r="D152" s="3" t="s">
        <v>17</v>
      </c>
      <c r="E152" s="3" t="s">
        <v>49</v>
      </c>
      <c r="F152" s="3" t="s">
        <v>211</v>
      </c>
      <c r="G152" s="14">
        <v>1</v>
      </c>
      <c r="H152" s="14">
        <v>1</v>
      </c>
      <c r="I152" s="14">
        <v>0</v>
      </c>
      <c r="J152" s="3" t="s">
        <v>38</v>
      </c>
      <c r="K152" s="3" t="s">
        <v>39</v>
      </c>
      <c r="L152" s="3" t="s">
        <v>40</v>
      </c>
      <c r="M152" s="15">
        <v>1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.6">
      <c r="A153" s="13">
        <v>2009</v>
      </c>
      <c r="B153" s="32">
        <v>39934</v>
      </c>
      <c r="C153" s="3" t="s">
        <v>48</v>
      </c>
      <c r="D153" s="3" t="s">
        <v>17</v>
      </c>
      <c r="E153" s="3" t="s">
        <v>52</v>
      </c>
      <c r="F153" s="3" t="s">
        <v>212</v>
      </c>
      <c r="G153" s="14">
        <v>1</v>
      </c>
      <c r="H153" s="14">
        <v>1</v>
      </c>
      <c r="I153" s="14">
        <v>0</v>
      </c>
      <c r="J153" s="3" t="s">
        <v>38</v>
      </c>
      <c r="K153" s="3" t="s">
        <v>39</v>
      </c>
      <c r="L153" s="3" t="s">
        <v>40</v>
      </c>
      <c r="M153" s="15">
        <v>1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.6">
      <c r="A154" s="13">
        <v>2009</v>
      </c>
      <c r="B154" s="32">
        <v>39958</v>
      </c>
      <c r="C154" s="3" t="s">
        <v>35</v>
      </c>
      <c r="D154" s="3" t="s">
        <v>17</v>
      </c>
      <c r="E154" s="3" t="s">
        <v>54</v>
      </c>
      <c r="F154" s="3" t="s">
        <v>213</v>
      </c>
      <c r="G154" s="14">
        <v>1</v>
      </c>
      <c r="H154" s="14">
        <v>1</v>
      </c>
      <c r="I154" s="14">
        <v>0</v>
      </c>
      <c r="J154" s="3" t="s">
        <v>38</v>
      </c>
      <c r="K154" s="3" t="s">
        <v>39</v>
      </c>
      <c r="L154" s="3" t="s">
        <v>40</v>
      </c>
      <c r="M154" s="15">
        <v>1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.6">
      <c r="A155" s="13">
        <v>2009</v>
      </c>
      <c r="B155" s="32">
        <v>39979</v>
      </c>
      <c r="C155" s="3" t="s">
        <v>35</v>
      </c>
      <c r="D155" s="3" t="s">
        <v>17</v>
      </c>
      <c r="E155" s="3" t="s">
        <v>56</v>
      </c>
      <c r="F155" s="3" t="s">
        <v>214</v>
      </c>
      <c r="G155" s="14">
        <v>1</v>
      </c>
      <c r="H155" s="14">
        <v>1</v>
      </c>
      <c r="I155" s="14">
        <v>0</v>
      </c>
      <c r="J155" s="3" t="s">
        <v>38</v>
      </c>
      <c r="K155" s="3" t="s">
        <v>39</v>
      </c>
      <c r="L155" s="3" t="s">
        <v>40</v>
      </c>
      <c r="M155" s="15">
        <v>1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.6">
      <c r="A156" s="13">
        <v>2009</v>
      </c>
      <c r="B156" s="32">
        <v>39986</v>
      </c>
      <c r="C156" s="3" t="s">
        <v>35</v>
      </c>
      <c r="D156" s="3" t="s">
        <v>17</v>
      </c>
      <c r="E156" s="3" t="s">
        <v>58</v>
      </c>
      <c r="F156" s="3" t="s">
        <v>215</v>
      </c>
      <c r="G156" s="14">
        <v>1</v>
      </c>
      <c r="H156" s="14">
        <v>1</v>
      </c>
      <c r="I156" s="14">
        <v>0</v>
      </c>
      <c r="J156" s="3" t="s">
        <v>38</v>
      </c>
      <c r="K156" s="3" t="s">
        <v>39</v>
      </c>
      <c r="L156" s="3" t="s">
        <v>40</v>
      </c>
      <c r="M156" s="15">
        <v>1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.6">
      <c r="A157" s="13">
        <v>2009</v>
      </c>
      <c r="B157" s="32">
        <v>39993</v>
      </c>
      <c r="C157" s="3" t="s">
        <v>35</v>
      </c>
      <c r="D157" s="3" t="s">
        <v>17</v>
      </c>
      <c r="E157" s="3" t="s">
        <v>60</v>
      </c>
      <c r="F157" s="3" t="s">
        <v>216</v>
      </c>
      <c r="G157" s="14">
        <v>1</v>
      </c>
      <c r="H157" s="14">
        <v>1</v>
      </c>
      <c r="I157" s="14">
        <v>0</v>
      </c>
      <c r="J157" s="3" t="s">
        <v>38</v>
      </c>
      <c r="K157" s="3" t="s">
        <v>39</v>
      </c>
      <c r="L157" s="3" t="s">
        <v>40</v>
      </c>
      <c r="M157" s="15">
        <v>1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.6">
      <c r="A158" s="13">
        <v>2009</v>
      </c>
      <c r="B158" s="32">
        <v>40014</v>
      </c>
      <c r="C158" s="3" t="s">
        <v>35</v>
      </c>
      <c r="D158" s="3" t="s">
        <v>19</v>
      </c>
      <c r="E158" s="3" t="s">
        <v>62</v>
      </c>
      <c r="F158" s="3" t="s">
        <v>217</v>
      </c>
      <c r="G158" s="14">
        <v>1</v>
      </c>
      <c r="H158" s="14">
        <v>1</v>
      </c>
      <c r="I158" s="14">
        <v>0</v>
      </c>
      <c r="J158" s="3" t="s">
        <v>38</v>
      </c>
      <c r="K158" s="3" t="s">
        <v>39</v>
      </c>
      <c r="L158" s="3" t="s">
        <v>40</v>
      </c>
      <c r="M158" s="15">
        <v>1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.6">
      <c r="A159" s="13">
        <v>2009</v>
      </c>
      <c r="B159" s="32">
        <v>40032</v>
      </c>
      <c r="C159" s="3" t="s">
        <v>48</v>
      </c>
      <c r="D159" s="3" t="s">
        <v>19</v>
      </c>
      <c r="E159" s="3" t="s">
        <v>64</v>
      </c>
      <c r="F159" s="3" t="s">
        <v>218</v>
      </c>
      <c r="G159" s="14">
        <v>1</v>
      </c>
      <c r="H159" s="14">
        <v>1</v>
      </c>
      <c r="I159" s="14">
        <v>0</v>
      </c>
      <c r="J159" s="3" t="s">
        <v>38</v>
      </c>
      <c r="K159" s="3" t="s">
        <v>39</v>
      </c>
      <c r="L159" s="3" t="s">
        <v>40</v>
      </c>
      <c r="M159" s="15">
        <v>1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.6">
      <c r="A160" s="13">
        <v>2009</v>
      </c>
      <c r="B160" s="32">
        <v>40042</v>
      </c>
      <c r="C160" s="3" t="s">
        <v>35</v>
      </c>
      <c r="D160" s="3" t="s">
        <v>19</v>
      </c>
      <c r="E160" s="3" t="s">
        <v>66</v>
      </c>
      <c r="F160" s="3" t="s">
        <v>219</v>
      </c>
      <c r="G160" s="14">
        <v>1</v>
      </c>
      <c r="H160" s="14">
        <v>1</v>
      </c>
      <c r="I160" s="14">
        <v>0</v>
      </c>
      <c r="J160" s="3" t="s">
        <v>38</v>
      </c>
      <c r="K160" s="3" t="s">
        <v>39</v>
      </c>
      <c r="L160" s="3" t="s">
        <v>40</v>
      </c>
      <c r="M160" s="15">
        <v>1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.6">
      <c r="A161" s="13">
        <v>2009</v>
      </c>
      <c r="B161" s="32">
        <v>40098</v>
      </c>
      <c r="C161" s="3" t="s">
        <v>35</v>
      </c>
      <c r="D161" s="3" t="s">
        <v>20</v>
      </c>
      <c r="E161" s="3" t="s">
        <v>68</v>
      </c>
      <c r="F161" s="3" t="s">
        <v>220</v>
      </c>
      <c r="G161" s="14">
        <v>1</v>
      </c>
      <c r="H161" s="14">
        <v>1</v>
      </c>
      <c r="I161" s="14">
        <v>0</v>
      </c>
      <c r="J161" s="3" t="s">
        <v>38</v>
      </c>
      <c r="K161" s="3" t="s">
        <v>39</v>
      </c>
      <c r="L161" s="3" t="s">
        <v>40</v>
      </c>
      <c r="M161" s="15">
        <v>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.6">
      <c r="A162" s="13">
        <v>2009</v>
      </c>
      <c r="B162" s="32">
        <v>40119</v>
      </c>
      <c r="C162" s="3" t="s">
        <v>35</v>
      </c>
      <c r="D162" s="3" t="s">
        <v>20</v>
      </c>
      <c r="E162" s="3" t="s">
        <v>70</v>
      </c>
      <c r="F162" s="3" t="s">
        <v>221</v>
      </c>
      <c r="G162" s="14">
        <v>1</v>
      </c>
      <c r="H162" s="14">
        <v>1</v>
      </c>
      <c r="I162" s="14">
        <v>0</v>
      </c>
      <c r="J162" s="3" t="s">
        <v>38</v>
      </c>
      <c r="K162" s="3" t="s">
        <v>39</v>
      </c>
      <c r="L162" s="3" t="s">
        <v>40</v>
      </c>
      <c r="M162" s="15">
        <v>1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.6">
      <c r="A163" s="13">
        <v>2009</v>
      </c>
      <c r="B163" s="32">
        <v>40133</v>
      </c>
      <c r="C163" s="3" t="s">
        <v>35</v>
      </c>
      <c r="D163" s="3" t="s">
        <v>20</v>
      </c>
      <c r="E163" s="3" t="s">
        <v>72</v>
      </c>
      <c r="F163" s="3" t="s">
        <v>222</v>
      </c>
      <c r="G163" s="14">
        <v>1</v>
      </c>
      <c r="H163" s="14">
        <v>1</v>
      </c>
      <c r="I163" s="14">
        <v>0</v>
      </c>
      <c r="J163" s="3" t="s">
        <v>38</v>
      </c>
      <c r="K163" s="3" t="s">
        <v>39</v>
      </c>
      <c r="L163" s="3" t="s">
        <v>40</v>
      </c>
      <c r="M163" s="15">
        <v>1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.6">
      <c r="A164" s="13">
        <v>2009</v>
      </c>
      <c r="B164" s="32">
        <v>40155</v>
      </c>
      <c r="C164" s="3" t="s">
        <v>51</v>
      </c>
      <c r="D164" s="3" t="s">
        <v>20</v>
      </c>
      <c r="E164" s="3" t="s">
        <v>75</v>
      </c>
      <c r="F164" s="3" t="s">
        <v>223</v>
      </c>
      <c r="G164" s="14">
        <v>1</v>
      </c>
      <c r="H164" s="14">
        <v>1</v>
      </c>
      <c r="I164" s="14">
        <v>0</v>
      </c>
      <c r="J164" s="3" t="s">
        <v>38</v>
      </c>
      <c r="K164" s="3" t="s">
        <v>39</v>
      </c>
      <c r="L164" s="3" t="s">
        <v>40</v>
      </c>
      <c r="M164" s="15">
        <v>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.6">
      <c r="A165" s="13">
        <v>2009</v>
      </c>
      <c r="B165" s="32">
        <v>40172</v>
      </c>
      <c r="C165" s="3" t="s">
        <v>48</v>
      </c>
      <c r="D165" s="3" t="s">
        <v>20</v>
      </c>
      <c r="E165" s="3" t="s">
        <v>77</v>
      </c>
      <c r="F165" s="3" t="s">
        <v>224</v>
      </c>
      <c r="G165" s="14">
        <v>1</v>
      </c>
      <c r="H165" s="14">
        <v>1</v>
      </c>
      <c r="I165" s="14">
        <v>0</v>
      </c>
      <c r="J165" s="3" t="s">
        <v>38</v>
      </c>
      <c r="K165" s="3" t="s">
        <v>39</v>
      </c>
      <c r="L165" s="3" t="s">
        <v>40</v>
      </c>
      <c r="M165" s="15">
        <v>1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.6">
      <c r="A166" s="13">
        <v>2010</v>
      </c>
      <c r="B166" s="32">
        <v>40179</v>
      </c>
      <c r="C166" s="3" t="s">
        <v>48</v>
      </c>
      <c r="D166" s="3" t="s">
        <v>15</v>
      </c>
      <c r="E166" s="3" t="s">
        <v>36</v>
      </c>
      <c r="F166" s="3" t="s">
        <v>225</v>
      </c>
      <c r="G166" s="14">
        <v>1</v>
      </c>
      <c r="H166" s="14">
        <v>1</v>
      </c>
      <c r="I166" s="14">
        <v>0</v>
      </c>
      <c r="J166" s="3" t="s">
        <v>38</v>
      </c>
      <c r="K166" s="3" t="s">
        <v>39</v>
      </c>
      <c r="L166" s="3" t="s">
        <v>40</v>
      </c>
      <c r="M166" s="15">
        <v>1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.6">
      <c r="A167" s="13">
        <v>2010</v>
      </c>
      <c r="B167" s="32">
        <v>40189</v>
      </c>
      <c r="C167" s="3" t="s">
        <v>35</v>
      </c>
      <c r="D167" s="3" t="s">
        <v>15</v>
      </c>
      <c r="E167" s="3" t="s">
        <v>41</v>
      </c>
      <c r="F167" s="3" t="s">
        <v>226</v>
      </c>
      <c r="G167" s="14">
        <v>1</v>
      </c>
      <c r="H167" s="14">
        <v>1</v>
      </c>
      <c r="I167" s="14">
        <v>0</v>
      </c>
      <c r="J167" s="3" t="s">
        <v>38</v>
      </c>
      <c r="K167" s="3" t="s">
        <v>39</v>
      </c>
      <c r="L167" s="3" t="s">
        <v>40</v>
      </c>
      <c r="M167" s="15">
        <v>1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.6">
      <c r="A168" s="13">
        <v>2010</v>
      </c>
      <c r="B168" s="32">
        <v>40259</v>
      </c>
      <c r="C168" s="3" t="s">
        <v>35</v>
      </c>
      <c r="D168" s="3" t="s">
        <v>15</v>
      </c>
      <c r="E168" s="3" t="s">
        <v>43</v>
      </c>
      <c r="F168" s="3" t="s">
        <v>227</v>
      </c>
      <c r="G168" s="14">
        <v>1</v>
      </c>
      <c r="H168" s="14">
        <v>1</v>
      </c>
      <c r="I168" s="14">
        <v>0</v>
      </c>
      <c r="J168" s="3" t="s">
        <v>38</v>
      </c>
      <c r="K168" s="3" t="s">
        <v>39</v>
      </c>
      <c r="L168" s="3" t="s">
        <v>40</v>
      </c>
      <c r="M168" s="15">
        <v>1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.6">
      <c r="A169" s="13">
        <v>2010</v>
      </c>
      <c r="B169" s="32">
        <v>40269</v>
      </c>
      <c r="C169" s="3" t="s">
        <v>45</v>
      </c>
      <c r="D169" s="3" t="s">
        <v>17</v>
      </c>
      <c r="E169" s="3" t="s">
        <v>46</v>
      </c>
      <c r="F169" s="3" t="s">
        <v>228</v>
      </c>
      <c r="G169" s="14">
        <v>1</v>
      </c>
      <c r="H169" s="14">
        <v>1</v>
      </c>
      <c r="I169" s="14">
        <v>0</v>
      </c>
      <c r="J169" s="3" t="s">
        <v>38</v>
      </c>
      <c r="K169" s="3" t="s">
        <v>39</v>
      </c>
      <c r="L169" s="3" t="s">
        <v>40</v>
      </c>
      <c r="M169" s="15">
        <v>1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.6">
      <c r="A170" s="13">
        <v>2010</v>
      </c>
      <c r="B170" s="32">
        <v>40270</v>
      </c>
      <c r="C170" s="3" t="s">
        <v>48</v>
      </c>
      <c r="D170" s="3" t="s">
        <v>17</v>
      </c>
      <c r="E170" s="3" t="s">
        <v>49</v>
      </c>
      <c r="F170" s="3" t="s">
        <v>229</v>
      </c>
      <c r="G170" s="14">
        <v>1</v>
      </c>
      <c r="H170" s="14">
        <v>1</v>
      </c>
      <c r="I170" s="14">
        <v>0</v>
      </c>
      <c r="J170" s="3" t="s">
        <v>38</v>
      </c>
      <c r="K170" s="3" t="s">
        <v>39</v>
      </c>
      <c r="L170" s="3" t="s">
        <v>40</v>
      </c>
      <c r="M170" s="15">
        <v>1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.6">
      <c r="A171" s="13">
        <v>2010</v>
      </c>
      <c r="B171" s="32">
        <v>40299</v>
      </c>
      <c r="C171" s="3" t="s">
        <v>74</v>
      </c>
      <c r="D171" s="3" t="s">
        <v>17</v>
      </c>
      <c r="E171" s="3" t="s">
        <v>52</v>
      </c>
      <c r="F171" s="3" t="s">
        <v>230</v>
      </c>
      <c r="G171" s="14">
        <v>1</v>
      </c>
      <c r="H171" s="14">
        <v>1</v>
      </c>
      <c r="I171" s="14">
        <v>0</v>
      </c>
      <c r="J171" s="3" t="s">
        <v>38</v>
      </c>
      <c r="K171" s="3" t="s">
        <v>39</v>
      </c>
      <c r="L171" s="3" t="s">
        <v>40</v>
      </c>
      <c r="M171" s="15">
        <v>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.6">
      <c r="A172" s="13">
        <v>2010</v>
      </c>
      <c r="B172" s="32">
        <v>40315</v>
      </c>
      <c r="C172" s="3" t="s">
        <v>35</v>
      </c>
      <c r="D172" s="3" t="s">
        <v>17</v>
      </c>
      <c r="E172" s="3" t="s">
        <v>54</v>
      </c>
      <c r="F172" s="3" t="s">
        <v>231</v>
      </c>
      <c r="G172" s="14">
        <v>1</v>
      </c>
      <c r="H172" s="14">
        <v>1</v>
      </c>
      <c r="I172" s="14">
        <v>0</v>
      </c>
      <c r="J172" s="3" t="s">
        <v>38</v>
      </c>
      <c r="K172" s="3" t="s">
        <v>39</v>
      </c>
      <c r="L172" s="3" t="s">
        <v>40</v>
      </c>
      <c r="M172" s="15">
        <v>1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.6">
      <c r="A173" s="13">
        <v>2010</v>
      </c>
      <c r="B173" s="32">
        <v>40336</v>
      </c>
      <c r="C173" s="3" t="s">
        <v>35</v>
      </c>
      <c r="D173" s="3" t="s">
        <v>17</v>
      </c>
      <c r="E173" s="3" t="s">
        <v>56</v>
      </c>
      <c r="F173" s="3" t="s">
        <v>232</v>
      </c>
      <c r="G173" s="14">
        <v>1</v>
      </c>
      <c r="H173" s="14">
        <v>1</v>
      </c>
      <c r="I173" s="14">
        <v>0</v>
      </c>
      <c r="J173" s="3" t="s">
        <v>38</v>
      </c>
      <c r="K173" s="3" t="s">
        <v>39</v>
      </c>
      <c r="L173" s="3" t="s">
        <v>40</v>
      </c>
      <c r="M173" s="15">
        <v>1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.6">
      <c r="A174" s="13">
        <v>2010</v>
      </c>
      <c r="B174" s="32">
        <v>40343</v>
      </c>
      <c r="C174" s="3" t="s">
        <v>35</v>
      </c>
      <c r="D174" s="3" t="s">
        <v>17</v>
      </c>
      <c r="E174" s="3" t="s">
        <v>58</v>
      </c>
      <c r="F174" s="3" t="s">
        <v>233</v>
      </c>
      <c r="G174" s="14">
        <v>1</v>
      </c>
      <c r="H174" s="14">
        <v>1</v>
      </c>
      <c r="I174" s="14">
        <v>0</v>
      </c>
      <c r="J174" s="3" t="s">
        <v>38</v>
      </c>
      <c r="K174" s="3" t="s">
        <v>39</v>
      </c>
      <c r="L174" s="3" t="s">
        <v>40</v>
      </c>
      <c r="M174" s="15">
        <v>1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.6">
      <c r="A175" s="13">
        <v>2010</v>
      </c>
      <c r="B175" s="32">
        <v>40364</v>
      </c>
      <c r="C175" s="3" t="s">
        <v>35</v>
      </c>
      <c r="D175" s="3" t="s">
        <v>19</v>
      </c>
      <c r="E175" s="3" t="s">
        <v>60</v>
      </c>
      <c r="F175" s="3" t="s">
        <v>234</v>
      </c>
      <c r="G175" s="14">
        <v>1</v>
      </c>
      <c r="H175" s="14">
        <v>1</v>
      </c>
      <c r="I175" s="14">
        <v>0</v>
      </c>
      <c r="J175" s="3" t="s">
        <v>38</v>
      </c>
      <c r="K175" s="3" t="s">
        <v>39</v>
      </c>
      <c r="L175" s="3" t="s">
        <v>40</v>
      </c>
      <c r="M175" s="15">
        <v>1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.6">
      <c r="A176" s="13">
        <v>2010</v>
      </c>
      <c r="B176" s="32">
        <v>40379</v>
      </c>
      <c r="C176" s="3" t="s">
        <v>51</v>
      </c>
      <c r="D176" s="3" t="s">
        <v>19</v>
      </c>
      <c r="E176" s="3" t="s">
        <v>62</v>
      </c>
      <c r="F176" s="3" t="s">
        <v>235</v>
      </c>
      <c r="G176" s="14">
        <v>1</v>
      </c>
      <c r="H176" s="14">
        <v>1</v>
      </c>
      <c r="I176" s="14">
        <v>0</v>
      </c>
      <c r="J176" s="3" t="s">
        <v>38</v>
      </c>
      <c r="K176" s="3" t="s">
        <v>39</v>
      </c>
      <c r="L176" s="3" t="s">
        <v>40</v>
      </c>
      <c r="M176" s="15">
        <v>1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.6">
      <c r="A177" s="13">
        <v>2010</v>
      </c>
      <c r="B177" s="32">
        <v>40397</v>
      </c>
      <c r="C177" s="3" t="s">
        <v>74</v>
      </c>
      <c r="D177" s="3" t="s">
        <v>19</v>
      </c>
      <c r="E177" s="3" t="s">
        <v>64</v>
      </c>
      <c r="F177" s="3" t="s">
        <v>236</v>
      </c>
      <c r="G177" s="14">
        <v>1</v>
      </c>
      <c r="H177" s="14">
        <v>1</v>
      </c>
      <c r="I177" s="14">
        <v>0</v>
      </c>
      <c r="J177" s="3" t="s">
        <v>38</v>
      </c>
      <c r="K177" s="3" t="s">
        <v>39</v>
      </c>
      <c r="L177" s="3" t="s">
        <v>40</v>
      </c>
      <c r="M177" s="15">
        <v>1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.6">
      <c r="A178" s="13">
        <v>2010</v>
      </c>
      <c r="B178" s="32">
        <v>40406</v>
      </c>
      <c r="C178" s="3" t="s">
        <v>35</v>
      </c>
      <c r="D178" s="3" t="s">
        <v>19</v>
      </c>
      <c r="E178" s="3" t="s">
        <v>66</v>
      </c>
      <c r="F178" s="3" t="s">
        <v>237</v>
      </c>
      <c r="G178" s="14">
        <v>1</v>
      </c>
      <c r="H178" s="14">
        <v>1</v>
      </c>
      <c r="I178" s="14">
        <v>0</v>
      </c>
      <c r="J178" s="3" t="s">
        <v>38</v>
      </c>
      <c r="K178" s="3" t="s">
        <v>39</v>
      </c>
      <c r="L178" s="3" t="s">
        <v>40</v>
      </c>
      <c r="M178" s="15">
        <v>1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.6">
      <c r="A179" s="13">
        <v>2010</v>
      </c>
      <c r="B179" s="32">
        <v>40469</v>
      </c>
      <c r="C179" s="3" t="s">
        <v>35</v>
      </c>
      <c r="D179" s="3" t="s">
        <v>20</v>
      </c>
      <c r="E179" s="3" t="s">
        <v>68</v>
      </c>
      <c r="F179" s="3" t="s">
        <v>238</v>
      </c>
      <c r="G179" s="14">
        <v>1</v>
      </c>
      <c r="H179" s="14">
        <v>1</v>
      </c>
      <c r="I179" s="14">
        <v>0</v>
      </c>
      <c r="J179" s="3" t="s">
        <v>38</v>
      </c>
      <c r="K179" s="3" t="s">
        <v>39</v>
      </c>
      <c r="L179" s="3" t="s">
        <v>40</v>
      </c>
      <c r="M179" s="15">
        <v>1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.6">
      <c r="A180" s="13">
        <v>2010</v>
      </c>
      <c r="B180" s="32">
        <v>40483</v>
      </c>
      <c r="C180" s="3" t="s">
        <v>35</v>
      </c>
      <c r="D180" s="3" t="s">
        <v>20</v>
      </c>
      <c r="E180" s="3" t="s">
        <v>70</v>
      </c>
      <c r="F180" s="3" t="s">
        <v>239</v>
      </c>
      <c r="G180" s="14">
        <v>1</v>
      </c>
      <c r="H180" s="14">
        <v>1</v>
      </c>
      <c r="I180" s="14">
        <v>0</v>
      </c>
      <c r="J180" s="3" t="s">
        <v>38</v>
      </c>
      <c r="K180" s="3" t="s">
        <v>39</v>
      </c>
      <c r="L180" s="3" t="s">
        <v>40</v>
      </c>
      <c r="M180" s="15">
        <v>1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.6">
      <c r="A181" s="13">
        <v>2010</v>
      </c>
      <c r="B181" s="32">
        <v>40497</v>
      </c>
      <c r="C181" s="3" t="s">
        <v>35</v>
      </c>
      <c r="D181" s="3" t="s">
        <v>20</v>
      </c>
      <c r="E181" s="3" t="s">
        <v>72</v>
      </c>
      <c r="F181" s="3" t="s">
        <v>240</v>
      </c>
      <c r="G181" s="14">
        <v>1</v>
      </c>
      <c r="H181" s="14">
        <v>1</v>
      </c>
      <c r="I181" s="14">
        <v>0</v>
      </c>
      <c r="J181" s="3" t="s">
        <v>38</v>
      </c>
      <c r="K181" s="3" t="s">
        <v>39</v>
      </c>
      <c r="L181" s="3" t="s">
        <v>40</v>
      </c>
      <c r="M181" s="15">
        <v>1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.6">
      <c r="A182" s="13">
        <v>2010</v>
      </c>
      <c r="B182" s="32">
        <v>40520</v>
      </c>
      <c r="C182" s="3" t="s">
        <v>84</v>
      </c>
      <c r="D182" s="3" t="s">
        <v>20</v>
      </c>
      <c r="E182" s="3" t="s">
        <v>75</v>
      </c>
      <c r="F182" s="3" t="s">
        <v>241</v>
      </c>
      <c r="G182" s="14">
        <v>1</v>
      </c>
      <c r="H182" s="14">
        <v>1</v>
      </c>
      <c r="I182" s="14">
        <v>0</v>
      </c>
      <c r="J182" s="3" t="s">
        <v>38</v>
      </c>
      <c r="K182" s="3" t="s">
        <v>39</v>
      </c>
      <c r="L182" s="3" t="s">
        <v>40</v>
      </c>
      <c r="M182" s="15">
        <v>1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.6">
      <c r="A183" s="13">
        <v>2010</v>
      </c>
      <c r="B183" s="32">
        <v>40537</v>
      </c>
      <c r="C183" s="3" t="s">
        <v>74</v>
      </c>
      <c r="D183" s="3" t="s">
        <v>20</v>
      </c>
      <c r="E183" s="3" t="s">
        <v>77</v>
      </c>
      <c r="F183" s="3" t="s">
        <v>242</v>
      </c>
      <c r="G183" s="14">
        <v>1</v>
      </c>
      <c r="H183" s="14">
        <v>1</v>
      </c>
      <c r="I183" s="14">
        <v>0</v>
      </c>
      <c r="J183" s="3" t="s">
        <v>38</v>
      </c>
      <c r="K183" s="3" t="s">
        <v>39</v>
      </c>
      <c r="L183" s="3" t="s">
        <v>40</v>
      </c>
      <c r="M183" s="15">
        <v>1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.6">
      <c r="A184" s="13">
        <v>2011</v>
      </c>
      <c r="B184" s="32">
        <v>40544</v>
      </c>
      <c r="C184" s="3" t="s">
        <v>74</v>
      </c>
      <c r="D184" s="3" t="s">
        <v>15</v>
      </c>
      <c r="E184" s="3" t="s">
        <v>36</v>
      </c>
      <c r="F184" s="3" t="s">
        <v>243</v>
      </c>
      <c r="G184" s="14">
        <v>1</v>
      </c>
      <c r="H184" s="14">
        <v>1</v>
      </c>
      <c r="I184" s="14">
        <v>0</v>
      </c>
      <c r="J184" s="3" t="s">
        <v>38</v>
      </c>
      <c r="K184" s="3" t="s">
        <v>39</v>
      </c>
      <c r="L184" s="3" t="s">
        <v>40</v>
      </c>
      <c r="M184" s="15">
        <v>1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.6">
      <c r="A185" s="13">
        <v>2011</v>
      </c>
      <c r="B185" s="32">
        <v>40553</v>
      </c>
      <c r="C185" s="3" t="s">
        <v>35</v>
      </c>
      <c r="D185" s="3" t="s">
        <v>15</v>
      </c>
      <c r="E185" s="3" t="s">
        <v>41</v>
      </c>
      <c r="F185" s="3" t="s">
        <v>244</v>
      </c>
      <c r="G185" s="14">
        <v>1</v>
      </c>
      <c r="H185" s="14">
        <v>1</v>
      </c>
      <c r="I185" s="14">
        <v>0</v>
      </c>
      <c r="J185" s="3" t="s">
        <v>38</v>
      </c>
      <c r="K185" s="3" t="s">
        <v>39</v>
      </c>
      <c r="L185" s="3" t="s">
        <v>40</v>
      </c>
      <c r="M185" s="15">
        <v>1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.6">
      <c r="A186" s="13">
        <v>2011</v>
      </c>
      <c r="B186" s="32">
        <v>40623</v>
      </c>
      <c r="C186" s="3" t="s">
        <v>35</v>
      </c>
      <c r="D186" s="3" t="s">
        <v>15</v>
      </c>
      <c r="E186" s="3" t="s">
        <v>43</v>
      </c>
      <c r="F186" s="3" t="s">
        <v>245</v>
      </c>
      <c r="G186" s="14">
        <v>1</v>
      </c>
      <c r="H186" s="14">
        <v>1</v>
      </c>
      <c r="I186" s="14">
        <v>0</v>
      </c>
      <c r="J186" s="3" t="s">
        <v>38</v>
      </c>
      <c r="K186" s="3" t="s">
        <v>39</v>
      </c>
      <c r="L186" s="3" t="s">
        <v>40</v>
      </c>
      <c r="M186" s="15">
        <v>1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.6">
      <c r="A187" s="13">
        <v>2011</v>
      </c>
      <c r="B187" s="32">
        <v>40654</v>
      </c>
      <c r="C187" s="3" t="s">
        <v>45</v>
      </c>
      <c r="D187" s="3" t="s">
        <v>17</v>
      </c>
      <c r="E187" s="3" t="s">
        <v>46</v>
      </c>
      <c r="F187" s="3" t="s">
        <v>246</v>
      </c>
      <c r="G187" s="14">
        <v>1</v>
      </c>
      <c r="H187" s="14">
        <v>1</v>
      </c>
      <c r="I187" s="14">
        <v>0</v>
      </c>
      <c r="J187" s="3" t="s">
        <v>38</v>
      </c>
      <c r="K187" s="3" t="s">
        <v>39</v>
      </c>
      <c r="L187" s="3" t="s">
        <v>40</v>
      </c>
      <c r="M187" s="15">
        <v>1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.6">
      <c r="A188" s="13">
        <v>2011</v>
      </c>
      <c r="B188" s="32">
        <v>40655</v>
      </c>
      <c r="C188" s="3" t="s">
        <v>48</v>
      </c>
      <c r="D188" s="3" t="s">
        <v>17</v>
      </c>
      <c r="E188" s="3" t="s">
        <v>49</v>
      </c>
      <c r="F188" s="3" t="s">
        <v>247</v>
      </c>
      <c r="G188" s="14">
        <v>1</v>
      </c>
      <c r="H188" s="14">
        <v>1</v>
      </c>
      <c r="I188" s="14">
        <v>0</v>
      </c>
      <c r="J188" s="3" t="s">
        <v>38</v>
      </c>
      <c r="K188" s="3" t="s">
        <v>39</v>
      </c>
      <c r="L188" s="3" t="s">
        <v>40</v>
      </c>
      <c r="M188" s="15">
        <v>1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.6">
      <c r="A189" s="13">
        <v>2011</v>
      </c>
      <c r="B189" s="32">
        <v>40664</v>
      </c>
      <c r="C189" s="3" t="s">
        <v>96</v>
      </c>
      <c r="D189" s="3" t="s">
        <v>17</v>
      </c>
      <c r="E189" s="3" t="s">
        <v>52</v>
      </c>
      <c r="F189" s="3" t="s">
        <v>248</v>
      </c>
      <c r="G189" s="14">
        <v>1</v>
      </c>
      <c r="H189" s="14">
        <v>0</v>
      </c>
      <c r="I189" s="14">
        <v>0</v>
      </c>
      <c r="J189" s="3" t="s">
        <v>98</v>
      </c>
      <c r="K189" s="3" t="s">
        <v>39</v>
      </c>
      <c r="L189" s="3" t="s">
        <v>40</v>
      </c>
      <c r="M189" s="15">
        <v>1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.6">
      <c r="A190" s="13">
        <v>2011</v>
      </c>
      <c r="B190" s="32">
        <v>40700</v>
      </c>
      <c r="C190" s="3" t="s">
        <v>35</v>
      </c>
      <c r="D190" s="3" t="s">
        <v>17</v>
      </c>
      <c r="E190" s="3" t="s">
        <v>54</v>
      </c>
      <c r="F190" s="3" t="s">
        <v>249</v>
      </c>
      <c r="G190" s="14">
        <v>1</v>
      </c>
      <c r="H190" s="14">
        <v>1</v>
      </c>
      <c r="I190" s="14">
        <v>0</v>
      </c>
      <c r="J190" s="3" t="s">
        <v>38</v>
      </c>
      <c r="K190" s="3" t="s">
        <v>39</v>
      </c>
      <c r="L190" s="3" t="s">
        <v>40</v>
      </c>
      <c r="M190" s="15">
        <v>1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.6">
      <c r="A191" s="13">
        <v>2011</v>
      </c>
      <c r="B191" s="32">
        <v>40721</v>
      </c>
      <c r="C191" s="3" t="s">
        <v>35</v>
      </c>
      <c r="D191" s="3" t="s">
        <v>17</v>
      </c>
      <c r="E191" s="3" t="s">
        <v>56</v>
      </c>
      <c r="F191" s="3" t="s">
        <v>250</v>
      </c>
      <c r="G191" s="14">
        <v>1</v>
      </c>
      <c r="H191" s="14">
        <v>1</v>
      </c>
      <c r="I191" s="14">
        <v>0</v>
      </c>
      <c r="J191" s="3" t="s">
        <v>38</v>
      </c>
      <c r="K191" s="3" t="s">
        <v>39</v>
      </c>
      <c r="L191" s="3" t="s">
        <v>40</v>
      </c>
      <c r="M191" s="15">
        <v>1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.6">
      <c r="A192" s="13">
        <v>2011</v>
      </c>
      <c r="B192" s="32">
        <v>40728</v>
      </c>
      <c r="C192" s="3" t="s">
        <v>35</v>
      </c>
      <c r="D192" s="3" t="s">
        <v>19</v>
      </c>
      <c r="E192" s="3" t="s">
        <v>108</v>
      </c>
      <c r="F192" s="3" t="s">
        <v>251</v>
      </c>
      <c r="G192" s="14">
        <v>2</v>
      </c>
      <c r="H192" s="14">
        <v>1</v>
      </c>
      <c r="I192" s="14">
        <v>1</v>
      </c>
      <c r="J192" s="3" t="s">
        <v>38</v>
      </c>
      <c r="K192" s="3" t="s">
        <v>39</v>
      </c>
      <c r="L192" s="3" t="s">
        <v>40</v>
      </c>
      <c r="M192" s="15">
        <v>1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.6">
      <c r="A193" s="13">
        <v>2011</v>
      </c>
      <c r="B193" s="32">
        <v>40744</v>
      </c>
      <c r="C193" s="3" t="s">
        <v>84</v>
      </c>
      <c r="D193" s="3" t="s">
        <v>19</v>
      </c>
      <c r="E193" s="3" t="s">
        <v>62</v>
      </c>
      <c r="F193" s="3" t="s">
        <v>252</v>
      </c>
      <c r="G193" s="14">
        <v>1</v>
      </c>
      <c r="H193" s="14">
        <v>1</v>
      </c>
      <c r="I193" s="14">
        <v>0</v>
      </c>
      <c r="J193" s="3" t="s">
        <v>38</v>
      </c>
      <c r="K193" s="3" t="s">
        <v>39</v>
      </c>
      <c r="L193" s="3" t="s">
        <v>40</v>
      </c>
      <c r="M193" s="15">
        <v>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.6">
      <c r="A194" s="13">
        <v>2011</v>
      </c>
      <c r="B194" s="32">
        <v>40762</v>
      </c>
      <c r="C194" s="3" t="s">
        <v>96</v>
      </c>
      <c r="D194" s="3" t="s">
        <v>19</v>
      </c>
      <c r="E194" s="3" t="s">
        <v>64</v>
      </c>
      <c r="F194" s="3" t="s">
        <v>253</v>
      </c>
      <c r="G194" s="14">
        <v>1</v>
      </c>
      <c r="H194" s="14">
        <v>0</v>
      </c>
      <c r="I194" s="14">
        <v>0</v>
      </c>
      <c r="J194" s="3" t="s">
        <v>98</v>
      </c>
      <c r="K194" s="3" t="s">
        <v>39</v>
      </c>
      <c r="L194" s="3" t="s">
        <v>40</v>
      </c>
      <c r="M194" s="15"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.6">
      <c r="A195" s="13">
        <v>2011</v>
      </c>
      <c r="B195" s="32">
        <v>40770</v>
      </c>
      <c r="C195" s="3" t="s">
        <v>35</v>
      </c>
      <c r="D195" s="3" t="s">
        <v>19</v>
      </c>
      <c r="E195" s="3" t="s">
        <v>66</v>
      </c>
      <c r="F195" s="3" t="s">
        <v>254</v>
      </c>
      <c r="G195" s="14">
        <v>1</v>
      </c>
      <c r="H195" s="14">
        <v>1</v>
      </c>
      <c r="I195" s="14">
        <v>0</v>
      </c>
      <c r="J195" s="3" t="s">
        <v>38</v>
      </c>
      <c r="K195" s="3" t="s">
        <v>39</v>
      </c>
      <c r="L195" s="3" t="s">
        <v>40</v>
      </c>
      <c r="M195" s="15">
        <v>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.6">
      <c r="A196" s="13">
        <v>2011</v>
      </c>
      <c r="B196" s="32">
        <v>40833</v>
      </c>
      <c r="C196" s="3" t="s">
        <v>35</v>
      </c>
      <c r="D196" s="3" t="s">
        <v>20</v>
      </c>
      <c r="E196" s="3" t="s">
        <v>68</v>
      </c>
      <c r="F196" s="3" t="s">
        <v>255</v>
      </c>
      <c r="G196" s="14">
        <v>1</v>
      </c>
      <c r="H196" s="14">
        <v>1</v>
      </c>
      <c r="I196" s="14">
        <v>0</v>
      </c>
      <c r="J196" s="3" t="s">
        <v>38</v>
      </c>
      <c r="K196" s="3" t="s">
        <v>39</v>
      </c>
      <c r="L196" s="3" t="s">
        <v>40</v>
      </c>
      <c r="M196" s="15">
        <v>1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.6">
      <c r="A197" s="13">
        <v>2011</v>
      </c>
      <c r="B197" s="32">
        <v>40854</v>
      </c>
      <c r="C197" s="3" t="s">
        <v>35</v>
      </c>
      <c r="D197" s="3" t="s">
        <v>20</v>
      </c>
      <c r="E197" s="3" t="s">
        <v>70</v>
      </c>
      <c r="F197" s="3" t="s">
        <v>256</v>
      </c>
      <c r="G197" s="14">
        <v>1</v>
      </c>
      <c r="H197" s="14">
        <v>1</v>
      </c>
      <c r="I197" s="14">
        <v>0</v>
      </c>
      <c r="J197" s="3" t="s">
        <v>38</v>
      </c>
      <c r="K197" s="3" t="s">
        <v>39</v>
      </c>
      <c r="L197" s="3" t="s">
        <v>40</v>
      </c>
      <c r="M197" s="15">
        <v>1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.6">
      <c r="A198" s="13">
        <v>2011</v>
      </c>
      <c r="B198" s="32">
        <v>40861</v>
      </c>
      <c r="C198" s="3" t="s">
        <v>35</v>
      </c>
      <c r="D198" s="3" t="s">
        <v>20</v>
      </c>
      <c r="E198" s="3" t="s">
        <v>72</v>
      </c>
      <c r="F198" s="3" t="s">
        <v>257</v>
      </c>
      <c r="G198" s="14">
        <v>1</v>
      </c>
      <c r="H198" s="14">
        <v>1</v>
      </c>
      <c r="I198" s="14">
        <v>0</v>
      </c>
      <c r="J198" s="3" t="s">
        <v>38</v>
      </c>
      <c r="K198" s="3" t="s">
        <v>39</v>
      </c>
      <c r="L198" s="3" t="s">
        <v>40</v>
      </c>
      <c r="M198" s="15">
        <v>1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.6">
      <c r="A199" s="13">
        <v>2011</v>
      </c>
      <c r="B199" s="32">
        <v>40885</v>
      </c>
      <c r="C199" s="3" t="s">
        <v>45</v>
      </c>
      <c r="D199" s="3" t="s">
        <v>20</v>
      </c>
      <c r="E199" s="3" t="s">
        <v>75</v>
      </c>
      <c r="F199" s="3" t="s">
        <v>258</v>
      </c>
      <c r="G199" s="14">
        <v>1</v>
      </c>
      <c r="H199" s="14">
        <v>1</v>
      </c>
      <c r="I199" s="14">
        <v>0</v>
      </c>
      <c r="J199" s="3" t="s">
        <v>38</v>
      </c>
      <c r="K199" s="3" t="s">
        <v>39</v>
      </c>
      <c r="L199" s="3" t="s">
        <v>40</v>
      </c>
      <c r="M199" s="15">
        <v>1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.6">
      <c r="A200" s="13">
        <v>2011</v>
      </c>
      <c r="B200" s="32">
        <v>40902</v>
      </c>
      <c r="C200" s="3" t="s">
        <v>96</v>
      </c>
      <c r="D200" s="3" t="s">
        <v>20</v>
      </c>
      <c r="E200" s="3" t="s">
        <v>77</v>
      </c>
      <c r="F200" s="3" t="s">
        <v>259</v>
      </c>
      <c r="G200" s="14">
        <v>1</v>
      </c>
      <c r="H200" s="14">
        <v>0</v>
      </c>
      <c r="I200" s="14">
        <v>0</v>
      </c>
      <c r="J200" s="3" t="s">
        <v>98</v>
      </c>
      <c r="K200" s="3" t="s">
        <v>39</v>
      </c>
      <c r="L200" s="3" t="s">
        <v>40</v>
      </c>
      <c r="M200" s="15">
        <v>1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.6">
      <c r="A201" s="13">
        <v>2012</v>
      </c>
      <c r="B201" s="32">
        <v>40909</v>
      </c>
      <c r="C201" s="3" t="s">
        <v>96</v>
      </c>
      <c r="D201" s="3" t="s">
        <v>15</v>
      </c>
      <c r="E201" s="3" t="s">
        <v>36</v>
      </c>
      <c r="F201" s="3" t="s">
        <v>260</v>
      </c>
      <c r="G201" s="14">
        <v>1</v>
      </c>
      <c r="H201" s="14">
        <v>0</v>
      </c>
      <c r="I201" s="14">
        <v>0</v>
      </c>
      <c r="J201" s="3" t="s">
        <v>98</v>
      </c>
      <c r="K201" s="3" t="s">
        <v>39</v>
      </c>
      <c r="L201" s="3" t="s">
        <v>40</v>
      </c>
      <c r="M201" s="15">
        <v>1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.6">
      <c r="A202" s="13">
        <v>2012</v>
      </c>
      <c r="B202" s="32">
        <v>40917</v>
      </c>
      <c r="C202" s="3" t="s">
        <v>35</v>
      </c>
      <c r="D202" s="3" t="s">
        <v>15</v>
      </c>
      <c r="E202" s="3" t="s">
        <v>41</v>
      </c>
      <c r="F202" s="3" t="s">
        <v>261</v>
      </c>
      <c r="G202" s="14">
        <v>1</v>
      </c>
      <c r="H202" s="14">
        <v>1</v>
      </c>
      <c r="I202" s="14">
        <v>0</v>
      </c>
      <c r="J202" s="3" t="s">
        <v>38</v>
      </c>
      <c r="K202" s="3" t="s">
        <v>39</v>
      </c>
      <c r="L202" s="3" t="s">
        <v>40</v>
      </c>
      <c r="M202" s="15">
        <v>1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.6">
      <c r="A203" s="13">
        <v>2012</v>
      </c>
      <c r="B203" s="32">
        <v>40987</v>
      </c>
      <c r="C203" s="3" t="s">
        <v>35</v>
      </c>
      <c r="D203" s="3" t="s">
        <v>15</v>
      </c>
      <c r="E203" s="3" t="s">
        <v>43</v>
      </c>
      <c r="F203" s="3" t="s">
        <v>262</v>
      </c>
      <c r="G203" s="14">
        <v>1</v>
      </c>
      <c r="H203" s="14">
        <v>1</v>
      </c>
      <c r="I203" s="14">
        <v>0</v>
      </c>
      <c r="J203" s="3" t="s">
        <v>38</v>
      </c>
      <c r="K203" s="3" t="s">
        <v>39</v>
      </c>
      <c r="L203" s="3" t="s">
        <v>40</v>
      </c>
      <c r="M203" s="15">
        <v>1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.6">
      <c r="A204" s="13">
        <v>2012</v>
      </c>
      <c r="B204" s="32">
        <v>41004</v>
      </c>
      <c r="C204" s="3" t="s">
        <v>45</v>
      </c>
      <c r="D204" s="3" t="s">
        <v>17</v>
      </c>
      <c r="E204" s="3" t="s">
        <v>46</v>
      </c>
      <c r="F204" s="3" t="s">
        <v>263</v>
      </c>
      <c r="G204" s="14">
        <v>1</v>
      </c>
      <c r="H204" s="14">
        <v>1</v>
      </c>
      <c r="I204" s="14">
        <v>0</v>
      </c>
      <c r="J204" s="3" t="s">
        <v>38</v>
      </c>
      <c r="K204" s="3" t="s">
        <v>39</v>
      </c>
      <c r="L204" s="3" t="s">
        <v>40</v>
      </c>
      <c r="M204" s="15">
        <v>1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.6">
      <c r="A205" s="13">
        <v>2012</v>
      </c>
      <c r="B205" s="32">
        <v>41005</v>
      </c>
      <c r="C205" s="3" t="s">
        <v>48</v>
      </c>
      <c r="D205" s="3" t="s">
        <v>17</v>
      </c>
      <c r="E205" s="3" t="s">
        <v>49</v>
      </c>
      <c r="F205" s="3" t="s">
        <v>264</v>
      </c>
      <c r="G205" s="14">
        <v>1</v>
      </c>
      <c r="H205" s="14">
        <v>1</v>
      </c>
      <c r="I205" s="14">
        <v>0</v>
      </c>
      <c r="J205" s="3" t="s">
        <v>38</v>
      </c>
      <c r="K205" s="3" t="s">
        <v>39</v>
      </c>
      <c r="L205" s="3" t="s">
        <v>40</v>
      </c>
      <c r="M205" s="15">
        <v>1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.6">
      <c r="A206" s="13">
        <v>2012</v>
      </c>
      <c r="B206" s="32">
        <v>41030</v>
      </c>
      <c r="C206" s="3" t="s">
        <v>51</v>
      </c>
      <c r="D206" s="3" t="s">
        <v>17</v>
      </c>
      <c r="E206" s="3" t="s">
        <v>52</v>
      </c>
      <c r="F206" s="3" t="s">
        <v>265</v>
      </c>
      <c r="G206" s="14">
        <v>1</v>
      </c>
      <c r="H206" s="14">
        <v>1</v>
      </c>
      <c r="I206" s="14">
        <v>0</v>
      </c>
      <c r="J206" s="3" t="s">
        <v>38</v>
      </c>
      <c r="K206" s="3" t="s">
        <v>39</v>
      </c>
      <c r="L206" s="3" t="s">
        <v>40</v>
      </c>
      <c r="M206" s="15">
        <v>1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.6">
      <c r="A207" s="13">
        <v>2012</v>
      </c>
      <c r="B207" s="32">
        <v>41050</v>
      </c>
      <c r="C207" s="3" t="s">
        <v>35</v>
      </c>
      <c r="D207" s="3" t="s">
        <v>17</v>
      </c>
      <c r="E207" s="3" t="s">
        <v>54</v>
      </c>
      <c r="F207" s="3" t="s">
        <v>266</v>
      </c>
      <c r="G207" s="14">
        <v>1</v>
      </c>
      <c r="H207" s="14">
        <v>1</v>
      </c>
      <c r="I207" s="14">
        <v>0</v>
      </c>
      <c r="J207" s="3" t="s">
        <v>38</v>
      </c>
      <c r="K207" s="3" t="s">
        <v>39</v>
      </c>
      <c r="L207" s="3" t="s">
        <v>40</v>
      </c>
      <c r="M207" s="15">
        <v>1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.6">
      <c r="A208" s="13">
        <v>2012</v>
      </c>
      <c r="B208" s="32">
        <v>41071</v>
      </c>
      <c r="C208" s="3" t="s">
        <v>35</v>
      </c>
      <c r="D208" s="3" t="s">
        <v>17</v>
      </c>
      <c r="E208" s="3" t="s">
        <v>56</v>
      </c>
      <c r="F208" s="3" t="s">
        <v>267</v>
      </c>
      <c r="G208" s="14">
        <v>1</v>
      </c>
      <c r="H208" s="14">
        <v>1</v>
      </c>
      <c r="I208" s="14">
        <v>0</v>
      </c>
      <c r="J208" s="3" t="s">
        <v>38</v>
      </c>
      <c r="K208" s="3" t="s">
        <v>39</v>
      </c>
      <c r="L208" s="3" t="s">
        <v>40</v>
      </c>
      <c r="M208" s="15">
        <v>1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.6">
      <c r="A209" s="13">
        <v>2012</v>
      </c>
      <c r="B209" s="32">
        <v>41078</v>
      </c>
      <c r="C209" s="3" t="s">
        <v>35</v>
      </c>
      <c r="D209" s="3" t="s">
        <v>17</v>
      </c>
      <c r="E209" s="3" t="s">
        <v>58</v>
      </c>
      <c r="F209" s="3" t="s">
        <v>268</v>
      </c>
      <c r="G209" s="14">
        <v>1</v>
      </c>
      <c r="H209" s="14">
        <v>1</v>
      </c>
      <c r="I209" s="14">
        <v>0</v>
      </c>
      <c r="J209" s="3" t="s">
        <v>38</v>
      </c>
      <c r="K209" s="3" t="s">
        <v>39</v>
      </c>
      <c r="L209" s="3" t="s">
        <v>40</v>
      </c>
      <c r="M209" s="15">
        <v>1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.6">
      <c r="A210" s="13">
        <v>2012</v>
      </c>
      <c r="B210" s="32">
        <v>41092</v>
      </c>
      <c r="C210" s="3" t="s">
        <v>35</v>
      </c>
      <c r="D210" s="3" t="s">
        <v>19</v>
      </c>
      <c r="E210" s="3" t="s">
        <v>60</v>
      </c>
      <c r="F210" s="3" t="s">
        <v>269</v>
      </c>
      <c r="G210" s="14">
        <v>1</v>
      </c>
      <c r="H210" s="14">
        <v>1</v>
      </c>
      <c r="I210" s="14">
        <v>0</v>
      </c>
      <c r="J210" s="3" t="s">
        <v>38</v>
      </c>
      <c r="K210" s="3" t="s">
        <v>39</v>
      </c>
      <c r="L210" s="3" t="s">
        <v>40</v>
      </c>
      <c r="M210" s="15">
        <v>1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.6">
      <c r="A211" s="13">
        <v>2012</v>
      </c>
      <c r="B211" s="32">
        <v>41110</v>
      </c>
      <c r="C211" s="3" t="s">
        <v>48</v>
      </c>
      <c r="D211" s="3" t="s">
        <v>19</v>
      </c>
      <c r="E211" s="3" t="s">
        <v>62</v>
      </c>
      <c r="F211" s="3" t="s">
        <v>270</v>
      </c>
      <c r="G211" s="14">
        <v>1</v>
      </c>
      <c r="H211" s="14">
        <v>1</v>
      </c>
      <c r="I211" s="14">
        <v>0</v>
      </c>
      <c r="J211" s="3" t="s">
        <v>38</v>
      </c>
      <c r="K211" s="3" t="s">
        <v>39</v>
      </c>
      <c r="L211" s="3" t="s">
        <v>40</v>
      </c>
      <c r="M211" s="15">
        <v>1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.6">
      <c r="A212" s="13">
        <v>2012</v>
      </c>
      <c r="B212" s="32">
        <v>41128</v>
      </c>
      <c r="C212" s="3" t="s">
        <v>51</v>
      </c>
      <c r="D212" s="3" t="s">
        <v>19</v>
      </c>
      <c r="E212" s="3" t="s">
        <v>64</v>
      </c>
      <c r="F212" s="3" t="s">
        <v>271</v>
      </c>
      <c r="G212" s="14">
        <v>1</v>
      </c>
      <c r="H212" s="14">
        <v>1</v>
      </c>
      <c r="I212" s="14">
        <v>0</v>
      </c>
      <c r="J212" s="3" t="s">
        <v>38</v>
      </c>
      <c r="K212" s="3" t="s">
        <v>39</v>
      </c>
      <c r="L212" s="3" t="s">
        <v>40</v>
      </c>
      <c r="M212" s="15">
        <v>1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.6">
      <c r="A213" s="13">
        <v>2012</v>
      </c>
      <c r="B213" s="32">
        <v>41141</v>
      </c>
      <c r="C213" s="3" t="s">
        <v>35</v>
      </c>
      <c r="D213" s="3" t="s">
        <v>19</v>
      </c>
      <c r="E213" s="3" t="s">
        <v>66</v>
      </c>
      <c r="F213" s="3" t="s">
        <v>272</v>
      </c>
      <c r="G213" s="14">
        <v>1</v>
      </c>
      <c r="H213" s="14">
        <v>1</v>
      </c>
      <c r="I213" s="14">
        <v>0</v>
      </c>
      <c r="J213" s="3" t="s">
        <v>38</v>
      </c>
      <c r="K213" s="3" t="s">
        <v>39</v>
      </c>
      <c r="L213" s="3" t="s">
        <v>40</v>
      </c>
      <c r="M213" s="15">
        <v>1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.6">
      <c r="A214" s="13">
        <v>2012</v>
      </c>
      <c r="B214" s="32">
        <v>41197</v>
      </c>
      <c r="C214" s="3" t="s">
        <v>35</v>
      </c>
      <c r="D214" s="3" t="s">
        <v>20</v>
      </c>
      <c r="E214" s="3" t="s">
        <v>68</v>
      </c>
      <c r="F214" s="3" t="s">
        <v>273</v>
      </c>
      <c r="G214" s="14">
        <v>1</v>
      </c>
      <c r="H214" s="14">
        <v>1</v>
      </c>
      <c r="I214" s="14">
        <v>0</v>
      </c>
      <c r="J214" s="3" t="s">
        <v>38</v>
      </c>
      <c r="K214" s="3" t="s">
        <v>39</v>
      </c>
      <c r="L214" s="3" t="s">
        <v>40</v>
      </c>
      <c r="M214" s="15">
        <v>1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.6">
      <c r="A215" s="13">
        <v>2012</v>
      </c>
      <c r="B215" s="32">
        <v>41218</v>
      </c>
      <c r="C215" s="3" t="s">
        <v>35</v>
      </c>
      <c r="D215" s="3" t="s">
        <v>20</v>
      </c>
      <c r="E215" s="3" t="s">
        <v>70</v>
      </c>
      <c r="F215" s="3" t="s">
        <v>274</v>
      </c>
      <c r="G215" s="14">
        <v>1</v>
      </c>
      <c r="H215" s="14">
        <v>1</v>
      </c>
      <c r="I215" s="14">
        <v>0</v>
      </c>
      <c r="J215" s="3" t="s">
        <v>38</v>
      </c>
      <c r="K215" s="3" t="s">
        <v>39</v>
      </c>
      <c r="L215" s="3" t="s">
        <v>40</v>
      </c>
      <c r="M215" s="15">
        <v>1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.6">
      <c r="A216" s="13">
        <v>2012</v>
      </c>
      <c r="B216" s="32">
        <v>41225</v>
      </c>
      <c r="C216" s="3" t="s">
        <v>35</v>
      </c>
      <c r="D216" s="3" t="s">
        <v>20</v>
      </c>
      <c r="E216" s="3" t="s">
        <v>72</v>
      </c>
      <c r="F216" s="3" t="s">
        <v>275</v>
      </c>
      <c r="G216" s="14">
        <v>1</v>
      </c>
      <c r="H216" s="14">
        <v>1</v>
      </c>
      <c r="I216" s="14">
        <v>0</v>
      </c>
      <c r="J216" s="3" t="s">
        <v>38</v>
      </c>
      <c r="K216" s="3" t="s">
        <v>39</v>
      </c>
      <c r="L216" s="3" t="s">
        <v>40</v>
      </c>
      <c r="M216" s="15">
        <v>1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.6">
      <c r="A217" s="13">
        <v>2012</v>
      </c>
      <c r="B217" s="32">
        <v>41251</v>
      </c>
      <c r="C217" s="3" t="s">
        <v>74</v>
      </c>
      <c r="D217" s="3" t="s">
        <v>20</v>
      </c>
      <c r="E217" s="3" t="s">
        <v>75</v>
      </c>
      <c r="F217" s="3" t="s">
        <v>276</v>
      </c>
      <c r="G217" s="14">
        <v>1</v>
      </c>
      <c r="H217" s="14">
        <v>1</v>
      </c>
      <c r="I217" s="14">
        <v>0</v>
      </c>
      <c r="J217" s="3" t="s">
        <v>38</v>
      </c>
      <c r="K217" s="3" t="s">
        <v>39</v>
      </c>
      <c r="L217" s="3" t="s">
        <v>40</v>
      </c>
      <c r="M217" s="15">
        <v>1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.6">
      <c r="A218" s="13">
        <v>2012</v>
      </c>
      <c r="B218" s="32">
        <v>41268</v>
      </c>
      <c r="C218" s="3" t="s">
        <v>51</v>
      </c>
      <c r="D218" s="3" t="s">
        <v>20</v>
      </c>
      <c r="E218" s="3" t="s">
        <v>77</v>
      </c>
      <c r="F218" s="3" t="s">
        <v>277</v>
      </c>
      <c r="G218" s="14">
        <v>1</v>
      </c>
      <c r="H218" s="14">
        <v>1</v>
      </c>
      <c r="I218" s="14">
        <v>0</v>
      </c>
      <c r="J218" s="3" t="s">
        <v>38</v>
      </c>
      <c r="K218" s="3" t="s">
        <v>39</v>
      </c>
      <c r="L218" s="3" t="s">
        <v>40</v>
      </c>
      <c r="M218" s="15">
        <v>1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.6">
      <c r="A219" s="13">
        <v>2013</v>
      </c>
      <c r="B219" s="32">
        <v>41275</v>
      </c>
      <c r="C219" s="3" t="s">
        <v>51</v>
      </c>
      <c r="D219" s="3" t="s">
        <v>15</v>
      </c>
      <c r="E219" s="3" t="s">
        <v>36</v>
      </c>
      <c r="F219" s="3" t="s">
        <v>278</v>
      </c>
      <c r="G219" s="14">
        <v>1</v>
      </c>
      <c r="H219" s="14">
        <v>1</v>
      </c>
      <c r="I219" s="14">
        <v>0</v>
      </c>
      <c r="J219" s="3" t="s">
        <v>38</v>
      </c>
      <c r="K219" s="3" t="s">
        <v>39</v>
      </c>
      <c r="L219" s="3" t="s">
        <v>40</v>
      </c>
      <c r="M219" s="15">
        <v>1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.6">
      <c r="A220" s="13">
        <v>2013</v>
      </c>
      <c r="B220" s="32">
        <v>41281</v>
      </c>
      <c r="C220" s="3" t="s">
        <v>35</v>
      </c>
      <c r="D220" s="3" t="s">
        <v>15</v>
      </c>
      <c r="E220" s="3" t="s">
        <v>41</v>
      </c>
      <c r="F220" s="3" t="s">
        <v>279</v>
      </c>
      <c r="G220" s="14">
        <v>1</v>
      </c>
      <c r="H220" s="14">
        <v>1</v>
      </c>
      <c r="I220" s="14">
        <v>0</v>
      </c>
      <c r="J220" s="3" t="s">
        <v>38</v>
      </c>
      <c r="K220" s="3" t="s">
        <v>39</v>
      </c>
      <c r="L220" s="3" t="s">
        <v>40</v>
      </c>
      <c r="M220" s="15">
        <v>1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.6">
      <c r="A221" s="13">
        <v>2013</v>
      </c>
      <c r="B221" s="32">
        <v>41358</v>
      </c>
      <c r="C221" s="3" t="s">
        <v>35</v>
      </c>
      <c r="D221" s="3" t="s">
        <v>15</v>
      </c>
      <c r="E221" s="3" t="s">
        <v>43</v>
      </c>
      <c r="F221" s="3" t="s">
        <v>280</v>
      </c>
      <c r="G221" s="14">
        <v>1</v>
      </c>
      <c r="H221" s="14">
        <v>1</v>
      </c>
      <c r="I221" s="14">
        <v>0</v>
      </c>
      <c r="J221" s="3" t="s">
        <v>38</v>
      </c>
      <c r="K221" s="3" t="s">
        <v>39</v>
      </c>
      <c r="L221" s="3" t="s">
        <v>40</v>
      </c>
      <c r="M221" s="15">
        <v>1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.6">
      <c r="A222" s="13">
        <v>2013</v>
      </c>
      <c r="B222" s="32">
        <v>41361</v>
      </c>
      <c r="C222" s="3" t="s">
        <v>45</v>
      </c>
      <c r="D222" s="3" t="s">
        <v>15</v>
      </c>
      <c r="E222" s="3" t="s">
        <v>46</v>
      </c>
      <c r="F222" s="3" t="s">
        <v>281</v>
      </c>
      <c r="G222" s="14">
        <v>1</v>
      </c>
      <c r="H222" s="14">
        <v>1</v>
      </c>
      <c r="I222" s="14">
        <v>0</v>
      </c>
      <c r="J222" s="3" t="s">
        <v>38</v>
      </c>
      <c r="K222" s="3" t="s">
        <v>39</v>
      </c>
      <c r="L222" s="3" t="s">
        <v>40</v>
      </c>
      <c r="M222" s="15">
        <v>1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.6">
      <c r="A223" s="13">
        <v>2013</v>
      </c>
      <c r="B223" s="32">
        <v>41362</v>
      </c>
      <c r="C223" s="3" t="s">
        <v>48</v>
      </c>
      <c r="D223" s="3" t="s">
        <v>15</v>
      </c>
      <c r="E223" s="3" t="s">
        <v>49</v>
      </c>
      <c r="F223" s="3" t="s">
        <v>282</v>
      </c>
      <c r="G223" s="14">
        <v>1</v>
      </c>
      <c r="H223" s="14">
        <v>1</v>
      </c>
      <c r="I223" s="14">
        <v>0</v>
      </c>
      <c r="J223" s="3" t="s">
        <v>38</v>
      </c>
      <c r="K223" s="3" t="s">
        <v>39</v>
      </c>
      <c r="L223" s="3" t="s">
        <v>40</v>
      </c>
      <c r="M223" s="15">
        <v>1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.6">
      <c r="A224" s="13">
        <v>2013</v>
      </c>
      <c r="B224" s="32">
        <v>41395</v>
      </c>
      <c r="C224" s="3" t="s">
        <v>84</v>
      </c>
      <c r="D224" s="3" t="s">
        <v>17</v>
      </c>
      <c r="E224" s="3" t="s">
        <v>52</v>
      </c>
      <c r="F224" s="3" t="s">
        <v>283</v>
      </c>
      <c r="G224" s="14">
        <v>1</v>
      </c>
      <c r="H224" s="14">
        <v>1</v>
      </c>
      <c r="I224" s="14">
        <v>0</v>
      </c>
      <c r="J224" s="3" t="s">
        <v>38</v>
      </c>
      <c r="K224" s="3" t="s">
        <v>39</v>
      </c>
      <c r="L224" s="3" t="s">
        <v>40</v>
      </c>
      <c r="M224" s="15">
        <v>1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.6">
      <c r="A225" s="13">
        <v>2013</v>
      </c>
      <c r="B225" s="32">
        <v>41407</v>
      </c>
      <c r="C225" s="3" t="s">
        <v>35</v>
      </c>
      <c r="D225" s="3" t="s">
        <v>17</v>
      </c>
      <c r="E225" s="3" t="s">
        <v>54</v>
      </c>
      <c r="F225" s="3" t="s">
        <v>284</v>
      </c>
      <c r="G225" s="14">
        <v>1</v>
      </c>
      <c r="H225" s="14">
        <v>1</v>
      </c>
      <c r="I225" s="14">
        <v>0</v>
      </c>
      <c r="J225" s="3" t="s">
        <v>38</v>
      </c>
      <c r="K225" s="3" t="s">
        <v>39</v>
      </c>
      <c r="L225" s="3" t="s">
        <v>40</v>
      </c>
      <c r="M225" s="15">
        <v>1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.6">
      <c r="A226" s="13">
        <v>2013</v>
      </c>
      <c r="B226" s="32">
        <v>41428</v>
      </c>
      <c r="C226" s="3" t="s">
        <v>35</v>
      </c>
      <c r="D226" s="3" t="s">
        <v>17</v>
      </c>
      <c r="E226" s="3" t="s">
        <v>56</v>
      </c>
      <c r="F226" s="3" t="s">
        <v>285</v>
      </c>
      <c r="G226" s="14">
        <v>1</v>
      </c>
      <c r="H226" s="14">
        <v>1</v>
      </c>
      <c r="I226" s="14">
        <v>0</v>
      </c>
      <c r="J226" s="3" t="s">
        <v>38</v>
      </c>
      <c r="K226" s="3" t="s">
        <v>39</v>
      </c>
      <c r="L226" s="3" t="s">
        <v>40</v>
      </c>
      <c r="M226" s="15">
        <v>1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.6">
      <c r="A227" s="13">
        <v>2013</v>
      </c>
      <c r="B227" s="32">
        <v>41435</v>
      </c>
      <c r="C227" s="3" t="s">
        <v>35</v>
      </c>
      <c r="D227" s="3" t="s">
        <v>17</v>
      </c>
      <c r="E227" s="3" t="s">
        <v>58</v>
      </c>
      <c r="F227" s="3" t="s">
        <v>286</v>
      </c>
      <c r="G227" s="14">
        <v>1</v>
      </c>
      <c r="H227" s="14">
        <v>1</v>
      </c>
      <c r="I227" s="14">
        <v>0</v>
      </c>
      <c r="J227" s="3" t="s">
        <v>38</v>
      </c>
      <c r="K227" s="3" t="s">
        <v>39</v>
      </c>
      <c r="L227" s="3" t="s">
        <v>40</v>
      </c>
      <c r="M227" s="15">
        <v>1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.6">
      <c r="A228" s="13">
        <v>2013</v>
      </c>
      <c r="B228" s="32">
        <v>41456</v>
      </c>
      <c r="C228" s="3" t="s">
        <v>35</v>
      </c>
      <c r="D228" s="3" t="s">
        <v>19</v>
      </c>
      <c r="E228" s="3" t="s">
        <v>60</v>
      </c>
      <c r="F228" s="3" t="s">
        <v>287</v>
      </c>
      <c r="G228" s="14">
        <v>1</v>
      </c>
      <c r="H228" s="14">
        <v>1</v>
      </c>
      <c r="I228" s="14">
        <v>0</v>
      </c>
      <c r="J228" s="3" t="s">
        <v>38</v>
      </c>
      <c r="K228" s="3" t="s">
        <v>39</v>
      </c>
      <c r="L228" s="3" t="s">
        <v>40</v>
      </c>
      <c r="M228" s="15">
        <v>1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.6">
      <c r="A229" s="13">
        <v>2013</v>
      </c>
      <c r="B229" s="32">
        <v>41475</v>
      </c>
      <c r="C229" s="3" t="s">
        <v>74</v>
      </c>
      <c r="D229" s="3" t="s">
        <v>19</v>
      </c>
      <c r="E229" s="3" t="s">
        <v>62</v>
      </c>
      <c r="F229" s="3" t="s">
        <v>288</v>
      </c>
      <c r="G229" s="14">
        <v>1</v>
      </c>
      <c r="H229" s="14">
        <v>1</v>
      </c>
      <c r="I229" s="14">
        <v>0</v>
      </c>
      <c r="J229" s="3" t="s">
        <v>38</v>
      </c>
      <c r="K229" s="3" t="s">
        <v>39</v>
      </c>
      <c r="L229" s="3" t="s">
        <v>40</v>
      </c>
      <c r="M229" s="15">
        <v>1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.6">
      <c r="A230" s="13">
        <v>2013</v>
      </c>
      <c r="B230" s="32">
        <v>41493</v>
      </c>
      <c r="C230" s="3" t="s">
        <v>84</v>
      </c>
      <c r="D230" s="3" t="s">
        <v>19</v>
      </c>
      <c r="E230" s="3" t="s">
        <v>64</v>
      </c>
      <c r="F230" s="3" t="s">
        <v>289</v>
      </c>
      <c r="G230" s="14">
        <v>1</v>
      </c>
      <c r="H230" s="14">
        <v>1</v>
      </c>
      <c r="I230" s="14">
        <v>0</v>
      </c>
      <c r="J230" s="3" t="s">
        <v>38</v>
      </c>
      <c r="K230" s="3" t="s">
        <v>39</v>
      </c>
      <c r="L230" s="3" t="s">
        <v>40</v>
      </c>
      <c r="M230" s="15">
        <v>1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.6">
      <c r="A231" s="13">
        <v>2013</v>
      </c>
      <c r="B231" s="32">
        <v>41505</v>
      </c>
      <c r="C231" s="3" t="s">
        <v>35</v>
      </c>
      <c r="D231" s="3" t="s">
        <v>19</v>
      </c>
      <c r="E231" s="3" t="s">
        <v>66</v>
      </c>
      <c r="F231" s="3" t="s">
        <v>290</v>
      </c>
      <c r="G231" s="14">
        <v>1</v>
      </c>
      <c r="H231" s="14">
        <v>1</v>
      </c>
      <c r="I231" s="14">
        <v>0</v>
      </c>
      <c r="J231" s="3" t="s">
        <v>38</v>
      </c>
      <c r="K231" s="3" t="s">
        <v>39</v>
      </c>
      <c r="L231" s="3" t="s">
        <v>40</v>
      </c>
      <c r="M231" s="15">
        <v>1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.6">
      <c r="A232" s="13">
        <v>2013</v>
      </c>
      <c r="B232" s="32">
        <v>41561</v>
      </c>
      <c r="C232" s="3" t="s">
        <v>35</v>
      </c>
      <c r="D232" s="3" t="s">
        <v>20</v>
      </c>
      <c r="E232" s="3" t="s">
        <v>68</v>
      </c>
      <c r="F232" s="3" t="s">
        <v>291</v>
      </c>
      <c r="G232" s="14">
        <v>1</v>
      </c>
      <c r="H232" s="14">
        <v>1</v>
      </c>
      <c r="I232" s="14">
        <v>0</v>
      </c>
      <c r="J232" s="3" t="s">
        <v>38</v>
      </c>
      <c r="K232" s="3" t="s">
        <v>39</v>
      </c>
      <c r="L232" s="3" t="s">
        <v>40</v>
      </c>
      <c r="M232" s="15">
        <v>1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.6">
      <c r="A233" s="13">
        <v>2013</v>
      </c>
      <c r="B233" s="32">
        <v>41582</v>
      </c>
      <c r="C233" s="3" t="s">
        <v>35</v>
      </c>
      <c r="D233" s="3" t="s">
        <v>20</v>
      </c>
      <c r="E233" s="3" t="s">
        <v>70</v>
      </c>
      <c r="F233" s="3" t="s">
        <v>292</v>
      </c>
      <c r="G233" s="14">
        <v>1</v>
      </c>
      <c r="H233" s="14">
        <v>1</v>
      </c>
      <c r="I233" s="14">
        <v>0</v>
      </c>
      <c r="J233" s="3" t="s">
        <v>38</v>
      </c>
      <c r="K233" s="3" t="s">
        <v>39</v>
      </c>
      <c r="L233" s="3" t="s">
        <v>40</v>
      </c>
      <c r="M233" s="15">
        <v>1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.6">
      <c r="A234" s="13">
        <v>2013</v>
      </c>
      <c r="B234" s="32">
        <v>41589</v>
      </c>
      <c r="C234" s="3" t="s">
        <v>35</v>
      </c>
      <c r="D234" s="3" t="s">
        <v>20</v>
      </c>
      <c r="E234" s="3" t="s">
        <v>72</v>
      </c>
      <c r="F234" s="3" t="s">
        <v>293</v>
      </c>
      <c r="G234" s="14">
        <v>1</v>
      </c>
      <c r="H234" s="14">
        <v>1</v>
      </c>
      <c r="I234" s="14">
        <v>0</v>
      </c>
      <c r="J234" s="3" t="s">
        <v>38</v>
      </c>
      <c r="K234" s="3" t="s">
        <v>39</v>
      </c>
      <c r="L234" s="3" t="s">
        <v>40</v>
      </c>
      <c r="M234" s="15">
        <v>1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.6">
      <c r="A235" s="13">
        <v>2013</v>
      </c>
      <c r="B235" s="32">
        <v>41616</v>
      </c>
      <c r="C235" s="3" t="s">
        <v>96</v>
      </c>
      <c r="D235" s="3" t="s">
        <v>20</v>
      </c>
      <c r="E235" s="3" t="s">
        <v>75</v>
      </c>
      <c r="F235" s="3" t="s">
        <v>294</v>
      </c>
      <c r="G235" s="14">
        <v>1</v>
      </c>
      <c r="H235" s="14">
        <v>0</v>
      </c>
      <c r="I235" s="14">
        <v>0</v>
      </c>
      <c r="J235" s="3" t="s">
        <v>98</v>
      </c>
      <c r="K235" s="3" t="s">
        <v>39</v>
      </c>
      <c r="L235" s="3" t="s">
        <v>40</v>
      </c>
      <c r="M235" s="15">
        <v>1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.6">
      <c r="A236" s="13">
        <v>2013</v>
      </c>
      <c r="B236" s="32">
        <v>41633</v>
      </c>
      <c r="C236" s="3" t="s">
        <v>84</v>
      </c>
      <c r="D236" s="3" t="s">
        <v>20</v>
      </c>
      <c r="E236" s="3" t="s">
        <v>77</v>
      </c>
      <c r="F236" s="3" t="s">
        <v>295</v>
      </c>
      <c r="G236" s="14">
        <v>1</v>
      </c>
      <c r="H236" s="14">
        <v>1</v>
      </c>
      <c r="I236" s="14">
        <v>0</v>
      </c>
      <c r="J236" s="3" t="s">
        <v>38</v>
      </c>
      <c r="K236" s="3" t="s">
        <v>39</v>
      </c>
      <c r="L236" s="3" t="s">
        <v>40</v>
      </c>
      <c r="M236" s="15">
        <v>1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.6">
      <c r="A237" s="13">
        <v>2014</v>
      </c>
      <c r="B237" s="32">
        <v>41640</v>
      </c>
      <c r="C237" s="3" t="s">
        <v>84</v>
      </c>
      <c r="D237" s="3" t="s">
        <v>15</v>
      </c>
      <c r="E237" s="3" t="s">
        <v>36</v>
      </c>
      <c r="F237" s="3" t="s">
        <v>296</v>
      </c>
      <c r="G237" s="14">
        <v>1</v>
      </c>
      <c r="H237" s="14">
        <v>1</v>
      </c>
      <c r="I237" s="14">
        <v>0</v>
      </c>
      <c r="J237" s="3" t="s">
        <v>38</v>
      </c>
      <c r="K237" s="3" t="s">
        <v>39</v>
      </c>
      <c r="L237" s="3" t="s">
        <v>40</v>
      </c>
      <c r="M237" s="15">
        <v>1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.6">
      <c r="A238" s="13">
        <v>2014</v>
      </c>
      <c r="B238" s="32">
        <v>41645</v>
      </c>
      <c r="C238" s="3" t="s">
        <v>35</v>
      </c>
      <c r="D238" s="3" t="s">
        <v>15</v>
      </c>
      <c r="E238" s="3" t="s">
        <v>41</v>
      </c>
      <c r="F238" s="3" t="s">
        <v>297</v>
      </c>
      <c r="G238" s="14">
        <v>1</v>
      </c>
      <c r="H238" s="14">
        <v>1</v>
      </c>
      <c r="I238" s="14">
        <v>0</v>
      </c>
      <c r="J238" s="3" t="s">
        <v>38</v>
      </c>
      <c r="K238" s="3" t="s">
        <v>39</v>
      </c>
      <c r="L238" s="3" t="s">
        <v>40</v>
      </c>
      <c r="M238" s="15">
        <v>1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.6">
      <c r="A239" s="13">
        <v>2014</v>
      </c>
      <c r="B239" s="32">
        <v>41722</v>
      </c>
      <c r="C239" s="3" t="s">
        <v>35</v>
      </c>
      <c r="D239" s="3" t="s">
        <v>15</v>
      </c>
      <c r="E239" s="3" t="s">
        <v>43</v>
      </c>
      <c r="F239" s="3" t="s">
        <v>298</v>
      </c>
      <c r="G239" s="14">
        <v>1</v>
      </c>
      <c r="H239" s="14">
        <v>1</v>
      </c>
      <c r="I239" s="14">
        <v>0</v>
      </c>
      <c r="J239" s="3" t="s">
        <v>38</v>
      </c>
      <c r="K239" s="3" t="s">
        <v>39</v>
      </c>
      <c r="L239" s="3" t="s">
        <v>40</v>
      </c>
      <c r="M239" s="15">
        <v>1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.6">
      <c r="A240" s="13">
        <v>2014</v>
      </c>
      <c r="B240" s="32">
        <v>41746</v>
      </c>
      <c r="C240" s="3" t="s">
        <v>45</v>
      </c>
      <c r="D240" s="3" t="s">
        <v>17</v>
      </c>
      <c r="E240" s="3" t="s">
        <v>46</v>
      </c>
      <c r="F240" s="3" t="s">
        <v>299</v>
      </c>
      <c r="G240" s="14">
        <v>1</v>
      </c>
      <c r="H240" s="14">
        <v>1</v>
      </c>
      <c r="I240" s="14">
        <v>0</v>
      </c>
      <c r="J240" s="3" t="s">
        <v>38</v>
      </c>
      <c r="K240" s="3" t="s">
        <v>39</v>
      </c>
      <c r="L240" s="3" t="s">
        <v>40</v>
      </c>
      <c r="M240" s="15">
        <v>1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.6">
      <c r="A241" s="13">
        <v>2014</v>
      </c>
      <c r="B241" s="32">
        <v>41747</v>
      </c>
      <c r="C241" s="3" t="s">
        <v>48</v>
      </c>
      <c r="D241" s="3" t="s">
        <v>17</v>
      </c>
      <c r="E241" s="3" t="s">
        <v>49</v>
      </c>
      <c r="F241" s="3" t="s">
        <v>300</v>
      </c>
      <c r="G241" s="14">
        <v>1</v>
      </c>
      <c r="H241" s="14">
        <v>1</v>
      </c>
      <c r="I241" s="14">
        <v>0</v>
      </c>
      <c r="J241" s="3" t="s">
        <v>38</v>
      </c>
      <c r="K241" s="3" t="s">
        <v>39</v>
      </c>
      <c r="L241" s="3" t="s">
        <v>40</v>
      </c>
      <c r="M241" s="15">
        <v>1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.6">
      <c r="A242" s="13">
        <v>2014</v>
      </c>
      <c r="B242" s="32">
        <v>41760</v>
      </c>
      <c r="C242" s="3" t="s">
        <v>45</v>
      </c>
      <c r="D242" s="3" t="s">
        <v>17</v>
      </c>
      <c r="E242" s="3" t="s">
        <v>52</v>
      </c>
      <c r="F242" s="3" t="s">
        <v>301</v>
      </c>
      <c r="G242" s="14">
        <v>1</v>
      </c>
      <c r="H242" s="14">
        <v>1</v>
      </c>
      <c r="I242" s="14">
        <v>0</v>
      </c>
      <c r="J242" s="3" t="s">
        <v>38</v>
      </c>
      <c r="K242" s="3" t="s">
        <v>39</v>
      </c>
      <c r="L242" s="3" t="s">
        <v>40</v>
      </c>
      <c r="M242" s="15">
        <v>1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.6">
      <c r="A243" s="13">
        <v>2014</v>
      </c>
      <c r="B243" s="32">
        <v>41792</v>
      </c>
      <c r="C243" s="3" t="s">
        <v>35</v>
      </c>
      <c r="D243" s="3" t="s">
        <v>17</v>
      </c>
      <c r="E243" s="3" t="s">
        <v>54</v>
      </c>
      <c r="F243" s="3" t="s">
        <v>302</v>
      </c>
      <c r="G243" s="14">
        <v>1</v>
      </c>
      <c r="H243" s="14">
        <v>1</v>
      </c>
      <c r="I243" s="14">
        <v>0</v>
      </c>
      <c r="J243" s="3" t="s">
        <v>38</v>
      </c>
      <c r="K243" s="3" t="s">
        <v>39</v>
      </c>
      <c r="L243" s="3" t="s">
        <v>40</v>
      </c>
      <c r="M243" s="15">
        <v>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.6">
      <c r="A244" s="13">
        <v>2014</v>
      </c>
      <c r="B244" s="32">
        <v>41813</v>
      </c>
      <c r="C244" s="3" t="s">
        <v>35</v>
      </c>
      <c r="D244" s="3" t="s">
        <v>17</v>
      </c>
      <c r="E244" s="3" t="s">
        <v>56</v>
      </c>
      <c r="F244" s="3" t="s">
        <v>303</v>
      </c>
      <c r="G244" s="14">
        <v>1</v>
      </c>
      <c r="H244" s="14">
        <v>1</v>
      </c>
      <c r="I244" s="14">
        <v>0</v>
      </c>
      <c r="J244" s="3" t="s">
        <v>38</v>
      </c>
      <c r="K244" s="3" t="s">
        <v>39</v>
      </c>
      <c r="L244" s="3" t="s">
        <v>40</v>
      </c>
      <c r="M244" s="15">
        <v>1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.6">
      <c r="A245" s="13">
        <v>2014</v>
      </c>
      <c r="B245" s="32">
        <v>41820</v>
      </c>
      <c r="C245" s="3" t="s">
        <v>35</v>
      </c>
      <c r="D245" s="3" t="s">
        <v>17</v>
      </c>
      <c r="E245" s="3" t="s">
        <v>108</v>
      </c>
      <c r="F245" s="3" t="s">
        <v>304</v>
      </c>
      <c r="G245" s="14">
        <v>2</v>
      </c>
      <c r="H245" s="14">
        <v>1</v>
      </c>
      <c r="I245" s="14">
        <v>1</v>
      </c>
      <c r="J245" s="3" t="s">
        <v>38</v>
      </c>
      <c r="K245" s="3" t="s">
        <v>39</v>
      </c>
      <c r="L245" s="3" t="s">
        <v>40</v>
      </c>
      <c r="M245" s="15">
        <v>1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.6">
      <c r="A246" s="13">
        <v>2014</v>
      </c>
      <c r="B246" s="32">
        <v>41840</v>
      </c>
      <c r="C246" s="3" t="s">
        <v>96</v>
      </c>
      <c r="D246" s="3" t="s">
        <v>19</v>
      </c>
      <c r="E246" s="3" t="s">
        <v>62</v>
      </c>
      <c r="F246" s="3" t="s">
        <v>305</v>
      </c>
      <c r="G246" s="14">
        <v>1</v>
      </c>
      <c r="H246" s="14">
        <v>0</v>
      </c>
      <c r="I246" s="14">
        <v>0</v>
      </c>
      <c r="J246" s="3" t="s">
        <v>98</v>
      </c>
      <c r="K246" s="3" t="s">
        <v>39</v>
      </c>
      <c r="L246" s="3" t="s">
        <v>40</v>
      </c>
      <c r="M246" s="15">
        <v>1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.6">
      <c r="A247" s="13">
        <v>2014</v>
      </c>
      <c r="B247" s="32">
        <v>41858</v>
      </c>
      <c r="C247" s="3" t="s">
        <v>45</v>
      </c>
      <c r="D247" s="3" t="s">
        <v>19</v>
      </c>
      <c r="E247" s="3" t="s">
        <v>64</v>
      </c>
      <c r="F247" s="3" t="s">
        <v>306</v>
      </c>
      <c r="G247" s="14">
        <v>1</v>
      </c>
      <c r="H247" s="14">
        <v>1</v>
      </c>
      <c r="I247" s="14">
        <v>0</v>
      </c>
      <c r="J247" s="3" t="s">
        <v>38</v>
      </c>
      <c r="K247" s="3" t="s">
        <v>39</v>
      </c>
      <c r="L247" s="3" t="s">
        <v>40</v>
      </c>
      <c r="M247" s="15">
        <v>1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.6">
      <c r="A248" s="13">
        <v>2014</v>
      </c>
      <c r="B248" s="32">
        <v>41869</v>
      </c>
      <c r="C248" s="3" t="s">
        <v>35</v>
      </c>
      <c r="D248" s="3" t="s">
        <v>19</v>
      </c>
      <c r="E248" s="3" t="s">
        <v>66</v>
      </c>
      <c r="F248" s="3" t="s">
        <v>307</v>
      </c>
      <c r="G248" s="14">
        <v>1</v>
      </c>
      <c r="H248" s="14">
        <v>1</v>
      </c>
      <c r="I248" s="14">
        <v>0</v>
      </c>
      <c r="J248" s="3" t="s">
        <v>38</v>
      </c>
      <c r="K248" s="3" t="s">
        <v>39</v>
      </c>
      <c r="L248" s="3" t="s">
        <v>40</v>
      </c>
      <c r="M248" s="15">
        <v>1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.6">
      <c r="A249" s="13">
        <v>2014</v>
      </c>
      <c r="B249" s="32">
        <v>41925</v>
      </c>
      <c r="C249" s="3" t="s">
        <v>35</v>
      </c>
      <c r="D249" s="3" t="s">
        <v>20</v>
      </c>
      <c r="E249" s="3" t="s">
        <v>68</v>
      </c>
      <c r="F249" s="3" t="s">
        <v>308</v>
      </c>
      <c r="G249" s="14">
        <v>1</v>
      </c>
      <c r="H249" s="14">
        <v>1</v>
      </c>
      <c r="I249" s="14">
        <v>0</v>
      </c>
      <c r="J249" s="3" t="s">
        <v>38</v>
      </c>
      <c r="K249" s="3" t="s">
        <v>39</v>
      </c>
      <c r="L249" s="3" t="s">
        <v>40</v>
      </c>
      <c r="M249" s="15">
        <v>1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.6">
      <c r="A250" s="13">
        <v>2014</v>
      </c>
      <c r="B250" s="32">
        <v>41946</v>
      </c>
      <c r="C250" s="3" t="s">
        <v>35</v>
      </c>
      <c r="D250" s="3" t="s">
        <v>20</v>
      </c>
      <c r="E250" s="3" t="s">
        <v>70</v>
      </c>
      <c r="F250" s="3" t="s">
        <v>309</v>
      </c>
      <c r="G250" s="14">
        <v>1</v>
      </c>
      <c r="H250" s="14">
        <v>1</v>
      </c>
      <c r="I250" s="14">
        <v>0</v>
      </c>
      <c r="J250" s="3" t="s">
        <v>38</v>
      </c>
      <c r="K250" s="3" t="s">
        <v>39</v>
      </c>
      <c r="L250" s="3" t="s">
        <v>40</v>
      </c>
      <c r="M250" s="15">
        <v>1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.6">
      <c r="A251" s="13">
        <v>2014</v>
      </c>
      <c r="B251" s="32">
        <v>41960</v>
      </c>
      <c r="C251" s="3" t="s">
        <v>35</v>
      </c>
      <c r="D251" s="3" t="s">
        <v>20</v>
      </c>
      <c r="E251" s="3" t="s">
        <v>72</v>
      </c>
      <c r="F251" s="3" t="s">
        <v>310</v>
      </c>
      <c r="G251" s="14">
        <v>1</v>
      </c>
      <c r="H251" s="14">
        <v>1</v>
      </c>
      <c r="I251" s="14">
        <v>0</v>
      </c>
      <c r="J251" s="3" t="s">
        <v>38</v>
      </c>
      <c r="K251" s="3" t="s">
        <v>39</v>
      </c>
      <c r="L251" s="3" t="s">
        <v>40</v>
      </c>
      <c r="M251" s="15">
        <v>1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.6">
      <c r="A252" s="13">
        <v>2014</v>
      </c>
      <c r="B252" s="32">
        <v>41981</v>
      </c>
      <c r="C252" s="3" t="s">
        <v>35</v>
      </c>
      <c r="D252" s="3" t="s">
        <v>20</v>
      </c>
      <c r="E252" s="3" t="s">
        <v>75</v>
      </c>
      <c r="F252" s="3" t="s">
        <v>311</v>
      </c>
      <c r="G252" s="14">
        <v>1</v>
      </c>
      <c r="H252" s="14">
        <v>1</v>
      </c>
      <c r="I252" s="14">
        <v>0</v>
      </c>
      <c r="J252" s="3" t="s">
        <v>38</v>
      </c>
      <c r="K252" s="3" t="s">
        <v>39</v>
      </c>
      <c r="L252" s="3" t="s">
        <v>40</v>
      </c>
      <c r="M252" s="15">
        <v>1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.6">
      <c r="A253" s="13">
        <v>2014</v>
      </c>
      <c r="B253" s="32">
        <v>41998</v>
      </c>
      <c r="C253" s="3" t="s">
        <v>45</v>
      </c>
      <c r="D253" s="3" t="s">
        <v>20</v>
      </c>
      <c r="E253" s="3" t="s">
        <v>77</v>
      </c>
      <c r="F253" s="3" t="s">
        <v>312</v>
      </c>
      <c r="G253" s="14">
        <v>1</v>
      </c>
      <c r="H253" s="14">
        <v>1</v>
      </c>
      <c r="I253" s="14">
        <v>0</v>
      </c>
      <c r="J253" s="3" t="s">
        <v>38</v>
      </c>
      <c r="K253" s="3" t="s">
        <v>39</v>
      </c>
      <c r="L253" s="3" t="s">
        <v>40</v>
      </c>
      <c r="M253" s="15">
        <v>1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.6">
      <c r="A254" s="13">
        <v>2015</v>
      </c>
      <c r="B254" s="32">
        <v>42005</v>
      </c>
      <c r="C254" s="3" t="s">
        <v>45</v>
      </c>
      <c r="D254" s="3" t="s">
        <v>15</v>
      </c>
      <c r="E254" s="3" t="s">
        <v>36</v>
      </c>
      <c r="F254" s="3" t="s">
        <v>313</v>
      </c>
      <c r="G254" s="14">
        <v>1</v>
      </c>
      <c r="H254" s="14">
        <v>1</v>
      </c>
      <c r="I254" s="14">
        <v>0</v>
      </c>
      <c r="J254" s="3" t="s">
        <v>38</v>
      </c>
      <c r="K254" s="3" t="s">
        <v>39</v>
      </c>
      <c r="L254" s="3" t="s">
        <v>40</v>
      </c>
      <c r="M254" s="15">
        <v>1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.6">
      <c r="A255" s="13">
        <v>2015</v>
      </c>
      <c r="B255" s="32">
        <v>42016</v>
      </c>
      <c r="C255" s="3" t="s">
        <v>35</v>
      </c>
      <c r="D255" s="3" t="s">
        <v>15</v>
      </c>
      <c r="E255" s="3" t="s">
        <v>41</v>
      </c>
      <c r="F255" s="3" t="s">
        <v>314</v>
      </c>
      <c r="G255" s="14">
        <v>1</v>
      </c>
      <c r="H255" s="14">
        <v>1</v>
      </c>
      <c r="I255" s="14">
        <v>0</v>
      </c>
      <c r="J255" s="3" t="s">
        <v>38</v>
      </c>
      <c r="K255" s="3" t="s">
        <v>39</v>
      </c>
      <c r="L255" s="3" t="s">
        <v>40</v>
      </c>
      <c r="M255" s="15">
        <v>1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.6">
      <c r="A256" s="13">
        <v>2015</v>
      </c>
      <c r="B256" s="32">
        <v>42086</v>
      </c>
      <c r="C256" s="3" t="s">
        <v>35</v>
      </c>
      <c r="D256" s="3" t="s">
        <v>15</v>
      </c>
      <c r="E256" s="3" t="s">
        <v>43</v>
      </c>
      <c r="F256" s="3" t="s">
        <v>315</v>
      </c>
      <c r="G256" s="14">
        <v>1</v>
      </c>
      <c r="H256" s="14">
        <v>1</v>
      </c>
      <c r="I256" s="14">
        <v>0</v>
      </c>
      <c r="J256" s="3" t="s">
        <v>38</v>
      </c>
      <c r="K256" s="3" t="s">
        <v>39</v>
      </c>
      <c r="L256" s="3" t="s">
        <v>40</v>
      </c>
      <c r="M256" s="15">
        <v>1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.6">
      <c r="A257" s="13">
        <v>2015</v>
      </c>
      <c r="B257" s="32">
        <v>42096</v>
      </c>
      <c r="C257" s="3" t="s">
        <v>45</v>
      </c>
      <c r="D257" s="3" t="s">
        <v>17</v>
      </c>
      <c r="E257" s="3" t="s">
        <v>46</v>
      </c>
      <c r="F257" s="3" t="s">
        <v>316</v>
      </c>
      <c r="G257" s="14">
        <v>1</v>
      </c>
      <c r="H257" s="14">
        <v>1</v>
      </c>
      <c r="I257" s="14">
        <v>0</v>
      </c>
      <c r="J257" s="3" t="s">
        <v>38</v>
      </c>
      <c r="K257" s="3" t="s">
        <v>39</v>
      </c>
      <c r="L257" s="3" t="s">
        <v>40</v>
      </c>
      <c r="M257" s="15">
        <v>1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.6">
      <c r="A258" s="13">
        <v>2015</v>
      </c>
      <c r="B258" s="32">
        <v>42097</v>
      </c>
      <c r="C258" s="3" t="s">
        <v>48</v>
      </c>
      <c r="D258" s="3" t="s">
        <v>17</v>
      </c>
      <c r="E258" s="3" t="s">
        <v>49</v>
      </c>
      <c r="F258" s="3" t="s">
        <v>317</v>
      </c>
      <c r="G258" s="14">
        <v>1</v>
      </c>
      <c r="H258" s="14">
        <v>1</v>
      </c>
      <c r="I258" s="14">
        <v>0</v>
      </c>
      <c r="J258" s="3" t="s">
        <v>38</v>
      </c>
      <c r="K258" s="3" t="s">
        <v>39</v>
      </c>
      <c r="L258" s="3" t="s">
        <v>40</v>
      </c>
      <c r="M258" s="15">
        <v>1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.6">
      <c r="A259" s="13">
        <v>2015</v>
      </c>
      <c r="B259" s="32">
        <v>42125</v>
      </c>
      <c r="C259" s="3" t="s">
        <v>48</v>
      </c>
      <c r="D259" s="3" t="s">
        <v>17</v>
      </c>
      <c r="E259" s="3" t="s">
        <v>52</v>
      </c>
      <c r="F259" s="3" t="s">
        <v>318</v>
      </c>
      <c r="G259" s="14">
        <v>1</v>
      </c>
      <c r="H259" s="14">
        <v>1</v>
      </c>
      <c r="I259" s="14">
        <v>0</v>
      </c>
      <c r="J259" s="3" t="s">
        <v>38</v>
      </c>
      <c r="K259" s="3" t="s">
        <v>39</v>
      </c>
      <c r="L259" s="3" t="s">
        <v>40</v>
      </c>
      <c r="M259" s="15">
        <v>1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.6">
      <c r="A260" s="13">
        <v>2015</v>
      </c>
      <c r="B260" s="32">
        <v>42142</v>
      </c>
      <c r="C260" s="3" t="s">
        <v>35</v>
      </c>
      <c r="D260" s="3" t="s">
        <v>17</v>
      </c>
      <c r="E260" s="3" t="s">
        <v>54</v>
      </c>
      <c r="F260" s="3" t="s">
        <v>319</v>
      </c>
      <c r="G260" s="14">
        <v>1</v>
      </c>
      <c r="H260" s="14">
        <v>1</v>
      </c>
      <c r="I260" s="14">
        <v>0</v>
      </c>
      <c r="J260" s="3" t="s">
        <v>38</v>
      </c>
      <c r="K260" s="3" t="s">
        <v>39</v>
      </c>
      <c r="L260" s="3" t="s">
        <v>40</v>
      </c>
      <c r="M260" s="15">
        <v>1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.6">
      <c r="A261" s="13">
        <v>2015</v>
      </c>
      <c r="B261" s="32">
        <v>42163</v>
      </c>
      <c r="C261" s="3" t="s">
        <v>35</v>
      </c>
      <c r="D261" s="3" t="s">
        <v>17</v>
      </c>
      <c r="E261" s="3" t="s">
        <v>56</v>
      </c>
      <c r="F261" s="3" t="s">
        <v>320</v>
      </c>
      <c r="G261" s="14">
        <v>1</v>
      </c>
      <c r="H261" s="14">
        <v>1</v>
      </c>
      <c r="I261" s="14">
        <v>0</v>
      </c>
      <c r="J261" s="3" t="s">
        <v>38</v>
      </c>
      <c r="K261" s="3" t="s">
        <v>39</v>
      </c>
      <c r="L261" s="3" t="s">
        <v>40</v>
      </c>
      <c r="M261" s="15">
        <v>1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.6">
      <c r="A262" s="13">
        <v>2015</v>
      </c>
      <c r="B262" s="32">
        <v>42170</v>
      </c>
      <c r="C262" s="3" t="s">
        <v>35</v>
      </c>
      <c r="D262" s="3" t="s">
        <v>17</v>
      </c>
      <c r="E262" s="3" t="s">
        <v>58</v>
      </c>
      <c r="F262" s="3" t="s">
        <v>321</v>
      </c>
      <c r="G262" s="14">
        <v>1</v>
      </c>
      <c r="H262" s="14">
        <v>1</v>
      </c>
      <c r="I262" s="14">
        <v>0</v>
      </c>
      <c r="J262" s="3" t="s">
        <v>38</v>
      </c>
      <c r="K262" s="3" t="s">
        <v>39</v>
      </c>
      <c r="L262" s="3" t="s">
        <v>40</v>
      </c>
      <c r="M262" s="15">
        <v>1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.6">
      <c r="A263" s="13">
        <v>2015</v>
      </c>
      <c r="B263" s="32">
        <v>42184</v>
      </c>
      <c r="C263" s="3" t="s">
        <v>35</v>
      </c>
      <c r="D263" s="3" t="s">
        <v>17</v>
      </c>
      <c r="E263" s="3" t="s">
        <v>60</v>
      </c>
      <c r="F263" s="3" t="s">
        <v>322</v>
      </c>
      <c r="G263" s="14">
        <v>1</v>
      </c>
      <c r="H263" s="14">
        <v>1</v>
      </c>
      <c r="I263" s="14">
        <v>0</v>
      </c>
      <c r="J263" s="3" t="s">
        <v>38</v>
      </c>
      <c r="K263" s="3" t="s">
        <v>39</v>
      </c>
      <c r="L263" s="3" t="s">
        <v>40</v>
      </c>
      <c r="M263" s="15">
        <v>1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.6">
      <c r="A264" s="13">
        <v>2015</v>
      </c>
      <c r="B264" s="32">
        <v>42205</v>
      </c>
      <c r="C264" s="3" t="s">
        <v>35</v>
      </c>
      <c r="D264" s="3" t="s">
        <v>19</v>
      </c>
      <c r="E264" s="3" t="s">
        <v>62</v>
      </c>
      <c r="F264" s="3" t="s">
        <v>323</v>
      </c>
      <c r="G264" s="14">
        <v>1</v>
      </c>
      <c r="H264" s="14">
        <v>1</v>
      </c>
      <c r="I264" s="14">
        <v>0</v>
      </c>
      <c r="J264" s="3" t="s">
        <v>38</v>
      </c>
      <c r="K264" s="3" t="s">
        <v>39</v>
      </c>
      <c r="L264" s="3" t="s">
        <v>40</v>
      </c>
      <c r="M264" s="15">
        <v>1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.6">
      <c r="A265" s="13">
        <v>2015</v>
      </c>
      <c r="B265" s="32">
        <v>42223</v>
      </c>
      <c r="C265" s="3" t="s">
        <v>48</v>
      </c>
      <c r="D265" s="3" t="s">
        <v>19</v>
      </c>
      <c r="E265" s="3" t="s">
        <v>64</v>
      </c>
      <c r="F265" s="3" t="s">
        <v>324</v>
      </c>
      <c r="G265" s="14">
        <v>1</v>
      </c>
      <c r="H265" s="14">
        <v>1</v>
      </c>
      <c r="I265" s="14">
        <v>0</v>
      </c>
      <c r="J265" s="3" t="s">
        <v>38</v>
      </c>
      <c r="K265" s="3" t="s">
        <v>39</v>
      </c>
      <c r="L265" s="3" t="s">
        <v>40</v>
      </c>
      <c r="M265" s="15">
        <v>1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.6">
      <c r="A266" s="13">
        <v>2015</v>
      </c>
      <c r="B266" s="32">
        <v>42233</v>
      </c>
      <c r="C266" s="3" t="s">
        <v>35</v>
      </c>
      <c r="D266" s="3" t="s">
        <v>19</v>
      </c>
      <c r="E266" s="3" t="s">
        <v>66</v>
      </c>
      <c r="F266" s="3" t="s">
        <v>325</v>
      </c>
      <c r="G266" s="14">
        <v>1</v>
      </c>
      <c r="H266" s="14">
        <v>1</v>
      </c>
      <c r="I266" s="14">
        <v>0</v>
      </c>
      <c r="J266" s="3" t="s">
        <v>38</v>
      </c>
      <c r="K266" s="3" t="s">
        <v>39</v>
      </c>
      <c r="L266" s="3" t="s">
        <v>40</v>
      </c>
      <c r="M266" s="15">
        <v>1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.6">
      <c r="A267" s="13">
        <v>2015</v>
      </c>
      <c r="B267" s="32">
        <v>42289</v>
      </c>
      <c r="C267" s="3" t="s">
        <v>35</v>
      </c>
      <c r="D267" s="3" t="s">
        <v>20</v>
      </c>
      <c r="E267" s="3" t="s">
        <v>68</v>
      </c>
      <c r="F267" s="3" t="s">
        <v>326</v>
      </c>
      <c r="G267" s="14">
        <v>1</v>
      </c>
      <c r="H267" s="14">
        <v>1</v>
      </c>
      <c r="I267" s="14">
        <v>0</v>
      </c>
      <c r="J267" s="3" t="s">
        <v>38</v>
      </c>
      <c r="K267" s="3" t="s">
        <v>39</v>
      </c>
      <c r="L267" s="3" t="s">
        <v>40</v>
      </c>
      <c r="M267" s="15">
        <v>1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.6">
      <c r="A268" s="13">
        <v>2015</v>
      </c>
      <c r="B268" s="32">
        <v>42310</v>
      </c>
      <c r="C268" s="3" t="s">
        <v>35</v>
      </c>
      <c r="D268" s="3" t="s">
        <v>20</v>
      </c>
      <c r="E268" s="3" t="s">
        <v>70</v>
      </c>
      <c r="F268" s="3" t="s">
        <v>327</v>
      </c>
      <c r="G268" s="14">
        <v>1</v>
      </c>
      <c r="H268" s="14">
        <v>1</v>
      </c>
      <c r="I268" s="14">
        <v>0</v>
      </c>
      <c r="J268" s="3" t="s">
        <v>38</v>
      </c>
      <c r="K268" s="3" t="s">
        <v>39</v>
      </c>
      <c r="L268" s="3" t="s">
        <v>40</v>
      </c>
      <c r="M268" s="15">
        <v>1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.6">
      <c r="A269" s="13">
        <v>2015</v>
      </c>
      <c r="B269" s="32">
        <v>42324</v>
      </c>
      <c r="C269" s="3" t="s">
        <v>35</v>
      </c>
      <c r="D269" s="3" t="s">
        <v>20</v>
      </c>
      <c r="E269" s="3" t="s">
        <v>72</v>
      </c>
      <c r="F269" s="3" t="s">
        <v>328</v>
      </c>
      <c r="G269" s="14">
        <v>1</v>
      </c>
      <c r="H269" s="14">
        <v>1</v>
      </c>
      <c r="I269" s="14">
        <v>0</v>
      </c>
      <c r="J269" s="3" t="s">
        <v>38</v>
      </c>
      <c r="K269" s="3" t="s">
        <v>39</v>
      </c>
      <c r="L269" s="3" t="s">
        <v>40</v>
      </c>
      <c r="M269" s="15">
        <v>1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.6">
      <c r="A270" s="13">
        <v>2015</v>
      </c>
      <c r="B270" s="32">
        <v>42346</v>
      </c>
      <c r="C270" s="3" t="s">
        <v>51</v>
      </c>
      <c r="D270" s="3" t="s">
        <v>20</v>
      </c>
      <c r="E270" s="3" t="s">
        <v>75</v>
      </c>
      <c r="F270" s="3" t="s">
        <v>329</v>
      </c>
      <c r="G270" s="14">
        <v>1</v>
      </c>
      <c r="H270" s="14">
        <v>1</v>
      </c>
      <c r="I270" s="14">
        <v>0</v>
      </c>
      <c r="J270" s="3" t="s">
        <v>38</v>
      </c>
      <c r="K270" s="3" t="s">
        <v>39</v>
      </c>
      <c r="L270" s="3" t="s">
        <v>40</v>
      </c>
      <c r="M270" s="15">
        <v>1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.6">
      <c r="A271" s="13">
        <v>2015</v>
      </c>
      <c r="B271" s="32">
        <v>42363</v>
      </c>
      <c r="C271" s="3" t="s">
        <v>48</v>
      </c>
      <c r="D271" s="3" t="s">
        <v>20</v>
      </c>
      <c r="E271" s="3" t="s">
        <v>77</v>
      </c>
      <c r="F271" s="3" t="s">
        <v>330</v>
      </c>
      <c r="G271" s="14">
        <v>1</v>
      </c>
      <c r="H271" s="14">
        <v>1</v>
      </c>
      <c r="I271" s="14">
        <v>0</v>
      </c>
      <c r="J271" s="3" t="s">
        <v>38</v>
      </c>
      <c r="K271" s="3" t="s">
        <v>39</v>
      </c>
      <c r="L271" s="3" t="s">
        <v>40</v>
      </c>
      <c r="M271" s="15">
        <v>1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.6">
      <c r="A272" s="13">
        <v>2016</v>
      </c>
      <c r="B272" s="32">
        <v>42370</v>
      </c>
      <c r="C272" s="3" t="s">
        <v>48</v>
      </c>
      <c r="D272" s="3" t="s">
        <v>15</v>
      </c>
      <c r="E272" s="3" t="s">
        <v>36</v>
      </c>
      <c r="F272" s="3" t="s">
        <v>331</v>
      </c>
      <c r="G272" s="14">
        <v>1</v>
      </c>
      <c r="H272" s="14">
        <v>1</v>
      </c>
      <c r="I272" s="14">
        <v>0</v>
      </c>
      <c r="J272" s="3" t="s">
        <v>38</v>
      </c>
      <c r="K272" s="3" t="s">
        <v>39</v>
      </c>
      <c r="L272" s="3" t="s">
        <v>40</v>
      </c>
      <c r="M272" s="15">
        <v>1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.6">
      <c r="A273" s="13">
        <v>2016</v>
      </c>
      <c r="B273" s="32">
        <v>42380</v>
      </c>
      <c r="C273" s="3" t="s">
        <v>35</v>
      </c>
      <c r="D273" s="3" t="s">
        <v>15</v>
      </c>
      <c r="E273" s="3" t="s">
        <v>41</v>
      </c>
      <c r="F273" s="3" t="s">
        <v>332</v>
      </c>
      <c r="G273" s="14">
        <v>1</v>
      </c>
      <c r="H273" s="14">
        <v>1</v>
      </c>
      <c r="I273" s="14">
        <v>0</v>
      </c>
      <c r="J273" s="3" t="s">
        <v>38</v>
      </c>
      <c r="K273" s="3" t="s">
        <v>39</v>
      </c>
      <c r="L273" s="3" t="s">
        <v>40</v>
      </c>
      <c r="M273" s="15">
        <v>1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.6">
      <c r="A274" s="13">
        <v>2016</v>
      </c>
      <c r="B274" s="32">
        <v>42450</v>
      </c>
      <c r="C274" s="3" t="s">
        <v>35</v>
      </c>
      <c r="D274" s="3" t="s">
        <v>15</v>
      </c>
      <c r="E274" s="3" t="s">
        <v>43</v>
      </c>
      <c r="F274" s="3" t="s">
        <v>333</v>
      </c>
      <c r="G274" s="14">
        <v>1</v>
      </c>
      <c r="H274" s="14">
        <v>1</v>
      </c>
      <c r="I274" s="14">
        <v>0</v>
      </c>
      <c r="J274" s="3" t="s">
        <v>38</v>
      </c>
      <c r="K274" s="3" t="s">
        <v>39</v>
      </c>
      <c r="L274" s="3" t="s">
        <v>40</v>
      </c>
      <c r="M274" s="15">
        <v>1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.6">
      <c r="A275" s="13">
        <v>2016</v>
      </c>
      <c r="B275" s="32">
        <v>42453</v>
      </c>
      <c r="C275" s="3" t="s">
        <v>45</v>
      </c>
      <c r="D275" s="3" t="s">
        <v>15</v>
      </c>
      <c r="E275" s="3" t="s">
        <v>46</v>
      </c>
      <c r="F275" s="3" t="s">
        <v>334</v>
      </c>
      <c r="G275" s="14">
        <v>1</v>
      </c>
      <c r="H275" s="14">
        <v>1</v>
      </c>
      <c r="I275" s="14">
        <v>0</v>
      </c>
      <c r="J275" s="3" t="s">
        <v>38</v>
      </c>
      <c r="K275" s="3" t="s">
        <v>39</v>
      </c>
      <c r="L275" s="3" t="s">
        <v>40</v>
      </c>
      <c r="M275" s="15">
        <v>1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.6">
      <c r="A276" s="13">
        <v>2016</v>
      </c>
      <c r="B276" s="32">
        <v>42454</v>
      </c>
      <c r="C276" s="3" t="s">
        <v>48</v>
      </c>
      <c r="D276" s="3" t="s">
        <v>15</v>
      </c>
      <c r="E276" s="3" t="s">
        <v>49</v>
      </c>
      <c r="F276" s="3" t="s">
        <v>335</v>
      </c>
      <c r="G276" s="14">
        <v>1</v>
      </c>
      <c r="H276" s="14">
        <v>1</v>
      </c>
      <c r="I276" s="14">
        <v>0</v>
      </c>
      <c r="J276" s="3" t="s">
        <v>38</v>
      </c>
      <c r="K276" s="3" t="s">
        <v>39</v>
      </c>
      <c r="L276" s="3" t="s">
        <v>40</v>
      </c>
      <c r="M276" s="15">
        <v>1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.6">
      <c r="A277" s="13">
        <v>2016</v>
      </c>
      <c r="B277" s="32">
        <v>42491</v>
      </c>
      <c r="C277" s="3" t="s">
        <v>96</v>
      </c>
      <c r="D277" s="3" t="s">
        <v>17</v>
      </c>
      <c r="E277" s="3" t="s">
        <v>52</v>
      </c>
      <c r="F277" s="3" t="s">
        <v>336</v>
      </c>
      <c r="G277" s="14">
        <v>1</v>
      </c>
      <c r="H277" s="14">
        <v>0</v>
      </c>
      <c r="I277" s="14">
        <v>0</v>
      </c>
      <c r="J277" s="3" t="s">
        <v>98</v>
      </c>
      <c r="K277" s="3" t="s">
        <v>39</v>
      </c>
      <c r="L277" s="3" t="s">
        <v>40</v>
      </c>
      <c r="M277" s="15">
        <v>1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.6">
      <c r="A278" s="13">
        <v>2016</v>
      </c>
      <c r="B278" s="32">
        <v>42499</v>
      </c>
      <c r="C278" s="3" t="s">
        <v>35</v>
      </c>
      <c r="D278" s="3" t="s">
        <v>17</v>
      </c>
      <c r="E278" s="3" t="s">
        <v>54</v>
      </c>
      <c r="F278" s="3" t="s">
        <v>337</v>
      </c>
      <c r="G278" s="14">
        <v>1</v>
      </c>
      <c r="H278" s="14">
        <v>1</v>
      </c>
      <c r="I278" s="14">
        <v>0</v>
      </c>
      <c r="J278" s="3" t="s">
        <v>38</v>
      </c>
      <c r="K278" s="3" t="s">
        <v>39</v>
      </c>
      <c r="L278" s="3" t="s">
        <v>40</v>
      </c>
      <c r="M278" s="15">
        <v>1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.6">
      <c r="A279" s="13">
        <v>2016</v>
      </c>
      <c r="B279" s="32">
        <v>42520</v>
      </c>
      <c r="C279" s="3" t="s">
        <v>35</v>
      </c>
      <c r="D279" s="3" t="s">
        <v>17</v>
      </c>
      <c r="E279" s="3" t="s">
        <v>56</v>
      </c>
      <c r="F279" s="3" t="s">
        <v>338</v>
      </c>
      <c r="G279" s="14">
        <v>1</v>
      </c>
      <c r="H279" s="14">
        <v>1</v>
      </c>
      <c r="I279" s="14">
        <v>0</v>
      </c>
      <c r="J279" s="3" t="s">
        <v>38</v>
      </c>
      <c r="K279" s="3" t="s">
        <v>39</v>
      </c>
      <c r="L279" s="3" t="s">
        <v>40</v>
      </c>
      <c r="M279" s="15">
        <v>1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.6">
      <c r="A280" s="13">
        <v>2016</v>
      </c>
      <c r="B280" s="32">
        <v>42527</v>
      </c>
      <c r="C280" s="3" t="s">
        <v>35</v>
      </c>
      <c r="D280" s="3" t="s">
        <v>17</v>
      </c>
      <c r="E280" s="3" t="s">
        <v>58</v>
      </c>
      <c r="F280" s="3" t="s">
        <v>339</v>
      </c>
      <c r="G280" s="14">
        <v>1</v>
      </c>
      <c r="H280" s="14">
        <v>1</v>
      </c>
      <c r="I280" s="14">
        <v>0</v>
      </c>
      <c r="J280" s="3" t="s">
        <v>38</v>
      </c>
      <c r="K280" s="3" t="s">
        <v>39</v>
      </c>
      <c r="L280" s="3" t="s">
        <v>40</v>
      </c>
      <c r="M280" s="15">
        <v>1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.6">
      <c r="A281" s="13">
        <v>2016</v>
      </c>
      <c r="B281" s="32">
        <v>42555</v>
      </c>
      <c r="C281" s="3" t="s">
        <v>35</v>
      </c>
      <c r="D281" s="3" t="s">
        <v>19</v>
      </c>
      <c r="E281" s="3" t="s">
        <v>60</v>
      </c>
      <c r="F281" s="3" t="s">
        <v>340</v>
      </c>
      <c r="G281" s="14">
        <v>1</v>
      </c>
      <c r="H281" s="14">
        <v>1</v>
      </c>
      <c r="I281" s="14">
        <v>0</v>
      </c>
      <c r="J281" s="3" t="s">
        <v>38</v>
      </c>
      <c r="K281" s="3" t="s">
        <v>39</v>
      </c>
      <c r="L281" s="3" t="s">
        <v>40</v>
      </c>
      <c r="M281" s="15">
        <v>1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.6">
      <c r="A282" s="13">
        <v>2016</v>
      </c>
      <c r="B282" s="32">
        <v>42571</v>
      </c>
      <c r="C282" s="3" t="s">
        <v>84</v>
      </c>
      <c r="D282" s="3" t="s">
        <v>19</v>
      </c>
      <c r="E282" s="3" t="s">
        <v>62</v>
      </c>
      <c r="F282" s="3" t="s">
        <v>341</v>
      </c>
      <c r="G282" s="14">
        <v>1</v>
      </c>
      <c r="H282" s="14">
        <v>1</v>
      </c>
      <c r="I282" s="14">
        <v>0</v>
      </c>
      <c r="J282" s="3" t="s">
        <v>38</v>
      </c>
      <c r="K282" s="3" t="s">
        <v>39</v>
      </c>
      <c r="L282" s="3" t="s">
        <v>40</v>
      </c>
      <c r="M282" s="15">
        <v>1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.6">
      <c r="A283" s="13">
        <v>2016</v>
      </c>
      <c r="B283" s="32">
        <v>42589</v>
      </c>
      <c r="C283" s="3" t="s">
        <v>96</v>
      </c>
      <c r="D283" s="3" t="s">
        <v>19</v>
      </c>
      <c r="E283" s="3" t="s">
        <v>64</v>
      </c>
      <c r="F283" s="3" t="s">
        <v>342</v>
      </c>
      <c r="G283" s="14">
        <v>1</v>
      </c>
      <c r="H283" s="14">
        <v>0</v>
      </c>
      <c r="I283" s="14">
        <v>0</v>
      </c>
      <c r="J283" s="3" t="s">
        <v>98</v>
      </c>
      <c r="K283" s="3" t="s">
        <v>39</v>
      </c>
      <c r="L283" s="3" t="s">
        <v>40</v>
      </c>
      <c r="M283" s="15">
        <v>1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.6">
      <c r="A284" s="13">
        <v>2016</v>
      </c>
      <c r="B284" s="32">
        <v>42597</v>
      </c>
      <c r="C284" s="3" t="s">
        <v>35</v>
      </c>
      <c r="D284" s="3" t="s">
        <v>19</v>
      </c>
      <c r="E284" s="3" t="s">
        <v>66</v>
      </c>
      <c r="F284" s="3" t="s">
        <v>343</v>
      </c>
      <c r="G284" s="14">
        <v>1</v>
      </c>
      <c r="H284" s="14">
        <v>1</v>
      </c>
      <c r="I284" s="14">
        <v>0</v>
      </c>
      <c r="J284" s="3" t="s">
        <v>38</v>
      </c>
      <c r="K284" s="3" t="s">
        <v>39</v>
      </c>
      <c r="L284" s="3" t="s">
        <v>40</v>
      </c>
      <c r="M284" s="15">
        <v>1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.6">
      <c r="A285" s="13">
        <v>2016</v>
      </c>
      <c r="B285" s="32">
        <v>42660</v>
      </c>
      <c r="C285" s="3" t="s">
        <v>35</v>
      </c>
      <c r="D285" s="3" t="s">
        <v>20</v>
      </c>
      <c r="E285" s="3" t="s">
        <v>68</v>
      </c>
      <c r="F285" s="3" t="s">
        <v>344</v>
      </c>
      <c r="G285" s="14">
        <v>1</v>
      </c>
      <c r="H285" s="14">
        <v>1</v>
      </c>
      <c r="I285" s="14">
        <v>0</v>
      </c>
      <c r="J285" s="3" t="s">
        <v>38</v>
      </c>
      <c r="K285" s="3" t="s">
        <v>39</v>
      </c>
      <c r="L285" s="3" t="s">
        <v>40</v>
      </c>
      <c r="M285" s="15">
        <v>1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.6">
      <c r="A286" s="13">
        <v>2016</v>
      </c>
      <c r="B286" s="32">
        <v>42681</v>
      </c>
      <c r="C286" s="3" t="s">
        <v>35</v>
      </c>
      <c r="D286" s="3" t="s">
        <v>20</v>
      </c>
      <c r="E286" s="3" t="s">
        <v>70</v>
      </c>
      <c r="F286" s="3" t="s">
        <v>345</v>
      </c>
      <c r="G286" s="14">
        <v>1</v>
      </c>
      <c r="H286" s="14">
        <v>1</v>
      </c>
      <c r="I286" s="14">
        <v>0</v>
      </c>
      <c r="J286" s="3" t="s">
        <v>38</v>
      </c>
      <c r="K286" s="3" t="s">
        <v>39</v>
      </c>
      <c r="L286" s="3" t="s">
        <v>40</v>
      </c>
      <c r="M286" s="15">
        <v>1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.6">
      <c r="A287" s="13">
        <v>2016</v>
      </c>
      <c r="B287" s="32">
        <v>42688</v>
      </c>
      <c r="C287" s="3" t="s">
        <v>35</v>
      </c>
      <c r="D287" s="3" t="s">
        <v>20</v>
      </c>
      <c r="E287" s="3" t="s">
        <v>72</v>
      </c>
      <c r="F287" s="3" t="s">
        <v>346</v>
      </c>
      <c r="G287" s="14">
        <v>1</v>
      </c>
      <c r="H287" s="14">
        <v>1</v>
      </c>
      <c r="I287" s="14">
        <v>0</v>
      </c>
      <c r="J287" s="3" t="s">
        <v>38</v>
      </c>
      <c r="K287" s="3" t="s">
        <v>39</v>
      </c>
      <c r="L287" s="3" t="s">
        <v>40</v>
      </c>
      <c r="M287" s="15">
        <v>1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.6">
      <c r="A288" s="13">
        <v>2016</v>
      </c>
      <c r="B288" s="32">
        <v>42712</v>
      </c>
      <c r="C288" s="3" t="s">
        <v>45</v>
      </c>
      <c r="D288" s="3" t="s">
        <v>20</v>
      </c>
      <c r="E288" s="3" t="s">
        <v>75</v>
      </c>
      <c r="F288" s="3" t="s">
        <v>347</v>
      </c>
      <c r="G288" s="14">
        <v>1</v>
      </c>
      <c r="H288" s="14">
        <v>1</v>
      </c>
      <c r="I288" s="14">
        <v>0</v>
      </c>
      <c r="J288" s="3" t="s">
        <v>38</v>
      </c>
      <c r="K288" s="3" t="s">
        <v>39</v>
      </c>
      <c r="L288" s="3" t="s">
        <v>40</v>
      </c>
      <c r="M288" s="15">
        <v>1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.6">
      <c r="A289" s="13">
        <v>2016</v>
      </c>
      <c r="B289" s="32">
        <v>42729</v>
      </c>
      <c r="C289" s="3" t="s">
        <v>96</v>
      </c>
      <c r="D289" s="3" t="s">
        <v>20</v>
      </c>
      <c r="E289" s="3" t="s">
        <v>77</v>
      </c>
      <c r="F289" s="3" t="s">
        <v>348</v>
      </c>
      <c r="G289" s="14">
        <v>1</v>
      </c>
      <c r="H289" s="14">
        <v>0</v>
      </c>
      <c r="I289" s="14">
        <v>0</v>
      </c>
      <c r="J289" s="3" t="s">
        <v>98</v>
      </c>
      <c r="K289" s="3" t="s">
        <v>39</v>
      </c>
      <c r="L289" s="3" t="s">
        <v>40</v>
      </c>
      <c r="M289" s="15">
        <v>1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.6">
      <c r="A290" s="13">
        <v>2017</v>
      </c>
      <c r="B290" s="32">
        <v>42736</v>
      </c>
      <c r="C290" s="3" t="s">
        <v>96</v>
      </c>
      <c r="D290" s="3" t="s">
        <v>15</v>
      </c>
      <c r="E290" s="3" t="s">
        <v>36</v>
      </c>
      <c r="F290" s="3" t="s">
        <v>349</v>
      </c>
      <c r="G290" s="14">
        <v>1</v>
      </c>
      <c r="H290" s="14">
        <v>0</v>
      </c>
      <c r="I290" s="14">
        <v>0</v>
      </c>
      <c r="J290" s="3" t="s">
        <v>98</v>
      </c>
      <c r="K290" s="3" t="s">
        <v>39</v>
      </c>
      <c r="L290" s="3" t="s">
        <v>40</v>
      </c>
      <c r="M290" s="15">
        <v>1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.6">
      <c r="A291" s="13">
        <v>2017</v>
      </c>
      <c r="B291" s="32">
        <v>42744</v>
      </c>
      <c r="C291" s="3" t="s">
        <v>35</v>
      </c>
      <c r="D291" s="3" t="s">
        <v>15</v>
      </c>
      <c r="E291" s="3" t="s">
        <v>41</v>
      </c>
      <c r="F291" s="3" t="s">
        <v>350</v>
      </c>
      <c r="G291" s="14">
        <v>1</v>
      </c>
      <c r="H291" s="14">
        <v>1</v>
      </c>
      <c r="I291" s="14">
        <v>0</v>
      </c>
      <c r="J291" s="3" t="s">
        <v>38</v>
      </c>
      <c r="K291" s="3" t="s">
        <v>39</v>
      </c>
      <c r="L291" s="3" t="s">
        <v>40</v>
      </c>
      <c r="M291" s="15">
        <v>1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.6">
      <c r="A292" s="13">
        <v>2017</v>
      </c>
      <c r="B292" s="32">
        <v>42814</v>
      </c>
      <c r="C292" s="3" t="s">
        <v>35</v>
      </c>
      <c r="D292" s="3" t="s">
        <v>15</v>
      </c>
      <c r="E292" s="3" t="s">
        <v>43</v>
      </c>
      <c r="F292" s="3" t="s">
        <v>351</v>
      </c>
      <c r="G292" s="14">
        <v>1</v>
      </c>
      <c r="H292" s="14">
        <v>1</v>
      </c>
      <c r="I292" s="14">
        <v>0</v>
      </c>
      <c r="J292" s="3" t="s">
        <v>38</v>
      </c>
      <c r="K292" s="3" t="s">
        <v>39</v>
      </c>
      <c r="L292" s="3" t="s">
        <v>40</v>
      </c>
      <c r="M292" s="15">
        <v>1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.6">
      <c r="A293" s="13">
        <v>2017</v>
      </c>
      <c r="B293" s="32">
        <v>42838</v>
      </c>
      <c r="C293" s="3" t="s">
        <v>45</v>
      </c>
      <c r="D293" s="3" t="s">
        <v>17</v>
      </c>
      <c r="E293" s="3" t="s">
        <v>46</v>
      </c>
      <c r="F293" s="3" t="s">
        <v>352</v>
      </c>
      <c r="G293" s="14">
        <v>1</v>
      </c>
      <c r="H293" s="14">
        <v>1</v>
      </c>
      <c r="I293" s="14">
        <v>0</v>
      </c>
      <c r="J293" s="3" t="s">
        <v>38</v>
      </c>
      <c r="K293" s="3" t="s">
        <v>39</v>
      </c>
      <c r="L293" s="3" t="s">
        <v>40</v>
      </c>
      <c r="M293" s="15">
        <v>1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.6">
      <c r="A294" s="13">
        <v>2017</v>
      </c>
      <c r="B294" s="32">
        <v>42839</v>
      </c>
      <c r="C294" s="3" t="s">
        <v>48</v>
      </c>
      <c r="D294" s="3" t="s">
        <v>17</v>
      </c>
      <c r="E294" s="3" t="s">
        <v>49</v>
      </c>
      <c r="F294" s="3" t="s">
        <v>353</v>
      </c>
      <c r="G294" s="14">
        <v>1</v>
      </c>
      <c r="H294" s="14">
        <v>1</v>
      </c>
      <c r="I294" s="14">
        <v>0</v>
      </c>
      <c r="J294" s="3" t="s">
        <v>38</v>
      </c>
      <c r="K294" s="3" t="s">
        <v>39</v>
      </c>
      <c r="L294" s="3" t="s">
        <v>40</v>
      </c>
      <c r="M294" s="15">
        <v>1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.6">
      <c r="A295" s="13">
        <v>2017</v>
      </c>
      <c r="B295" s="32">
        <v>42856</v>
      </c>
      <c r="C295" s="3" t="s">
        <v>35</v>
      </c>
      <c r="D295" s="3" t="s">
        <v>17</v>
      </c>
      <c r="E295" s="3" t="s">
        <v>52</v>
      </c>
      <c r="F295" s="3" t="s">
        <v>354</v>
      </c>
      <c r="G295" s="14">
        <v>1</v>
      </c>
      <c r="H295" s="14">
        <v>1</v>
      </c>
      <c r="I295" s="14">
        <v>0</v>
      </c>
      <c r="J295" s="3" t="s">
        <v>38</v>
      </c>
      <c r="K295" s="3" t="s">
        <v>39</v>
      </c>
      <c r="L295" s="3" t="s">
        <v>40</v>
      </c>
      <c r="M295" s="15">
        <v>1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.6">
      <c r="A296" s="13">
        <v>2017</v>
      </c>
      <c r="B296" s="32">
        <v>42884</v>
      </c>
      <c r="C296" s="3" t="s">
        <v>35</v>
      </c>
      <c r="D296" s="3" t="s">
        <v>17</v>
      </c>
      <c r="E296" s="3" t="s">
        <v>54</v>
      </c>
      <c r="F296" s="3" t="s">
        <v>355</v>
      </c>
      <c r="G296" s="14">
        <v>1</v>
      </c>
      <c r="H296" s="14">
        <v>1</v>
      </c>
      <c r="I296" s="14">
        <v>0</v>
      </c>
      <c r="J296" s="3" t="s">
        <v>38</v>
      </c>
      <c r="K296" s="3" t="s">
        <v>39</v>
      </c>
      <c r="L296" s="3" t="s">
        <v>40</v>
      </c>
      <c r="M296" s="15">
        <v>1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.6">
      <c r="A297" s="13">
        <v>2017</v>
      </c>
      <c r="B297" s="32">
        <v>42905</v>
      </c>
      <c r="C297" s="3" t="s">
        <v>35</v>
      </c>
      <c r="D297" s="3" t="s">
        <v>17</v>
      </c>
      <c r="E297" s="3" t="s">
        <v>56</v>
      </c>
      <c r="F297" s="3" t="s">
        <v>356</v>
      </c>
      <c r="G297" s="14">
        <v>1</v>
      </c>
      <c r="H297" s="14">
        <v>1</v>
      </c>
      <c r="I297" s="14">
        <v>0</v>
      </c>
      <c r="J297" s="3" t="s">
        <v>38</v>
      </c>
      <c r="K297" s="3" t="s">
        <v>39</v>
      </c>
      <c r="L297" s="3" t="s">
        <v>40</v>
      </c>
      <c r="M297" s="15">
        <v>1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.6">
      <c r="A298" s="13">
        <v>2017</v>
      </c>
      <c r="B298" s="32">
        <v>42912</v>
      </c>
      <c r="C298" s="3" t="s">
        <v>35</v>
      </c>
      <c r="D298" s="3" t="s">
        <v>17</v>
      </c>
      <c r="E298" s="3" t="s">
        <v>58</v>
      </c>
      <c r="F298" s="3" t="s">
        <v>357</v>
      </c>
      <c r="G298" s="14">
        <v>1</v>
      </c>
      <c r="H298" s="14">
        <v>1</v>
      </c>
      <c r="I298" s="14">
        <v>0</v>
      </c>
      <c r="J298" s="3" t="s">
        <v>38</v>
      </c>
      <c r="K298" s="3" t="s">
        <v>39</v>
      </c>
      <c r="L298" s="3" t="s">
        <v>40</v>
      </c>
      <c r="M298" s="15">
        <v>1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.6">
      <c r="A299" s="13">
        <v>2017</v>
      </c>
      <c r="B299" s="32">
        <v>42919</v>
      </c>
      <c r="C299" s="3" t="s">
        <v>35</v>
      </c>
      <c r="D299" s="3" t="s">
        <v>19</v>
      </c>
      <c r="E299" s="3" t="s">
        <v>60</v>
      </c>
      <c r="F299" s="3" t="s">
        <v>358</v>
      </c>
      <c r="G299" s="14">
        <v>1</v>
      </c>
      <c r="H299" s="14">
        <v>1</v>
      </c>
      <c r="I299" s="14">
        <v>0</v>
      </c>
      <c r="J299" s="3" t="s">
        <v>38</v>
      </c>
      <c r="K299" s="3" t="s">
        <v>39</v>
      </c>
      <c r="L299" s="3" t="s">
        <v>40</v>
      </c>
      <c r="M299" s="15">
        <v>1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.6">
      <c r="A300" s="13">
        <v>2017</v>
      </c>
      <c r="B300" s="32">
        <v>42936</v>
      </c>
      <c r="C300" s="3" t="s">
        <v>45</v>
      </c>
      <c r="D300" s="3" t="s">
        <v>19</v>
      </c>
      <c r="E300" s="3" t="s">
        <v>62</v>
      </c>
      <c r="F300" s="3" t="s">
        <v>359</v>
      </c>
      <c r="G300" s="14">
        <v>1</v>
      </c>
      <c r="H300" s="14">
        <v>1</v>
      </c>
      <c r="I300" s="14">
        <v>0</v>
      </c>
      <c r="J300" s="3" t="s">
        <v>38</v>
      </c>
      <c r="K300" s="3" t="s">
        <v>39</v>
      </c>
      <c r="L300" s="3" t="s">
        <v>40</v>
      </c>
      <c r="M300" s="15">
        <v>1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.6">
      <c r="A301" s="13">
        <v>2017</v>
      </c>
      <c r="B301" s="32">
        <v>42954</v>
      </c>
      <c r="C301" s="3" t="s">
        <v>35</v>
      </c>
      <c r="D301" s="3" t="s">
        <v>19</v>
      </c>
      <c r="E301" s="3" t="s">
        <v>64</v>
      </c>
      <c r="F301" s="3" t="s">
        <v>360</v>
      </c>
      <c r="G301" s="14">
        <v>1</v>
      </c>
      <c r="H301" s="14">
        <v>1</v>
      </c>
      <c r="I301" s="14">
        <v>0</v>
      </c>
      <c r="J301" s="3" t="s">
        <v>38</v>
      </c>
      <c r="K301" s="3" t="s">
        <v>39</v>
      </c>
      <c r="L301" s="3" t="s">
        <v>40</v>
      </c>
      <c r="M301" s="15">
        <v>1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.6">
      <c r="A302" s="13">
        <v>2017</v>
      </c>
      <c r="B302" s="32">
        <v>42968</v>
      </c>
      <c r="C302" s="3" t="s">
        <v>35</v>
      </c>
      <c r="D302" s="3" t="s">
        <v>19</v>
      </c>
      <c r="E302" s="3" t="s">
        <v>66</v>
      </c>
      <c r="F302" s="3" t="s">
        <v>361</v>
      </c>
      <c r="G302" s="14">
        <v>1</v>
      </c>
      <c r="H302" s="14">
        <v>1</v>
      </c>
      <c r="I302" s="14">
        <v>0</v>
      </c>
      <c r="J302" s="3" t="s">
        <v>38</v>
      </c>
      <c r="K302" s="3" t="s">
        <v>39</v>
      </c>
      <c r="L302" s="3" t="s">
        <v>40</v>
      </c>
      <c r="M302" s="15">
        <v>1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.6">
      <c r="A303" s="13">
        <v>2017</v>
      </c>
      <c r="B303" s="32">
        <v>43024</v>
      </c>
      <c r="C303" s="3" t="s">
        <v>35</v>
      </c>
      <c r="D303" s="3" t="s">
        <v>20</v>
      </c>
      <c r="E303" s="3" t="s">
        <v>68</v>
      </c>
      <c r="F303" s="3" t="s">
        <v>362</v>
      </c>
      <c r="G303" s="14">
        <v>1</v>
      </c>
      <c r="H303" s="14">
        <v>1</v>
      </c>
      <c r="I303" s="14">
        <v>0</v>
      </c>
      <c r="J303" s="3" t="s">
        <v>38</v>
      </c>
      <c r="K303" s="3" t="s">
        <v>39</v>
      </c>
      <c r="L303" s="3" t="s">
        <v>40</v>
      </c>
      <c r="M303" s="15">
        <v>1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.6">
      <c r="A304" s="13">
        <v>2017</v>
      </c>
      <c r="B304" s="32">
        <v>43045</v>
      </c>
      <c r="C304" s="3" t="s">
        <v>35</v>
      </c>
      <c r="D304" s="3" t="s">
        <v>20</v>
      </c>
      <c r="E304" s="3" t="s">
        <v>70</v>
      </c>
      <c r="F304" s="3" t="s">
        <v>363</v>
      </c>
      <c r="G304" s="14">
        <v>1</v>
      </c>
      <c r="H304" s="14">
        <v>1</v>
      </c>
      <c r="I304" s="14">
        <v>0</v>
      </c>
      <c r="J304" s="3" t="s">
        <v>38</v>
      </c>
      <c r="K304" s="3" t="s">
        <v>39</v>
      </c>
      <c r="L304" s="3" t="s">
        <v>40</v>
      </c>
      <c r="M304" s="15">
        <v>1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.6">
      <c r="A305" s="13">
        <v>2017</v>
      </c>
      <c r="B305" s="32">
        <v>43052</v>
      </c>
      <c r="C305" s="3" t="s">
        <v>35</v>
      </c>
      <c r="D305" s="3" t="s">
        <v>20</v>
      </c>
      <c r="E305" s="3" t="s">
        <v>72</v>
      </c>
      <c r="F305" s="3" t="s">
        <v>364</v>
      </c>
      <c r="G305" s="14">
        <v>1</v>
      </c>
      <c r="H305" s="14">
        <v>1</v>
      </c>
      <c r="I305" s="14">
        <v>0</v>
      </c>
      <c r="J305" s="3" t="s">
        <v>38</v>
      </c>
      <c r="K305" s="3" t="s">
        <v>39</v>
      </c>
      <c r="L305" s="3" t="s">
        <v>40</v>
      </c>
      <c r="M305" s="15">
        <v>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.6">
      <c r="A306" s="13">
        <v>2017</v>
      </c>
      <c r="B306" s="32">
        <v>43077</v>
      </c>
      <c r="C306" s="3" t="s">
        <v>48</v>
      </c>
      <c r="D306" s="3" t="s">
        <v>20</v>
      </c>
      <c r="E306" s="3" t="s">
        <v>75</v>
      </c>
      <c r="F306" s="3" t="s">
        <v>365</v>
      </c>
      <c r="G306" s="14">
        <v>1</v>
      </c>
      <c r="H306" s="14">
        <v>1</v>
      </c>
      <c r="I306" s="14">
        <v>0</v>
      </c>
      <c r="J306" s="3" t="s">
        <v>38</v>
      </c>
      <c r="K306" s="3" t="s">
        <v>39</v>
      </c>
      <c r="L306" s="3" t="s">
        <v>40</v>
      </c>
      <c r="M306" s="15">
        <v>1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.6">
      <c r="A307" s="13">
        <v>2017</v>
      </c>
      <c r="B307" s="32">
        <v>43094</v>
      </c>
      <c r="C307" s="3" t="s">
        <v>35</v>
      </c>
      <c r="D307" s="3" t="s">
        <v>20</v>
      </c>
      <c r="E307" s="3" t="s">
        <v>77</v>
      </c>
      <c r="F307" s="3" t="s">
        <v>366</v>
      </c>
      <c r="G307" s="14">
        <v>1</v>
      </c>
      <c r="H307" s="14">
        <v>1</v>
      </c>
      <c r="I307" s="14">
        <v>0</v>
      </c>
      <c r="J307" s="3" t="s">
        <v>38</v>
      </c>
      <c r="K307" s="3" t="s">
        <v>39</v>
      </c>
      <c r="L307" s="3" t="s">
        <v>40</v>
      </c>
      <c r="M307" s="15">
        <v>1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.6">
      <c r="A308" s="13">
        <v>2018</v>
      </c>
      <c r="B308" s="32">
        <v>43101</v>
      </c>
      <c r="C308" s="3" t="s">
        <v>35</v>
      </c>
      <c r="D308" s="3" t="s">
        <v>15</v>
      </c>
      <c r="E308" s="3" t="s">
        <v>36</v>
      </c>
      <c r="F308" s="3" t="s">
        <v>367</v>
      </c>
      <c r="G308" s="14">
        <v>1</v>
      </c>
      <c r="H308" s="14">
        <v>1</v>
      </c>
      <c r="I308" s="14">
        <v>0</v>
      </c>
      <c r="J308" s="3" t="s">
        <v>38</v>
      </c>
      <c r="K308" s="3" t="s">
        <v>39</v>
      </c>
      <c r="L308" s="3" t="s">
        <v>40</v>
      </c>
      <c r="M308" s="15">
        <v>1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.6">
      <c r="A309" s="13">
        <v>2018</v>
      </c>
      <c r="B309" s="32">
        <v>43108</v>
      </c>
      <c r="C309" s="3" t="s">
        <v>35</v>
      </c>
      <c r="D309" s="3" t="s">
        <v>15</v>
      </c>
      <c r="E309" s="3" t="s">
        <v>41</v>
      </c>
      <c r="F309" s="3" t="s">
        <v>368</v>
      </c>
      <c r="G309" s="14">
        <v>1</v>
      </c>
      <c r="H309" s="14">
        <v>1</v>
      </c>
      <c r="I309" s="14">
        <v>0</v>
      </c>
      <c r="J309" s="3" t="s">
        <v>38</v>
      </c>
      <c r="K309" s="3" t="s">
        <v>39</v>
      </c>
      <c r="L309" s="3" t="s">
        <v>40</v>
      </c>
      <c r="M309" s="15">
        <v>1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.6">
      <c r="A310" s="13">
        <v>2018</v>
      </c>
      <c r="B310" s="32">
        <v>43178</v>
      </c>
      <c r="C310" s="3" t="s">
        <v>35</v>
      </c>
      <c r="D310" s="3" t="s">
        <v>15</v>
      </c>
      <c r="E310" s="3" t="s">
        <v>43</v>
      </c>
      <c r="F310" s="3" t="s">
        <v>369</v>
      </c>
      <c r="G310" s="14">
        <v>1</v>
      </c>
      <c r="H310" s="14">
        <v>1</v>
      </c>
      <c r="I310" s="14">
        <v>0</v>
      </c>
      <c r="J310" s="3" t="s">
        <v>38</v>
      </c>
      <c r="K310" s="3" t="s">
        <v>39</v>
      </c>
      <c r="L310" s="3" t="s">
        <v>40</v>
      </c>
      <c r="M310" s="15">
        <v>1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.6">
      <c r="A311" s="13">
        <v>2018</v>
      </c>
      <c r="B311" s="32">
        <v>43188</v>
      </c>
      <c r="C311" s="3" t="s">
        <v>45</v>
      </c>
      <c r="D311" s="3" t="s">
        <v>15</v>
      </c>
      <c r="E311" s="3" t="s">
        <v>46</v>
      </c>
      <c r="F311" s="3" t="s">
        <v>370</v>
      </c>
      <c r="G311" s="14">
        <v>1</v>
      </c>
      <c r="H311" s="14">
        <v>1</v>
      </c>
      <c r="I311" s="14">
        <v>0</v>
      </c>
      <c r="J311" s="3" t="s">
        <v>38</v>
      </c>
      <c r="K311" s="3" t="s">
        <v>39</v>
      </c>
      <c r="L311" s="3" t="s">
        <v>40</v>
      </c>
      <c r="M311" s="15">
        <v>1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.6">
      <c r="A312" s="13">
        <v>2018</v>
      </c>
      <c r="B312" s="32">
        <v>43189</v>
      </c>
      <c r="C312" s="3" t="s">
        <v>48</v>
      </c>
      <c r="D312" s="3" t="s">
        <v>15</v>
      </c>
      <c r="E312" s="3" t="s">
        <v>49</v>
      </c>
      <c r="F312" s="3" t="s">
        <v>371</v>
      </c>
      <c r="G312" s="14">
        <v>1</v>
      </c>
      <c r="H312" s="14">
        <v>1</v>
      </c>
      <c r="I312" s="14">
        <v>0</v>
      </c>
      <c r="J312" s="3" t="s">
        <v>38</v>
      </c>
      <c r="K312" s="3" t="s">
        <v>39</v>
      </c>
      <c r="L312" s="3" t="s">
        <v>40</v>
      </c>
      <c r="M312" s="15">
        <v>1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.6">
      <c r="A313" s="13">
        <v>2018</v>
      </c>
      <c r="B313" s="32">
        <v>43221</v>
      </c>
      <c r="C313" s="3" t="s">
        <v>51</v>
      </c>
      <c r="D313" s="3" t="s">
        <v>17</v>
      </c>
      <c r="E313" s="3" t="s">
        <v>52</v>
      </c>
      <c r="F313" s="3" t="s">
        <v>372</v>
      </c>
      <c r="G313" s="14">
        <v>1</v>
      </c>
      <c r="H313" s="14">
        <v>1</v>
      </c>
      <c r="I313" s="14">
        <v>0</v>
      </c>
      <c r="J313" s="3" t="s">
        <v>38</v>
      </c>
      <c r="K313" s="3" t="s">
        <v>39</v>
      </c>
      <c r="L313" s="3" t="s">
        <v>40</v>
      </c>
      <c r="M313" s="15">
        <v>1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.6">
      <c r="A314" s="13">
        <v>2018</v>
      </c>
      <c r="B314" s="32">
        <v>43234</v>
      </c>
      <c r="C314" s="3" t="s">
        <v>35</v>
      </c>
      <c r="D314" s="3" t="s">
        <v>17</v>
      </c>
      <c r="E314" s="3" t="s">
        <v>54</v>
      </c>
      <c r="F314" s="3" t="s">
        <v>373</v>
      </c>
      <c r="G314" s="14">
        <v>1</v>
      </c>
      <c r="H314" s="14">
        <v>1</v>
      </c>
      <c r="I314" s="14">
        <v>0</v>
      </c>
      <c r="J314" s="3" t="s">
        <v>38</v>
      </c>
      <c r="K314" s="3" t="s">
        <v>39</v>
      </c>
      <c r="L314" s="3" t="s">
        <v>40</v>
      </c>
      <c r="M314" s="15">
        <v>1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.6">
      <c r="A315" s="13">
        <v>2018</v>
      </c>
      <c r="B315" s="32">
        <v>43255</v>
      </c>
      <c r="C315" s="3" t="s">
        <v>35</v>
      </c>
      <c r="D315" s="3" t="s">
        <v>17</v>
      </c>
      <c r="E315" s="3" t="s">
        <v>56</v>
      </c>
      <c r="F315" s="3" t="s">
        <v>374</v>
      </c>
      <c r="G315" s="14">
        <v>1</v>
      </c>
      <c r="H315" s="14">
        <v>1</v>
      </c>
      <c r="I315" s="14">
        <v>0</v>
      </c>
      <c r="J315" s="3" t="s">
        <v>38</v>
      </c>
      <c r="K315" s="3" t="s">
        <v>39</v>
      </c>
      <c r="L315" s="3" t="s">
        <v>40</v>
      </c>
      <c r="M315" s="15">
        <v>1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.6">
      <c r="A316" s="13">
        <v>2018</v>
      </c>
      <c r="B316" s="32">
        <v>43262</v>
      </c>
      <c r="C316" s="3" t="s">
        <v>35</v>
      </c>
      <c r="D316" s="3" t="s">
        <v>17</v>
      </c>
      <c r="E316" s="3" t="s">
        <v>58</v>
      </c>
      <c r="F316" s="3" t="s">
        <v>375</v>
      </c>
      <c r="G316" s="14">
        <v>1</v>
      </c>
      <c r="H316" s="14">
        <v>1</v>
      </c>
      <c r="I316" s="14">
        <v>0</v>
      </c>
      <c r="J316" s="3" t="s">
        <v>38</v>
      </c>
      <c r="K316" s="3" t="s">
        <v>39</v>
      </c>
      <c r="L316" s="3" t="s">
        <v>40</v>
      </c>
      <c r="M316" s="15">
        <v>1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.6">
      <c r="A317" s="13">
        <v>2018</v>
      </c>
      <c r="B317" s="32">
        <v>43283</v>
      </c>
      <c r="C317" s="3" t="s">
        <v>35</v>
      </c>
      <c r="D317" s="3" t="s">
        <v>19</v>
      </c>
      <c r="E317" s="3" t="s">
        <v>60</v>
      </c>
      <c r="F317" s="3" t="s">
        <v>376</v>
      </c>
      <c r="G317" s="14">
        <v>1</v>
      </c>
      <c r="H317" s="14">
        <v>1</v>
      </c>
      <c r="I317" s="14">
        <v>0</v>
      </c>
      <c r="J317" s="3" t="s">
        <v>38</v>
      </c>
      <c r="K317" s="3" t="s">
        <v>39</v>
      </c>
      <c r="L317" s="3" t="s">
        <v>40</v>
      </c>
      <c r="M317" s="15">
        <v>1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.6">
      <c r="A318" s="13">
        <v>2018</v>
      </c>
      <c r="B318" s="32">
        <v>43301</v>
      </c>
      <c r="C318" s="3" t="s">
        <v>48</v>
      </c>
      <c r="D318" s="3" t="s">
        <v>19</v>
      </c>
      <c r="E318" s="3" t="s">
        <v>62</v>
      </c>
      <c r="F318" s="3" t="s">
        <v>377</v>
      </c>
      <c r="G318" s="14">
        <v>1</v>
      </c>
      <c r="H318" s="14">
        <v>1</v>
      </c>
      <c r="I318" s="14">
        <v>0</v>
      </c>
      <c r="J318" s="3" t="s">
        <v>38</v>
      </c>
      <c r="K318" s="3" t="s">
        <v>39</v>
      </c>
      <c r="L318" s="3" t="s">
        <v>40</v>
      </c>
      <c r="M318" s="15">
        <v>1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.6">
      <c r="A319" s="13">
        <v>2018</v>
      </c>
      <c r="B319" s="32">
        <v>43319</v>
      </c>
      <c r="C319" s="3" t="s">
        <v>51</v>
      </c>
      <c r="D319" s="3" t="s">
        <v>19</v>
      </c>
      <c r="E319" s="3" t="s">
        <v>64</v>
      </c>
      <c r="F319" s="3" t="s">
        <v>378</v>
      </c>
      <c r="G319" s="14">
        <v>1</v>
      </c>
      <c r="H319" s="14">
        <v>1</v>
      </c>
      <c r="I319" s="14">
        <v>0</v>
      </c>
      <c r="J319" s="3" t="s">
        <v>38</v>
      </c>
      <c r="K319" s="3" t="s">
        <v>39</v>
      </c>
      <c r="L319" s="3" t="s">
        <v>40</v>
      </c>
      <c r="M319" s="15">
        <v>1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.6">
      <c r="A320" s="13">
        <v>2018</v>
      </c>
      <c r="B320" s="32">
        <v>43332</v>
      </c>
      <c r="C320" s="3" t="s">
        <v>35</v>
      </c>
      <c r="D320" s="3" t="s">
        <v>19</v>
      </c>
      <c r="E320" s="3" t="s">
        <v>66</v>
      </c>
      <c r="F320" s="3" t="s">
        <v>379</v>
      </c>
      <c r="G320" s="14">
        <v>1</v>
      </c>
      <c r="H320" s="14">
        <v>1</v>
      </c>
      <c r="I320" s="14">
        <v>0</v>
      </c>
      <c r="J320" s="3" t="s">
        <v>38</v>
      </c>
      <c r="K320" s="3" t="s">
        <v>39</v>
      </c>
      <c r="L320" s="3" t="s">
        <v>40</v>
      </c>
      <c r="M320" s="15">
        <v>1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.6">
      <c r="A321" s="13">
        <v>2018</v>
      </c>
      <c r="B321" s="32">
        <v>43388</v>
      </c>
      <c r="C321" s="3" t="s">
        <v>35</v>
      </c>
      <c r="D321" s="3" t="s">
        <v>20</v>
      </c>
      <c r="E321" s="3" t="s">
        <v>68</v>
      </c>
      <c r="F321" s="3" t="s">
        <v>380</v>
      </c>
      <c r="G321" s="14">
        <v>1</v>
      </c>
      <c r="H321" s="14">
        <v>1</v>
      </c>
      <c r="I321" s="14">
        <v>0</v>
      </c>
      <c r="J321" s="3" t="s">
        <v>38</v>
      </c>
      <c r="K321" s="3" t="s">
        <v>39</v>
      </c>
      <c r="L321" s="3" t="s">
        <v>40</v>
      </c>
      <c r="M321" s="15">
        <v>1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.6">
      <c r="A322" s="13">
        <v>2018</v>
      </c>
      <c r="B322" s="32">
        <v>43409</v>
      </c>
      <c r="C322" s="3" t="s">
        <v>35</v>
      </c>
      <c r="D322" s="3" t="s">
        <v>20</v>
      </c>
      <c r="E322" s="3" t="s">
        <v>70</v>
      </c>
      <c r="F322" s="3" t="s">
        <v>381</v>
      </c>
      <c r="G322" s="14">
        <v>1</v>
      </c>
      <c r="H322" s="14">
        <v>1</v>
      </c>
      <c r="I322" s="14">
        <v>0</v>
      </c>
      <c r="J322" s="3" t="s">
        <v>38</v>
      </c>
      <c r="K322" s="3" t="s">
        <v>39</v>
      </c>
      <c r="L322" s="3" t="s">
        <v>40</v>
      </c>
      <c r="M322" s="15">
        <v>1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.6">
      <c r="A323" s="13">
        <v>2018</v>
      </c>
      <c r="B323" s="32">
        <v>43416</v>
      </c>
      <c r="C323" s="3" t="s">
        <v>35</v>
      </c>
      <c r="D323" s="3" t="s">
        <v>20</v>
      </c>
      <c r="E323" s="3" t="s">
        <v>72</v>
      </c>
      <c r="F323" s="3" t="s">
        <v>382</v>
      </c>
      <c r="G323" s="14">
        <v>1</v>
      </c>
      <c r="H323" s="14">
        <v>1</v>
      </c>
      <c r="I323" s="14">
        <v>0</v>
      </c>
      <c r="J323" s="3" t="s">
        <v>38</v>
      </c>
      <c r="K323" s="3" t="s">
        <v>39</v>
      </c>
      <c r="L323" s="3" t="s">
        <v>40</v>
      </c>
      <c r="M323" s="15">
        <v>1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.6">
      <c r="A324" s="13">
        <v>2018</v>
      </c>
      <c r="B324" s="32">
        <v>43442</v>
      </c>
      <c r="C324" s="3" t="s">
        <v>74</v>
      </c>
      <c r="D324" s="3" t="s">
        <v>20</v>
      </c>
      <c r="E324" s="3" t="s">
        <v>75</v>
      </c>
      <c r="F324" s="3" t="s">
        <v>383</v>
      </c>
      <c r="G324" s="14">
        <v>1</v>
      </c>
      <c r="H324" s="14">
        <v>1</v>
      </c>
      <c r="I324" s="14">
        <v>0</v>
      </c>
      <c r="J324" s="3" t="s">
        <v>38</v>
      </c>
      <c r="K324" s="3" t="s">
        <v>39</v>
      </c>
      <c r="L324" s="3" t="s">
        <v>40</v>
      </c>
      <c r="M324" s="15">
        <v>1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.6">
      <c r="A325" s="13">
        <v>2018</v>
      </c>
      <c r="B325" s="32">
        <v>43459</v>
      </c>
      <c r="C325" s="3" t="s">
        <v>51</v>
      </c>
      <c r="D325" s="3" t="s">
        <v>20</v>
      </c>
      <c r="E325" s="3" t="s">
        <v>77</v>
      </c>
      <c r="F325" s="3" t="s">
        <v>384</v>
      </c>
      <c r="G325" s="14">
        <v>1</v>
      </c>
      <c r="H325" s="14">
        <v>1</v>
      </c>
      <c r="I325" s="14">
        <v>0</v>
      </c>
      <c r="J325" s="3" t="s">
        <v>38</v>
      </c>
      <c r="K325" s="3" t="s">
        <v>39</v>
      </c>
      <c r="L325" s="3" t="s">
        <v>40</v>
      </c>
      <c r="M325" s="15">
        <v>1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.6">
      <c r="A326" s="13">
        <v>2019</v>
      </c>
      <c r="B326" s="32">
        <v>43466</v>
      </c>
      <c r="C326" s="3" t="s">
        <v>51</v>
      </c>
      <c r="D326" s="3" t="s">
        <v>15</v>
      </c>
      <c r="E326" s="3" t="s">
        <v>36</v>
      </c>
      <c r="F326" s="3" t="s">
        <v>385</v>
      </c>
      <c r="G326" s="14">
        <v>1</v>
      </c>
      <c r="H326" s="14">
        <v>1</v>
      </c>
      <c r="I326" s="14">
        <v>0</v>
      </c>
      <c r="J326" s="3" t="s">
        <v>38</v>
      </c>
      <c r="K326" s="3" t="s">
        <v>39</v>
      </c>
      <c r="L326" s="3" t="s">
        <v>40</v>
      </c>
      <c r="M326" s="15">
        <v>1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.6">
      <c r="A327" s="13">
        <v>2019</v>
      </c>
      <c r="B327" s="32">
        <v>43472</v>
      </c>
      <c r="C327" s="3" t="s">
        <v>35</v>
      </c>
      <c r="D327" s="3" t="s">
        <v>15</v>
      </c>
      <c r="E327" s="3" t="s">
        <v>41</v>
      </c>
      <c r="F327" s="3" t="s">
        <v>386</v>
      </c>
      <c r="G327" s="14">
        <v>1</v>
      </c>
      <c r="H327" s="14">
        <v>1</v>
      </c>
      <c r="I327" s="14">
        <v>0</v>
      </c>
      <c r="J327" s="3" t="s">
        <v>38</v>
      </c>
      <c r="K327" s="3" t="s">
        <v>39</v>
      </c>
      <c r="L327" s="3" t="s">
        <v>40</v>
      </c>
      <c r="M327" s="15">
        <v>1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.6">
      <c r="A328" s="13">
        <v>2019</v>
      </c>
      <c r="B328" s="32">
        <v>43549</v>
      </c>
      <c r="C328" s="3" t="s">
        <v>35</v>
      </c>
      <c r="D328" s="3" t="s">
        <v>15</v>
      </c>
      <c r="E328" s="3" t="s">
        <v>43</v>
      </c>
      <c r="F328" s="3" t="s">
        <v>387</v>
      </c>
      <c r="G328" s="14">
        <v>1</v>
      </c>
      <c r="H328" s="14">
        <v>1</v>
      </c>
      <c r="I328" s="14">
        <v>0</v>
      </c>
      <c r="J328" s="3" t="s">
        <v>38</v>
      </c>
      <c r="K328" s="3" t="s">
        <v>39</v>
      </c>
      <c r="L328" s="3" t="s">
        <v>40</v>
      </c>
      <c r="M328" s="15">
        <v>1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.6">
      <c r="A329" s="13">
        <v>2019</v>
      </c>
      <c r="B329" s="32">
        <v>43573</v>
      </c>
      <c r="C329" s="3" t="s">
        <v>45</v>
      </c>
      <c r="D329" s="3" t="s">
        <v>17</v>
      </c>
      <c r="E329" s="3" t="s">
        <v>46</v>
      </c>
      <c r="F329" s="3" t="s">
        <v>388</v>
      </c>
      <c r="G329" s="14">
        <v>1</v>
      </c>
      <c r="H329" s="14">
        <v>1</v>
      </c>
      <c r="I329" s="14">
        <v>0</v>
      </c>
      <c r="J329" s="3" t="s">
        <v>38</v>
      </c>
      <c r="K329" s="3" t="s">
        <v>39</v>
      </c>
      <c r="L329" s="3" t="s">
        <v>40</v>
      </c>
      <c r="M329" s="15">
        <v>1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.6">
      <c r="A330" s="13">
        <v>2019</v>
      </c>
      <c r="B330" s="32">
        <v>43574</v>
      </c>
      <c r="C330" s="3" t="s">
        <v>48</v>
      </c>
      <c r="D330" s="3" t="s">
        <v>17</v>
      </c>
      <c r="E330" s="3" t="s">
        <v>49</v>
      </c>
      <c r="F330" s="3" t="s">
        <v>389</v>
      </c>
      <c r="G330" s="14">
        <v>1</v>
      </c>
      <c r="H330" s="14">
        <v>1</v>
      </c>
      <c r="I330" s="14">
        <v>0</v>
      </c>
      <c r="J330" s="3" t="s">
        <v>38</v>
      </c>
      <c r="K330" s="3" t="s">
        <v>39</v>
      </c>
      <c r="L330" s="3" t="s">
        <v>40</v>
      </c>
      <c r="M330" s="15">
        <v>1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.6">
      <c r="A331" s="13">
        <v>2019</v>
      </c>
      <c r="B331" s="32">
        <v>43586</v>
      </c>
      <c r="C331" s="3" t="s">
        <v>84</v>
      </c>
      <c r="D331" s="3" t="s">
        <v>17</v>
      </c>
      <c r="E331" s="3" t="s">
        <v>52</v>
      </c>
      <c r="F331" s="3" t="s">
        <v>390</v>
      </c>
      <c r="G331" s="14">
        <v>1</v>
      </c>
      <c r="H331" s="14">
        <v>1</v>
      </c>
      <c r="I331" s="14">
        <v>0</v>
      </c>
      <c r="J331" s="3" t="s">
        <v>38</v>
      </c>
      <c r="K331" s="3" t="s">
        <v>39</v>
      </c>
      <c r="L331" s="3" t="s">
        <v>40</v>
      </c>
      <c r="M331" s="15">
        <v>1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.6">
      <c r="A332" s="13">
        <v>2019</v>
      </c>
      <c r="B332" s="32">
        <v>43619</v>
      </c>
      <c r="C332" s="3" t="s">
        <v>35</v>
      </c>
      <c r="D332" s="3" t="s">
        <v>17</v>
      </c>
      <c r="E332" s="3" t="s">
        <v>54</v>
      </c>
      <c r="F332" s="3" t="s">
        <v>391</v>
      </c>
      <c r="G332" s="14">
        <v>1</v>
      </c>
      <c r="H332" s="14">
        <v>1</v>
      </c>
      <c r="I332" s="14">
        <v>0</v>
      </c>
      <c r="J332" s="3" t="s">
        <v>38</v>
      </c>
      <c r="K332" s="3" t="s">
        <v>39</v>
      </c>
      <c r="L332" s="3" t="s">
        <v>40</v>
      </c>
      <c r="M332" s="15">
        <v>1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.6">
      <c r="A333" s="13">
        <v>2019</v>
      </c>
      <c r="B333" s="32">
        <v>43640</v>
      </c>
      <c r="C333" s="3" t="s">
        <v>35</v>
      </c>
      <c r="D333" s="3" t="s">
        <v>17</v>
      </c>
      <c r="E333" s="3" t="s">
        <v>56</v>
      </c>
      <c r="F333" s="3" t="s">
        <v>392</v>
      </c>
      <c r="G333" s="14">
        <v>1</v>
      </c>
      <c r="H333" s="14">
        <v>1</v>
      </c>
      <c r="I333" s="14">
        <v>0</v>
      </c>
      <c r="J333" s="3" t="s">
        <v>38</v>
      </c>
      <c r="K333" s="3" t="s">
        <v>39</v>
      </c>
      <c r="L333" s="3" t="s">
        <v>40</v>
      </c>
      <c r="M333" s="15">
        <v>1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.6">
      <c r="A334" s="13">
        <v>2019</v>
      </c>
      <c r="B334" s="32">
        <v>43647</v>
      </c>
      <c r="C334" s="3" t="s">
        <v>35</v>
      </c>
      <c r="D334" s="3" t="s">
        <v>19</v>
      </c>
      <c r="E334" s="3" t="s">
        <v>108</v>
      </c>
      <c r="F334" s="3" t="s">
        <v>393</v>
      </c>
      <c r="G334" s="14">
        <v>2</v>
      </c>
      <c r="H334" s="14">
        <v>1</v>
      </c>
      <c r="I334" s="14">
        <v>1</v>
      </c>
      <c r="J334" s="3" t="s">
        <v>38</v>
      </c>
      <c r="K334" s="3" t="s">
        <v>39</v>
      </c>
      <c r="L334" s="3" t="s">
        <v>40</v>
      </c>
      <c r="M334" s="15">
        <v>1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.6">
      <c r="A335" s="13">
        <v>2019</v>
      </c>
      <c r="B335" s="32">
        <v>43666</v>
      </c>
      <c r="C335" s="3" t="s">
        <v>74</v>
      </c>
      <c r="D335" s="3" t="s">
        <v>19</v>
      </c>
      <c r="E335" s="3" t="s">
        <v>62</v>
      </c>
      <c r="F335" s="3" t="s">
        <v>394</v>
      </c>
      <c r="G335" s="14">
        <v>1</v>
      </c>
      <c r="H335" s="14">
        <v>1</v>
      </c>
      <c r="I335" s="14">
        <v>0</v>
      </c>
      <c r="J335" s="3" t="s">
        <v>38</v>
      </c>
      <c r="K335" s="3" t="s">
        <v>39</v>
      </c>
      <c r="L335" s="3" t="s">
        <v>40</v>
      </c>
      <c r="M335" s="15">
        <v>1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.6">
      <c r="A336" s="13">
        <v>2019</v>
      </c>
      <c r="B336" s="32">
        <v>43684</v>
      </c>
      <c r="C336" s="3" t="s">
        <v>84</v>
      </c>
      <c r="D336" s="3" t="s">
        <v>19</v>
      </c>
      <c r="E336" s="3" t="s">
        <v>64</v>
      </c>
      <c r="F336" s="3" t="s">
        <v>395</v>
      </c>
      <c r="G336" s="14">
        <v>1</v>
      </c>
      <c r="H336" s="14">
        <v>1</v>
      </c>
      <c r="I336" s="14">
        <v>0</v>
      </c>
      <c r="J336" s="3" t="s">
        <v>38</v>
      </c>
      <c r="K336" s="3" t="s">
        <v>39</v>
      </c>
      <c r="L336" s="3" t="s">
        <v>40</v>
      </c>
      <c r="M336" s="15">
        <v>1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.6">
      <c r="A337" s="13">
        <v>2019</v>
      </c>
      <c r="B337" s="32">
        <v>43696</v>
      </c>
      <c r="C337" s="3" t="s">
        <v>35</v>
      </c>
      <c r="D337" s="3" t="s">
        <v>19</v>
      </c>
      <c r="E337" s="3" t="s">
        <v>66</v>
      </c>
      <c r="F337" s="3" t="s">
        <v>396</v>
      </c>
      <c r="G337" s="14">
        <v>1</v>
      </c>
      <c r="H337" s="14">
        <v>1</v>
      </c>
      <c r="I337" s="14">
        <v>0</v>
      </c>
      <c r="J337" s="3" t="s">
        <v>38</v>
      </c>
      <c r="K337" s="3" t="s">
        <v>39</v>
      </c>
      <c r="L337" s="3" t="s">
        <v>40</v>
      </c>
      <c r="M337" s="15">
        <v>1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.6">
      <c r="A338" s="13">
        <v>2019</v>
      </c>
      <c r="B338" s="32">
        <v>43752</v>
      </c>
      <c r="C338" s="3" t="s">
        <v>35</v>
      </c>
      <c r="D338" s="3" t="s">
        <v>20</v>
      </c>
      <c r="E338" s="3" t="s">
        <v>68</v>
      </c>
      <c r="F338" s="3" t="s">
        <v>397</v>
      </c>
      <c r="G338" s="14">
        <v>1</v>
      </c>
      <c r="H338" s="14">
        <v>1</v>
      </c>
      <c r="I338" s="14">
        <v>0</v>
      </c>
      <c r="J338" s="3" t="s">
        <v>38</v>
      </c>
      <c r="K338" s="3" t="s">
        <v>39</v>
      </c>
      <c r="L338" s="3" t="s">
        <v>40</v>
      </c>
      <c r="M338" s="15">
        <v>1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.6">
      <c r="A339" s="13">
        <v>2019</v>
      </c>
      <c r="B339" s="32">
        <v>43773</v>
      </c>
      <c r="C339" s="3" t="s">
        <v>35</v>
      </c>
      <c r="D339" s="3" t="s">
        <v>20</v>
      </c>
      <c r="E339" s="3" t="s">
        <v>70</v>
      </c>
      <c r="F339" s="3" t="s">
        <v>398</v>
      </c>
      <c r="G339" s="14">
        <v>1</v>
      </c>
      <c r="H339" s="14">
        <v>1</v>
      </c>
      <c r="I339" s="14">
        <v>0</v>
      </c>
      <c r="J339" s="3" t="s">
        <v>38</v>
      </c>
      <c r="K339" s="3" t="s">
        <v>39</v>
      </c>
      <c r="L339" s="3" t="s">
        <v>40</v>
      </c>
      <c r="M339" s="15">
        <v>1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.6">
      <c r="A340" s="13">
        <v>2019</v>
      </c>
      <c r="B340" s="32">
        <v>43780</v>
      </c>
      <c r="C340" s="3" t="s">
        <v>35</v>
      </c>
      <c r="D340" s="3" t="s">
        <v>20</v>
      </c>
      <c r="E340" s="3" t="s">
        <v>72</v>
      </c>
      <c r="F340" s="3" t="s">
        <v>399</v>
      </c>
      <c r="G340" s="14">
        <v>1</v>
      </c>
      <c r="H340" s="14">
        <v>1</v>
      </c>
      <c r="I340" s="14">
        <v>0</v>
      </c>
      <c r="J340" s="3" t="s">
        <v>38</v>
      </c>
      <c r="K340" s="3" t="s">
        <v>39</v>
      </c>
      <c r="L340" s="3" t="s">
        <v>40</v>
      </c>
      <c r="M340" s="15">
        <v>1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.6">
      <c r="A341" s="13">
        <v>2019</v>
      </c>
      <c r="B341" s="32">
        <v>43807</v>
      </c>
      <c r="C341" s="3" t="s">
        <v>96</v>
      </c>
      <c r="D341" s="3" t="s">
        <v>20</v>
      </c>
      <c r="E341" s="3" t="s">
        <v>75</v>
      </c>
      <c r="F341" s="3" t="s">
        <v>400</v>
      </c>
      <c r="G341" s="14">
        <v>1</v>
      </c>
      <c r="H341" s="14">
        <v>0</v>
      </c>
      <c r="I341" s="14">
        <v>0</v>
      </c>
      <c r="J341" s="3" t="s">
        <v>98</v>
      </c>
      <c r="K341" s="3" t="s">
        <v>39</v>
      </c>
      <c r="L341" s="3" t="s">
        <v>40</v>
      </c>
      <c r="M341" s="15">
        <v>1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.6">
      <c r="A342" s="13">
        <v>2019</v>
      </c>
      <c r="B342" s="32">
        <v>43824</v>
      </c>
      <c r="C342" s="3" t="s">
        <v>84</v>
      </c>
      <c r="D342" s="3" t="s">
        <v>20</v>
      </c>
      <c r="E342" s="3" t="s">
        <v>77</v>
      </c>
      <c r="F342" s="3" t="s">
        <v>401</v>
      </c>
      <c r="G342" s="14">
        <v>1</v>
      </c>
      <c r="H342" s="14">
        <v>1</v>
      </c>
      <c r="I342" s="14">
        <v>0</v>
      </c>
      <c r="J342" s="3" t="s">
        <v>38</v>
      </c>
      <c r="K342" s="3" t="s">
        <v>39</v>
      </c>
      <c r="L342" s="3" t="s">
        <v>40</v>
      </c>
      <c r="M342" s="15">
        <v>1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.6">
      <c r="A343" s="13">
        <v>2020</v>
      </c>
      <c r="B343" s="32">
        <v>43831</v>
      </c>
      <c r="C343" s="3" t="s">
        <v>84</v>
      </c>
      <c r="D343" s="3" t="s">
        <v>15</v>
      </c>
      <c r="E343" s="3" t="s">
        <v>36</v>
      </c>
      <c r="F343" s="3" t="s">
        <v>402</v>
      </c>
      <c r="G343" s="14">
        <v>1</v>
      </c>
      <c r="H343" s="14">
        <v>1</v>
      </c>
      <c r="I343" s="14">
        <v>0</v>
      </c>
      <c r="J343" s="3" t="s">
        <v>38</v>
      </c>
      <c r="K343" s="3" t="s">
        <v>39</v>
      </c>
      <c r="L343" s="3" t="s">
        <v>40</v>
      </c>
      <c r="M343" s="15">
        <v>1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.6">
      <c r="A344" s="13">
        <v>2020</v>
      </c>
      <c r="B344" s="32">
        <v>43836</v>
      </c>
      <c r="C344" s="3" t="s">
        <v>35</v>
      </c>
      <c r="D344" s="3" t="s">
        <v>15</v>
      </c>
      <c r="E344" s="3" t="s">
        <v>41</v>
      </c>
      <c r="F344" s="3" t="s">
        <v>403</v>
      </c>
      <c r="G344" s="14">
        <v>1</v>
      </c>
      <c r="H344" s="14">
        <v>1</v>
      </c>
      <c r="I344" s="14">
        <v>0</v>
      </c>
      <c r="J344" s="3" t="s">
        <v>38</v>
      </c>
      <c r="K344" s="3" t="s">
        <v>39</v>
      </c>
      <c r="L344" s="3" t="s">
        <v>40</v>
      </c>
      <c r="M344" s="15">
        <v>1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.6">
      <c r="A345" s="13">
        <v>2020</v>
      </c>
      <c r="B345" s="32">
        <v>43913</v>
      </c>
      <c r="C345" s="3" t="s">
        <v>35</v>
      </c>
      <c r="D345" s="3" t="s">
        <v>15</v>
      </c>
      <c r="E345" s="3" t="s">
        <v>43</v>
      </c>
      <c r="F345" s="3" t="s">
        <v>404</v>
      </c>
      <c r="G345" s="14">
        <v>1</v>
      </c>
      <c r="H345" s="14">
        <v>1</v>
      </c>
      <c r="I345" s="14">
        <v>0</v>
      </c>
      <c r="J345" s="3" t="s">
        <v>38</v>
      </c>
      <c r="K345" s="3" t="s">
        <v>39</v>
      </c>
      <c r="L345" s="3" t="s">
        <v>40</v>
      </c>
      <c r="M345" s="15">
        <v>1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.6">
      <c r="A346" s="13">
        <v>2020</v>
      </c>
      <c r="B346" s="32">
        <v>43930</v>
      </c>
      <c r="C346" s="3" t="s">
        <v>45</v>
      </c>
      <c r="D346" s="3" t="s">
        <v>17</v>
      </c>
      <c r="E346" s="3" t="s">
        <v>46</v>
      </c>
      <c r="F346" s="3" t="s">
        <v>405</v>
      </c>
      <c r="G346" s="14">
        <v>1</v>
      </c>
      <c r="H346" s="14">
        <v>1</v>
      </c>
      <c r="I346" s="14">
        <v>0</v>
      </c>
      <c r="J346" s="3" t="s">
        <v>38</v>
      </c>
      <c r="K346" s="3" t="s">
        <v>39</v>
      </c>
      <c r="L346" s="3" t="s">
        <v>40</v>
      </c>
      <c r="M346" s="15">
        <v>1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.6">
      <c r="A347" s="13">
        <v>2020</v>
      </c>
      <c r="B347" s="32">
        <v>43931</v>
      </c>
      <c r="C347" s="3" t="s">
        <v>48</v>
      </c>
      <c r="D347" s="3" t="s">
        <v>17</v>
      </c>
      <c r="E347" s="3" t="s">
        <v>49</v>
      </c>
      <c r="F347" s="3" t="s">
        <v>406</v>
      </c>
      <c r="G347" s="14">
        <v>1</v>
      </c>
      <c r="H347" s="14">
        <v>1</v>
      </c>
      <c r="I347" s="14">
        <v>0</v>
      </c>
      <c r="J347" s="3" t="s">
        <v>38</v>
      </c>
      <c r="K347" s="3" t="s">
        <v>39</v>
      </c>
      <c r="L347" s="3" t="s">
        <v>40</v>
      </c>
      <c r="M347" s="15">
        <v>1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.6">
      <c r="A348" s="13">
        <v>2020</v>
      </c>
      <c r="B348" s="32">
        <v>43952</v>
      </c>
      <c r="C348" s="3" t="s">
        <v>48</v>
      </c>
      <c r="D348" s="3" t="s">
        <v>17</v>
      </c>
      <c r="E348" s="3" t="s">
        <v>52</v>
      </c>
      <c r="F348" s="3" t="s">
        <v>407</v>
      </c>
      <c r="G348" s="14">
        <v>1</v>
      </c>
      <c r="H348" s="14">
        <v>1</v>
      </c>
      <c r="I348" s="14">
        <v>0</v>
      </c>
      <c r="J348" s="3" t="s">
        <v>38</v>
      </c>
      <c r="K348" s="3" t="s">
        <v>39</v>
      </c>
      <c r="L348" s="3" t="s">
        <v>40</v>
      </c>
      <c r="M348" s="15">
        <v>1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.6">
      <c r="A349" s="13">
        <v>2020</v>
      </c>
      <c r="B349" s="32">
        <v>43976</v>
      </c>
      <c r="C349" s="3" t="s">
        <v>35</v>
      </c>
      <c r="D349" s="3" t="s">
        <v>17</v>
      </c>
      <c r="E349" s="3" t="s">
        <v>54</v>
      </c>
      <c r="F349" s="3" t="s">
        <v>408</v>
      </c>
      <c r="G349" s="14">
        <v>1</v>
      </c>
      <c r="H349" s="14">
        <v>1</v>
      </c>
      <c r="I349" s="14">
        <v>0</v>
      </c>
      <c r="J349" s="3" t="s">
        <v>38</v>
      </c>
      <c r="K349" s="3" t="s">
        <v>39</v>
      </c>
      <c r="L349" s="3" t="s">
        <v>40</v>
      </c>
      <c r="M349" s="15">
        <v>1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.6">
      <c r="A350" s="13">
        <v>2020</v>
      </c>
      <c r="B350" s="32">
        <v>43997</v>
      </c>
      <c r="C350" s="3" t="s">
        <v>35</v>
      </c>
      <c r="D350" s="3" t="s">
        <v>17</v>
      </c>
      <c r="E350" s="3" t="s">
        <v>56</v>
      </c>
      <c r="F350" s="3" t="s">
        <v>409</v>
      </c>
      <c r="G350" s="14">
        <v>1</v>
      </c>
      <c r="H350" s="14">
        <v>1</v>
      </c>
      <c r="I350" s="14">
        <v>0</v>
      </c>
      <c r="J350" s="3" t="s">
        <v>38</v>
      </c>
      <c r="K350" s="3" t="s">
        <v>39</v>
      </c>
      <c r="L350" s="3" t="s">
        <v>40</v>
      </c>
      <c r="M350" s="15">
        <v>1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.6">
      <c r="A351" s="13">
        <v>2020</v>
      </c>
      <c r="B351" s="32">
        <v>44004</v>
      </c>
      <c r="C351" s="3" t="s">
        <v>35</v>
      </c>
      <c r="D351" s="3" t="s">
        <v>17</v>
      </c>
      <c r="E351" s="3" t="s">
        <v>58</v>
      </c>
      <c r="F351" s="3" t="s">
        <v>410</v>
      </c>
      <c r="G351" s="14">
        <v>1</v>
      </c>
      <c r="H351" s="14">
        <v>1</v>
      </c>
      <c r="I351" s="14">
        <v>0</v>
      </c>
      <c r="J351" s="3" t="s">
        <v>38</v>
      </c>
      <c r="K351" s="3" t="s">
        <v>39</v>
      </c>
      <c r="L351" s="3" t="s">
        <v>40</v>
      </c>
      <c r="M351" s="15">
        <v>1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.6">
      <c r="A352" s="13">
        <v>2020</v>
      </c>
      <c r="B352" s="32">
        <v>44011</v>
      </c>
      <c r="C352" s="3" t="s">
        <v>35</v>
      </c>
      <c r="D352" s="3" t="s">
        <v>17</v>
      </c>
      <c r="E352" s="3" t="s">
        <v>60</v>
      </c>
      <c r="F352" s="3" t="s">
        <v>411</v>
      </c>
      <c r="G352" s="14">
        <v>1</v>
      </c>
      <c r="H352" s="14">
        <v>1</v>
      </c>
      <c r="I352" s="14">
        <v>0</v>
      </c>
      <c r="J352" s="3" t="s">
        <v>38</v>
      </c>
      <c r="K352" s="3" t="s">
        <v>39</v>
      </c>
      <c r="L352" s="3" t="s">
        <v>40</v>
      </c>
      <c r="M352" s="15">
        <v>1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.6">
      <c r="A353" s="13">
        <v>2020</v>
      </c>
      <c r="B353" s="32">
        <v>44032</v>
      </c>
      <c r="C353" s="3" t="s">
        <v>35</v>
      </c>
      <c r="D353" s="3" t="s">
        <v>19</v>
      </c>
      <c r="E353" s="3" t="s">
        <v>62</v>
      </c>
      <c r="F353" s="3" t="s">
        <v>412</v>
      </c>
      <c r="G353" s="14">
        <v>1</v>
      </c>
      <c r="H353" s="14">
        <v>1</v>
      </c>
      <c r="I353" s="14">
        <v>0</v>
      </c>
      <c r="J353" s="3" t="s">
        <v>38</v>
      </c>
      <c r="K353" s="3" t="s">
        <v>39</v>
      </c>
      <c r="L353" s="3" t="s">
        <v>40</v>
      </c>
      <c r="M353" s="15">
        <v>1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.6">
      <c r="A354" s="13">
        <v>2020</v>
      </c>
      <c r="B354" s="32">
        <v>44050</v>
      </c>
      <c r="C354" s="3" t="s">
        <v>48</v>
      </c>
      <c r="D354" s="3" t="s">
        <v>19</v>
      </c>
      <c r="E354" s="3" t="s">
        <v>64</v>
      </c>
      <c r="F354" s="3" t="s">
        <v>413</v>
      </c>
      <c r="G354" s="14">
        <v>1</v>
      </c>
      <c r="H354" s="14">
        <v>1</v>
      </c>
      <c r="I354" s="14">
        <v>0</v>
      </c>
      <c r="J354" s="3" t="s">
        <v>38</v>
      </c>
      <c r="K354" s="3" t="s">
        <v>39</v>
      </c>
      <c r="L354" s="3" t="s">
        <v>40</v>
      </c>
      <c r="M354" s="15">
        <v>1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.6">
      <c r="A355" s="13">
        <v>2020</v>
      </c>
      <c r="B355" s="32">
        <v>44060</v>
      </c>
      <c r="C355" s="3" t="s">
        <v>35</v>
      </c>
      <c r="D355" s="3" t="s">
        <v>19</v>
      </c>
      <c r="E355" s="3" t="s">
        <v>66</v>
      </c>
      <c r="F355" s="3" t="s">
        <v>414</v>
      </c>
      <c r="G355" s="14">
        <v>1</v>
      </c>
      <c r="H355" s="14">
        <v>1</v>
      </c>
      <c r="I355" s="14">
        <v>0</v>
      </c>
      <c r="J355" s="3" t="s">
        <v>38</v>
      </c>
      <c r="K355" s="3" t="s">
        <v>39</v>
      </c>
      <c r="L355" s="3" t="s">
        <v>40</v>
      </c>
      <c r="M355" s="15">
        <v>1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.6">
      <c r="A356" s="13">
        <v>2020</v>
      </c>
      <c r="B356" s="32">
        <v>44116</v>
      </c>
      <c r="C356" s="3" t="s">
        <v>35</v>
      </c>
      <c r="D356" s="3" t="s">
        <v>20</v>
      </c>
      <c r="E356" s="3" t="s">
        <v>68</v>
      </c>
      <c r="F356" s="3" t="s">
        <v>415</v>
      </c>
      <c r="G356" s="14">
        <v>1</v>
      </c>
      <c r="H356" s="14">
        <v>1</v>
      </c>
      <c r="I356" s="14">
        <v>0</v>
      </c>
      <c r="J356" s="3" t="s">
        <v>38</v>
      </c>
      <c r="K356" s="3" t="s">
        <v>39</v>
      </c>
      <c r="L356" s="3" t="s">
        <v>40</v>
      </c>
      <c r="M356" s="15">
        <v>1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.6">
      <c r="A357" s="13">
        <v>2020</v>
      </c>
      <c r="B357" s="32">
        <v>44137</v>
      </c>
      <c r="C357" s="3" t="s">
        <v>35</v>
      </c>
      <c r="D357" s="3" t="s">
        <v>20</v>
      </c>
      <c r="E357" s="3" t="s">
        <v>70</v>
      </c>
      <c r="F357" s="3" t="s">
        <v>416</v>
      </c>
      <c r="G357" s="14">
        <v>1</v>
      </c>
      <c r="H357" s="14">
        <v>1</v>
      </c>
      <c r="I357" s="14">
        <v>0</v>
      </c>
      <c r="J357" s="3" t="s">
        <v>38</v>
      </c>
      <c r="K357" s="3" t="s">
        <v>39</v>
      </c>
      <c r="L357" s="3" t="s">
        <v>40</v>
      </c>
      <c r="M357" s="15">
        <v>1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.6">
      <c r="A358" s="13">
        <v>2020</v>
      </c>
      <c r="B358" s="32">
        <v>44151</v>
      </c>
      <c r="C358" s="3" t="s">
        <v>35</v>
      </c>
      <c r="D358" s="3" t="s">
        <v>20</v>
      </c>
      <c r="E358" s="3" t="s">
        <v>72</v>
      </c>
      <c r="F358" s="3" t="s">
        <v>417</v>
      </c>
      <c r="G358" s="14">
        <v>1</v>
      </c>
      <c r="H358" s="14">
        <v>1</v>
      </c>
      <c r="I358" s="14">
        <v>0</v>
      </c>
      <c r="J358" s="3" t="s">
        <v>38</v>
      </c>
      <c r="K358" s="3" t="s">
        <v>39</v>
      </c>
      <c r="L358" s="3" t="s">
        <v>40</v>
      </c>
      <c r="M358" s="15">
        <v>1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.6">
      <c r="A359" s="13">
        <v>2020</v>
      </c>
      <c r="B359" s="32">
        <v>44173</v>
      </c>
      <c r="C359" s="3" t="s">
        <v>51</v>
      </c>
      <c r="D359" s="3" t="s">
        <v>20</v>
      </c>
      <c r="E359" s="3" t="s">
        <v>75</v>
      </c>
      <c r="F359" s="3" t="s">
        <v>418</v>
      </c>
      <c r="G359" s="14">
        <v>1</v>
      </c>
      <c r="H359" s="14">
        <v>1</v>
      </c>
      <c r="I359" s="14">
        <v>0</v>
      </c>
      <c r="J359" s="3" t="s">
        <v>38</v>
      </c>
      <c r="K359" s="3" t="s">
        <v>39</v>
      </c>
      <c r="L359" s="3" t="s">
        <v>40</v>
      </c>
      <c r="M359" s="15">
        <v>1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.6">
      <c r="A360" s="13">
        <v>2020</v>
      </c>
      <c r="B360" s="32">
        <v>44190</v>
      </c>
      <c r="C360" s="3" t="s">
        <v>48</v>
      </c>
      <c r="D360" s="3" t="s">
        <v>20</v>
      </c>
      <c r="E360" s="3" t="s">
        <v>77</v>
      </c>
      <c r="F360" s="3" t="s">
        <v>419</v>
      </c>
      <c r="G360" s="14">
        <v>1</v>
      </c>
      <c r="H360" s="14">
        <v>1</v>
      </c>
      <c r="I360" s="14">
        <v>0</v>
      </c>
      <c r="J360" s="3" t="s">
        <v>38</v>
      </c>
      <c r="K360" s="3" t="s">
        <v>39</v>
      </c>
      <c r="L360" s="3" t="s">
        <v>40</v>
      </c>
      <c r="M360" s="15">
        <v>1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.6">
      <c r="A361" s="13">
        <v>2021</v>
      </c>
      <c r="B361" s="32">
        <v>44197</v>
      </c>
      <c r="C361" s="3" t="s">
        <v>48</v>
      </c>
      <c r="D361" s="3" t="s">
        <v>15</v>
      </c>
      <c r="E361" s="3" t="s">
        <v>36</v>
      </c>
      <c r="F361" s="3" t="s">
        <v>420</v>
      </c>
      <c r="G361" s="14">
        <v>1</v>
      </c>
      <c r="H361" s="14">
        <v>1</v>
      </c>
      <c r="I361" s="14">
        <v>0</v>
      </c>
      <c r="J361" s="3" t="s">
        <v>38</v>
      </c>
      <c r="K361" s="3" t="s">
        <v>39</v>
      </c>
      <c r="L361" s="3" t="s">
        <v>40</v>
      </c>
      <c r="M361" s="15">
        <v>1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.6">
      <c r="A362" s="13">
        <v>2021</v>
      </c>
      <c r="B362" s="32">
        <v>44207</v>
      </c>
      <c r="C362" s="3" t="s">
        <v>35</v>
      </c>
      <c r="D362" s="3" t="s">
        <v>15</v>
      </c>
      <c r="E362" s="3" t="s">
        <v>41</v>
      </c>
      <c r="F362" s="3" t="s">
        <v>421</v>
      </c>
      <c r="G362" s="14">
        <v>1</v>
      </c>
      <c r="H362" s="14">
        <v>1</v>
      </c>
      <c r="I362" s="14">
        <v>0</v>
      </c>
      <c r="J362" s="3" t="s">
        <v>38</v>
      </c>
      <c r="K362" s="3" t="s">
        <v>39</v>
      </c>
      <c r="L362" s="3" t="s">
        <v>40</v>
      </c>
      <c r="M362" s="15">
        <v>1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.6">
      <c r="A363" s="13">
        <v>2021</v>
      </c>
      <c r="B363" s="32">
        <v>44277</v>
      </c>
      <c r="C363" s="3" t="s">
        <v>35</v>
      </c>
      <c r="D363" s="3" t="s">
        <v>15</v>
      </c>
      <c r="E363" s="3" t="s">
        <v>43</v>
      </c>
      <c r="F363" s="3" t="s">
        <v>422</v>
      </c>
      <c r="G363" s="14">
        <v>1</v>
      </c>
      <c r="H363" s="14">
        <v>1</v>
      </c>
      <c r="I363" s="14">
        <v>0</v>
      </c>
      <c r="J363" s="3" t="s">
        <v>38</v>
      </c>
      <c r="K363" s="3" t="s">
        <v>39</v>
      </c>
      <c r="L363" s="3" t="s">
        <v>40</v>
      </c>
      <c r="M363" s="15">
        <v>1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.6">
      <c r="A364" s="13">
        <v>2021</v>
      </c>
      <c r="B364" s="32">
        <v>44287</v>
      </c>
      <c r="C364" s="3" t="s">
        <v>45</v>
      </c>
      <c r="D364" s="3" t="s">
        <v>17</v>
      </c>
      <c r="E364" s="3" t="s">
        <v>46</v>
      </c>
      <c r="F364" s="3" t="s">
        <v>423</v>
      </c>
      <c r="G364" s="14">
        <v>1</v>
      </c>
      <c r="H364" s="14">
        <v>1</v>
      </c>
      <c r="I364" s="14">
        <v>0</v>
      </c>
      <c r="J364" s="3" t="s">
        <v>38</v>
      </c>
      <c r="K364" s="3" t="s">
        <v>39</v>
      </c>
      <c r="L364" s="3" t="s">
        <v>40</v>
      </c>
      <c r="M364" s="15">
        <v>1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.6">
      <c r="A365" s="13">
        <v>2021</v>
      </c>
      <c r="B365" s="32">
        <v>44288</v>
      </c>
      <c r="C365" s="3" t="s">
        <v>48</v>
      </c>
      <c r="D365" s="3" t="s">
        <v>17</v>
      </c>
      <c r="E365" s="3" t="s">
        <v>49</v>
      </c>
      <c r="F365" s="3" t="s">
        <v>424</v>
      </c>
      <c r="G365" s="14">
        <v>1</v>
      </c>
      <c r="H365" s="14">
        <v>1</v>
      </c>
      <c r="I365" s="14">
        <v>0</v>
      </c>
      <c r="J365" s="3" t="s">
        <v>38</v>
      </c>
      <c r="K365" s="3" t="s">
        <v>39</v>
      </c>
      <c r="L365" s="3" t="s">
        <v>40</v>
      </c>
      <c r="M365" s="15">
        <v>1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.6">
      <c r="A366" s="13">
        <v>2021</v>
      </c>
      <c r="B366" s="32">
        <v>44317</v>
      </c>
      <c r="C366" s="3" t="s">
        <v>74</v>
      </c>
      <c r="D366" s="3" t="s">
        <v>17</v>
      </c>
      <c r="E366" s="3" t="s">
        <v>52</v>
      </c>
      <c r="F366" s="3" t="s">
        <v>425</v>
      </c>
      <c r="G366" s="14">
        <v>1</v>
      </c>
      <c r="H366" s="14">
        <v>1</v>
      </c>
      <c r="I366" s="14">
        <v>0</v>
      </c>
      <c r="J366" s="3" t="s">
        <v>38</v>
      </c>
      <c r="K366" s="3" t="s">
        <v>39</v>
      </c>
      <c r="L366" s="3" t="s">
        <v>40</v>
      </c>
      <c r="M366" s="15">
        <v>1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.6">
      <c r="A367" s="13">
        <v>2021</v>
      </c>
      <c r="B367" s="32">
        <v>44333</v>
      </c>
      <c r="C367" s="3" t="s">
        <v>35</v>
      </c>
      <c r="D367" s="3" t="s">
        <v>17</v>
      </c>
      <c r="E367" s="3" t="s">
        <v>54</v>
      </c>
      <c r="F367" s="3" t="s">
        <v>426</v>
      </c>
      <c r="G367" s="14">
        <v>1</v>
      </c>
      <c r="H367" s="14">
        <v>1</v>
      </c>
      <c r="I367" s="14">
        <v>0</v>
      </c>
      <c r="J367" s="3" t="s">
        <v>38</v>
      </c>
      <c r="K367" s="3" t="s">
        <v>39</v>
      </c>
      <c r="L367" s="3" t="s">
        <v>40</v>
      </c>
      <c r="M367" s="15">
        <v>1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.6">
      <c r="A368" s="13">
        <v>2021</v>
      </c>
      <c r="B368" s="32">
        <v>44354</v>
      </c>
      <c r="C368" s="3" t="s">
        <v>35</v>
      </c>
      <c r="D368" s="3" t="s">
        <v>17</v>
      </c>
      <c r="E368" s="3" t="s">
        <v>56</v>
      </c>
      <c r="F368" s="3" t="s">
        <v>427</v>
      </c>
      <c r="G368" s="14">
        <v>1</v>
      </c>
      <c r="H368" s="14">
        <v>1</v>
      </c>
      <c r="I368" s="14">
        <v>0</v>
      </c>
      <c r="J368" s="3" t="s">
        <v>38</v>
      </c>
      <c r="K368" s="3" t="s">
        <v>39</v>
      </c>
      <c r="L368" s="3" t="s">
        <v>40</v>
      </c>
      <c r="M368" s="15">
        <v>1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.6">
      <c r="A369" s="13">
        <v>2021</v>
      </c>
      <c r="B369" s="32">
        <v>44361</v>
      </c>
      <c r="C369" s="3" t="s">
        <v>35</v>
      </c>
      <c r="D369" s="3" t="s">
        <v>17</v>
      </c>
      <c r="E369" s="3" t="s">
        <v>58</v>
      </c>
      <c r="F369" s="3" t="s">
        <v>428</v>
      </c>
      <c r="G369" s="14">
        <v>1</v>
      </c>
      <c r="H369" s="14">
        <v>1</v>
      </c>
      <c r="I369" s="14">
        <v>0</v>
      </c>
      <c r="J369" s="3" t="s">
        <v>38</v>
      </c>
      <c r="K369" s="3" t="s">
        <v>39</v>
      </c>
      <c r="L369" s="3" t="s">
        <v>40</v>
      </c>
      <c r="M369" s="15">
        <v>1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.6">
      <c r="A370" s="13">
        <v>2021</v>
      </c>
      <c r="B370" s="32">
        <v>44382</v>
      </c>
      <c r="C370" s="3" t="s">
        <v>35</v>
      </c>
      <c r="D370" s="3" t="s">
        <v>19</v>
      </c>
      <c r="E370" s="3" t="s">
        <v>60</v>
      </c>
      <c r="F370" s="3" t="s">
        <v>429</v>
      </c>
      <c r="G370" s="14">
        <v>1</v>
      </c>
      <c r="H370" s="14">
        <v>1</v>
      </c>
      <c r="I370" s="14">
        <v>0</v>
      </c>
      <c r="J370" s="3" t="s">
        <v>38</v>
      </c>
      <c r="K370" s="3" t="s">
        <v>39</v>
      </c>
      <c r="L370" s="3" t="s">
        <v>40</v>
      </c>
      <c r="M370" s="15">
        <v>1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.6">
      <c r="A371" s="13">
        <v>2021</v>
      </c>
      <c r="B371" s="32">
        <v>44397</v>
      </c>
      <c r="C371" s="3" t="s">
        <v>51</v>
      </c>
      <c r="D371" s="3" t="s">
        <v>19</v>
      </c>
      <c r="E371" s="3" t="s">
        <v>62</v>
      </c>
      <c r="F371" s="3" t="s">
        <v>430</v>
      </c>
      <c r="G371" s="14">
        <v>1</v>
      </c>
      <c r="H371" s="14">
        <v>1</v>
      </c>
      <c r="I371" s="14">
        <v>0</v>
      </c>
      <c r="J371" s="3" t="s">
        <v>38</v>
      </c>
      <c r="K371" s="3" t="s">
        <v>39</v>
      </c>
      <c r="L371" s="3" t="s">
        <v>40</v>
      </c>
      <c r="M371" s="15">
        <v>1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.6">
      <c r="A372" s="13">
        <v>2021</v>
      </c>
      <c r="B372" s="32">
        <v>44415</v>
      </c>
      <c r="C372" s="3" t="s">
        <v>74</v>
      </c>
      <c r="D372" s="3" t="s">
        <v>19</v>
      </c>
      <c r="E372" s="3" t="s">
        <v>64</v>
      </c>
      <c r="F372" s="3" t="s">
        <v>431</v>
      </c>
      <c r="G372" s="14">
        <v>1</v>
      </c>
      <c r="H372" s="14">
        <v>1</v>
      </c>
      <c r="I372" s="14">
        <v>0</v>
      </c>
      <c r="J372" s="3" t="s">
        <v>38</v>
      </c>
      <c r="K372" s="3" t="s">
        <v>39</v>
      </c>
      <c r="L372" s="3" t="s">
        <v>40</v>
      </c>
      <c r="M372" s="15">
        <v>1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.6">
      <c r="A373" s="13">
        <v>2021</v>
      </c>
      <c r="B373" s="32">
        <v>44424</v>
      </c>
      <c r="C373" s="3" t="s">
        <v>35</v>
      </c>
      <c r="D373" s="3" t="s">
        <v>19</v>
      </c>
      <c r="E373" s="3" t="s">
        <v>66</v>
      </c>
      <c r="F373" s="3" t="s">
        <v>432</v>
      </c>
      <c r="G373" s="14">
        <v>1</v>
      </c>
      <c r="H373" s="14">
        <v>1</v>
      </c>
      <c r="I373" s="14">
        <v>0</v>
      </c>
      <c r="J373" s="3" t="s">
        <v>38</v>
      </c>
      <c r="K373" s="3" t="s">
        <v>39</v>
      </c>
      <c r="L373" s="3" t="s">
        <v>40</v>
      </c>
      <c r="M373" s="15">
        <v>1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.6">
      <c r="A374" s="13">
        <v>2021</v>
      </c>
      <c r="B374" s="32">
        <v>44487</v>
      </c>
      <c r="C374" s="3" t="s">
        <v>35</v>
      </c>
      <c r="D374" s="3" t="s">
        <v>20</v>
      </c>
      <c r="E374" s="3" t="s">
        <v>68</v>
      </c>
      <c r="F374" s="3" t="s">
        <v>433</v>
      </c>
      <c r="G374" s="14">
        <v>1</v>
      </c>
      <c r="H374" s="14">
        <v>1</v>
      </c>
      <c r="I374" s="14">
        <v>0</v>
      </c>
      <c r="J374" s="3" t="s">
        <v>38</v>
      </c>
      <c r="K374" s="3" t="s">
        <v>39</v>
      </c>
      <c r="L374" s="3" t="s">
        <v>40</v>
      </c>
      <c r="M374" s="15">
        <v>1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.6">
      <c r="A375" s="13">
        <v>2021</v>
      </c>
      <c r="B375" s="32">
        <v>44501</v>
      </c>
      <c r="C375" s="3" t="s">
        <v>35</v>
      </c>
      <c r="D375" s="3" t="s">
        <v>20</v>
      </c>
      <c r="E375" s="3" t="s">
        <v>70</v>
      </c>
      <c r="F375" s="3" t="s">
        <v>434</v>
      </c>
      <c r="G375" s="14">
        <v>1</v>
      </c>
      <c r="H375" s="14">
        <v>1</v>
      </c>
      <c r="I375" s="14">
        <v>0</v>
      </c>
      <c r="J375" s="3" t="s">
        <v>38</v>
      </c>
      <c r="K375" s="3" t="s">
        <v>39</v>
      </c>
      <c r="L375" s="3" t="s">
        <v>40</v>
      </c>
      <c r="M375" s="15">
        <v>1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.6">
      <c r="A376" s="13">
        <v>2021</v>
      </c>
      <c r="B376" s="32">
        <v>44515</v>
      </c>
      <c r="C376" s="3" t="s">
        <v>35</v>
      </c>
      <c r="D376" s="3" t="s">
        <v>20</v>
      </c>
      <c r="E376" s="3" t="s">
        <v>72</v>
      </c>
      <c r="F376" s="3" t="s">
        <v>435</v>
      </c>
      <c r="G376" s="14">
        <v>1</v>
      </c>
      <c r="H376" s="14">
        <v>1</v>
      </c>
      <c r="I376" s="14">
        <v>0</v>
      </c>
      <c r="J376" s="3" t="s">
        <v>38</v>
      </c>
      <c r="K376" s="3" t="s">
        <v>39</v>
      </c>
      <c r="L376" s="3" t="s">
        <v>40</v>
      </c>
      <c r="M376" s="15">
        <v>1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.6">
      <c r="A377" s="13">
        <v>2021</v>
      </c>
      <c r="B377" s="32">
        <v>44538</v>
      </c>
      <c r="C377" s="3" t="s">
        <v>84</v>
      </c>
      <c r="D377" s="3" t="s">
        <v>20</v>
      </c>
      <c r="E377" s="3" t="s">
        <v>75</v>
      </c>
      <c r="F377" s="3" t="s">
        <v>436</v>
      </c>
      <c r="G377" s="14">
        <v>1</v>
      </c>
      <c r="H377" s="14">
        <v>1</v>
      </c>
      <c r="I377" s="14">
        <v>0</v>
      </c>
      <c r="J377" s="3" t="s">
        <v>38</v>
      </c>
      <c r="K377" s="3" t="s">
        <v>39</v>
      </c>
      <c r="L377" s="3" t="s">
        <v>40</v>
      </c>
      <c r="M377" s="15">
        <v>1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.6">
      <c r="A378" s="13">
        <v>2021</v>
      </c>
      <c r="B378" s="32">
        <v>44555</v>
      </c>
      <c r="C378" s="3" t="s">
        <v>74</v>
      </c>
      <c r="D378" s="3" t="s">
        <v>20</v>
      </c>
      <c r="E378" s="3" t="s">
        <v>77</v>
      </c>
      <c r="F378" s="3" t="s">
        <v>437</v>
      </c>
      <c r="G378" s="14">
        <v>1</v>
      </c>
      <c r="H378" s="14">
        <v>1</v>
      </c>
      <c r="I378" s="14">
        <v>0</v>
      </c>
      <c r="J378" s="3" t="s">
        <v>38</v>
      </c>
      <c r="K378" s="3" t="s">
        <v>39</v>
      </c>
      <c r="L378" s="3" t="s">
        <v>40</v>
      </c>
      <c r="M378" s="15">
        <v>1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.6">
      <c r="A379" s="13">
        <v>2022</v>
      </c>
      <c r="B379" s="32">
        <v>44562</v>
      </c>
      <c r="C379" s="3" t="s">
        <v>74</v>
      </c>
      <c r="D379" s="3" t="s">
        <v>15</v>
      </c>
      <c r="E379" s="3" t="s">
        <v>36</v>
      </c>
      <c r="F379" s="3" t="s">
        <v>438</v>
      </c>
      <c r="G379" s="14">
        <v>1</v>
      </c>
      <c r="H379" s="14">
        <v>1</v>
      </c>
      <c r="I379" s="14">
        <v>0</v>
      </c>
      <c r="J379" s="3" t="s">
        <v>38</v>
      </c>
      <c r="K379" s="3" t="s">
        <v>39</v>
      </c>
      <c r="L379" s="3" t="s">
        <v>40</v>
      </c>
      <c r="M379" s="15">
        <v>1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.6">
      <c r="A380" s="13">
        <v>2022</v>
      </c>
      <c r="B380" s="32">
        <v>44571</v>
      </c>
      <c r="C380" s="3" t="s">
        <v>35</v>
      </c>
      <c r="D380" s="3" t="s">
        <v>15</v>
      </c>
      <c r="E380" s="3" t="s">
        <v>41</v>
      </c>
      <c r="F380" s="3" t="s">
        <v>439</v>
      </c>
      <c r="G380" s="14">
        <v>1</v>
      </c>
      <c r="H380" s="14">
        <v>1</v>
      </c>
      <c r="I380" s="14">
        <v>0</v>
      </c>
      <c r="J380" s="3" t="s">
        <v>38</v>
      </c>
      <c r="K380" s="3" t="s">
        <v>39</v>
      </c>
      <c r="L380" s="3" t="s">
        <v>40</v>
      </c>
      <c r="M380" s="15">
        <v>1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.6">
      <c r="A381" s="13">
        <v>2022</v>
      </c>
      <c r="B381" s="32">
        <v>44641</v>
      </c>
      <c r="C381" s="3" t="s">
        <v>35</v>
      </c>
      <c r="D381" s="3" t="s">
        <v>15</v>
      </c>
      <c r="E381" s="3" t="s">
        <v>43</v>
      </c>
      <c r="F381" s="3" t="s">
        <v>440</v>
      </c>
      <c r="G381" s="14">
        <v>1</v>
      </c>
      <c r="H381" s="14">
        <v>1</v>
      </c>
      <c r="I381" s="14">
        <v>0</v>
      </c>
      <c r="J381" s="3" t="s">
        <v>38</v>
      </c>
      <c r="K381" s="3" t="s">
        <v>39</v>
      </c>
      <c r="L381" s="3" t="s">
        <v>40</v>
      </c>
      <c r="M381" s="15">
        <v>1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.6">
      <c r="A382" s="13">
        <v>2022</v>
      </c>
      <c r="B382" s="32">
        <v>44665</v>
      </c>
      <c r="C382" s="3" t="s">
        <v>45</v>
      </c>
      <c r="D382" s="3" t="s">
        <v>17</v>
      </c>
      <c r="E382" s="3" t="s">
        <v>46</v>
      </c>
      <c r="F382" s="3" t="s">
        <v>441</v>
      </c>
      <c r="G382" s="14">
        <v>1</v>
      </c>
      <c r="H382" s="14">
        <v>1</v>
      </c>
      <c r="I382" s="14">
        <v>0</v>
      </c>
      <c r="J382" s="3" t="s">
        <v>38</v>
      </c>
      <c r="K382" s="3" t="s">
        <v>39</v>
      </c>
      <c r="L382" s="3" t="s">
        <v>40</v>
      </c>
      <c r="M382" s="15">
        <v>1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.6">
      <c r="A383" s="13">
        <v>2022</v>
      </c>
      <c r="B383" s="32">
        <v>44666</v>
      </c>
      <c r="C383" s="3" t="s">
        <v>48</v>
      </c>
      <c r="D383" s="3" t="s">
        <v>17</v>
      </c>
      <c r="E383" s="3" t="s">
        <v>49</v>
      </c>
      <c r="F383" s="3" t="s">
        <v>442</v>
      </c>
      <c r="G383" s="14">
        <v>1</v>
      </c>
      <c r="H383" s="14">
        <v>1</v>
      </c>
      <c r="I383" s="14">
        <v>0</v>
      </c>
      <c r="J383" s="3" t="s">
        <v>38</v>
      </c>
      <c r="K383" s="3" t="s">
        <v>39</v>
      </c>
      <c r="L383" s="3" t="s">
        <v>40</v>
      </c>
      <c r="M383" s="15">
        <v>1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.6">
      <c r="A384" s="13">
        <v>2022</v>
      </c>
      <c r="B384" s="32">
        <v>44682</v>
      </c>
      <c r="C384" s="3" t="s">
        <v>96</v>
      </c>
      <c r="D384" s="3" t="s">
        <v>17</v>
      </c>
      <c r="E384" s="3" t="s">
        <v>52</v>
      </c>
      <c r="F384" s="3" t="s">
        <v>443</v>
      </c>
      <c r="G384" s="14">
        <v>1</v>
      </c>
      <c r="H384" s="14">
        <v>0</v>
      </c>
      <c r="I384" s="14">
        <v>0</v>
      </c>
      <c r="J384" s="3" t="s">
        <v>98</v>
      </c>
      <c r="K384" s="3" t="s">
        <v>39</v>
      </c>
      <c r="L384" s="3" t="s">
        <v>40</v>
      </c>
      <c r="M384" s="15">
        <v>1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.6">
      <c r="A385" s="13">
        <v>2022</v>
      </c>
      <c r="B385" s="32">
        <v>44711</v>
      </c>
      <c r="C385" s="3" t="s">
        <v>35</v>
      </c>
      <c r="D385" s="3" t="s">
        <v>17</v>
      </c>
      <c r="E385" s="3" t="s">
        <v>54</v>
      </c>
      <c r="F385" s="3" t="s">
        <v>444</v>
      </c>
      <c r="G385" s="14">
        <v>1</v>
      </c>
      <c r="H385" s="14">
        <v>1</v>
      </c>
      <c r="I385" s="14">
        <v>0</v>
      </c>
      <c r="J385" s="3" t="s">
        <v>38</v>
      </c>
      <c r="K385" s="3" t="s">
        <v>39</v>
      </c>
      <c r="L385" s="3" t="s">
        <v>40</v>
      </c>
      <c r="M385" s="15">
        <v>1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.6">
      <c r="A386" s="13">
        <v>2022</v>
      </c>
      <c r="B386" s="32">
        <v>44732</v>
      </c>
      <c r="C386" s="3" t="s">
        <v>35</v>
      </c>
      <c r="D386" s="3" t="s">
        <v>17</v>
      </c>
      <c r="E386" s="3" t="s">
        <v>56</v>
      </c>
      <c r="F386" s="3" t="s">
        <v>445</v>
      </c>
      <c r="G386" s="14">
        <v>1</v>
      </c>
      <c r="H386" s="14">
        <v>1</v>
      </c>
      <c r="I386" s="14">
        <v>0</v>
      </c>
      <c r="J386" s="3" t="s">
        <v>38</v>
      </c>
      <c r="K386" s="3" t="s">
        <v>39</v>
      </c>
      <c r="L386" s="3" t="s">
        <v>40</v>
      </c>
      <c r="M386" s="15">
        <v>1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.6">
      <c r="A387" s="13">
        <v>2022</v>
      </c>
      <c r="B387" s="32">
        <v>44739</v>
      </c>
      <c r="C387" s="3" t="s">
        <v>35</v>
      </c>
      <c r="D387" s="3" t="s">
        <v>17</v>
      </c>
      <c r="E387" s="3" t="s">
        <v>58</v>
      </c>
      <c r="F387" s="3" t="s">
        <v>446</v>
      </c>
      <c r="G387" s="14">
        <v>1</v>
      </c>
      <c r="H387" s="14">
        <v>1</v>
      </c>
      <c r="I387" s="14">
        <v>0</v>
      </c>
      <c r="J387" s="3" t="s">
        <v>38</v>
      </c>
      <c r="K387" s="3" t="s">
        <v>39</v>
      </c>
      <c r="L387" s="3" t="s">
        <v>40</v>
      </c>
      <c r="M387" s="15">
        <v>1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.6">
      <c r="A388" s="13">
        <v>2022</v>
      </c>
      <c r="B388" s="32">
        <v>44746</v>
      </c>
      <c r="C388" s="3" t="s">
        <v>35</v>
      </c>
      <c r="D388" s="3" t="s">
        <v>19</v>
      </c>
      <c r="E388" s="3" t="s">
        <v>60</v>
      </c>
      <c r="F388" s="3" t="s">
        <v>447</v>
      </c>
      <c r="G388" s="14">
        <v>1</v>
      </c>
      <c r="H388" s="14">
        <v>1</v>
      </c>
      <c r="I388" s="14">
        <v>0</v>
      </c>
      <c r="J388" s="3" t="s">
        <v>38</v>
      </c>
      <c r="K388" s="3" t="s">
        <v>39</v>
      </c>
      <c r="L388" s="3" t="s">
        <v>40</v>
      </c>
      <c r="M388" s="15">
        <v>1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.6">
      <c r="A389" s="13">
        <v>2022</v>
      </c>
      <c r="B389" s="32">
        <v>44762</v>
      </c>
      <c r="C389" s="3" t="s">
        <v>84</v>
      </c>
      <c r="D389" s="3" t="s">
        <v>19</v>
      </c>
      <c r="E389" s="3" t="s">
        <v>62</v>
      </c>
      <c r="F389" s="3" t="s">
        <v>448</v>
      </c>
      <c r="G389" s="14">
        <v>1</v>
      </c>
      <c r="H389" s="14">
        <v>1</v>
      </c>
      <c r="I389" s="14">
        <v>0</v>
      </c>
      <c r="J389" s="3" t="s">
        <v>38</v>
      </c>
      <c r="K389" s="3" t="s">
        <v>39</v>
      </c>
      <c r="L389" s="3" t="s">
        <v>40</v>
      </c>
      <c r="M389" s="15">
        <v>1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.6">
      <c r="A390" s="13">
        <v>2022</v>
      </c>
      <c r="B390" s="32">
        <v>44780</v>
      </c>
      <c r="C390" s="3" t="s">
        <v>96</v>
      </c>
      <c r="D390" s="3" t="s">
        <v>19</v>
      </c>
      <c r="E390" s="3" t="s">
        <v>64</v>
      </c>
      <c r="F390" s="3" t="s">
        <v>449</v>
      </c>
      <c r="G390" s="14">
        <v>1</v>
      </c>
      <c r="H390" s="14">
        <v>0</v>
      </c>
      <c r="I390" s="14">
        <v>0</v>
      </c>
      <c r="J390" s="3" t="s">
        <v>98</v>
      </c>
      <c r="K390" s="3" t="s">
        <v>39</v>
      </c>
      <c r="L390" s="3" t="s">
        <v>40</v>
      </c>
      <c r="M390" s="15">
        <v>1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.6">
      <c r="A391" s="13">
        <v>2022</v>
      </c>
      <c r="B391" s="32">
        <v>44788</v>
      </c>
      <c r="C391" s="3" t="s">
        <v>35</v>
      </c>
      <c r="D391" s="3" t="s">
        <v>19</v>
      </c>
      <c r="E391" s="3" t="s">
        <v>66</v>
      </c>
      <c r="F391" s="3" t="s">
        <v>450</v>
      </c>
      <c r="G391" s="14">
        <v>1</v>
      </c>
      <c r="H391" s="14">
        <v>1</v>
      </c>
      <c r="I391" s="14">
        <v>0</v>
      </c>
      <c r="J391" s="3" t="s">
        <v>38</v>
      </c>
      <c r="K391" s="3" t="s">
        <v>39</v>
      </c>
      <c r="L391" s="3" t="s">
        <v>40</v>
      </c>
      <c r="M391" s="15">
        <v>1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.6">
      <c r="A392" s="13">
        <v>2022</v>
      </c>
      <c r="B392" s="32">
        <v>44851</v>
      </c>
      <c r="C392" s="3" t="s">
        <v>35</v>
      </c>
      <c r="D392" s="3" t="s">
        <v>20</v>
      </c>
      <c r="E392" s="3" t="s">
        <v>68</v>
      </c>
      <c r="F392" s="3" t="s">
        <v>451</v>
      </c>
      <c r="G392" s="14">
        <v>1</v>
      </c>
      <c r="H392" s="14">
        <v>1</v>
      </c>
      <c r="I392" s="14">
        <v>0</v>
      </c>
      <c r="J392" s="3" t="s">
        <v>38</v>
      </c>
      <c r="K392" s="3" t="s">
        <v>39</v>
      </c>
      <c r="L392" s="3" t="s">
        <v>40</v>
      </c>
      <c r="M392" s="15">
        <v>1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.6">
      <c r="A393" s="13">
        <v>2022</v>
      </c>
      <c r="B393" s="32">
        <v>44872</v>
      </c>
      <c r="C393" s="3" t="s">
        <v>35</v>
      </c>
      <c r="D393" s="3" t="s">
        <v>20</v>
      </c>
      <c r="E393" s="3" t="s">
        <v>70</v>
      </c>
      <c r="F393" s="3" t="s">
        <v>452</v>
      </c>
      <c r="G393" s="14">
        <v>1</v>
      </c>
      <c r="H393" s="14">
        <v>1</v>
      </c>
      <c r="I393" s="14">
        <v>0</v>
      </c>
      <c r="J393" s="3" t="s">
        <v>38</v>
      </c>
      <c r="K393" s="3" t="s">
        <v>39</v>
      </c>
      <c r="L393" s="3" t="s">
        <v>40</v>
      </c>
      <c r="M393" s="15">
        <v>1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.6">
      <c r="A394" s="13">
        <v>2022</v>
      </c>
      <c r="B394" s="32">
        <v>44879</v>
      </c>
      <c r="C394" s="3" t="s">
        <v>35</v>
      </c>
      <c r="D394" s="3" t="s">
        <v>20</v>
      </c>
      <c r="E394" s="3" t="s">
        <v>72</v>
      </c>
      <c r="F394" s="3" t="s">
        <v>453</v>
      </c>
      <c r="G394" s="14">
        <v>1</v>
      </c>
      <c r="H394" s="14">
        <v>1</v>
      </c>
      <c r="I394" s="14">
        <v>0</v>
      </c>
      <c r="J394" s="3" t="s">
        <v>38</v>
      </c>
      <c r="K394" s="3" t="s">
        <v>39</v>
      </c>
      <c r="L394" s="3" t="s">
        <v>40</v>
      </c>
      <c r="M394" s="15">
        <v>1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.6">
      <c r="A395" s="13">
        <v>2022</v>
      </c>
      <c r="B395" s="32">
        <v>44903</v>
      </c>
      <c r="C395" s="3" t="s">
        <v>45</v>
      </c>
      <c r="D395" s="3" t="s">
        <v>20</v>
      </c>
      <c r="E395" s="3" t="s">
        <v>75</v>
      </c>
      <c r="F395" s="3" t="s">
        <v>454</v>
      </c>
      <c r="G395" s="14">
        <v>1</v>
      </c>
      <c r="H395" s="14">
        <v>1</v>
      </c>
      <c r="I395" s="14">
        <v>0</v>
      </c>
      <c r="J395" s="3" t="s">
        <v>38</v>
      </c>
      <c r="K395" s="3" t="s">
        <v>39</v>
      </c>
      <c r="L395" s="3" t="s">
        <v>40</v>
      </c>
      <c r="M395" s="15">
        <v>1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.6">
      <c r="A396" s="13">
        <v>2022</v>
      </c>
      <c r="B396" s="32">
        <v>44920</v>
      </c>
      <c r="C396" s="3" t="s">
        <v>96</v>
      </c>
      <c r="D396" s="3" t="s">
        <v>20</v>
      </c>
      <c r="E396" s="3" t="s">
        <v>77</v>
      </c>
      <c r="F396" s="3" t="s">
        <v>455</v>
      </c>
      <c r="G396" s="14">
        <v>1</v>
      </c>
      <c r="H396" s="14">
        <v>0</v>
      </c>
      <c r="I396" s="14">
        <v>0</v>
      </c>
      <c r="J396" s="3" t="s">
        <v>98</v>
      </c>
      <c r="K396" s="3" t="s">
        <v>39</v>
      </c>
      <c r="L396" s="3" t="s">
        <v>40</v>
      </c>
      <c r="M396" s="15">
        <v>1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.6">
      <c r="A397" s="13">
        <v>2023</v>
      </c>
      <c r="B397" s="32">
        <v>44927</v>
      </c>
      <c r="C397" s="3" t="s">
        <v>96</v>
      </c>
      <c r="D397" s="3" t="s">
        <v>15</v>
      </c>
      <c r="E397" s="3" t="s">
        <v>36</v>
      </c>
      <c r="F397" s="3" t="s">
        <v>456</v>
      </c>
      <c r="G397" s="14">
        <v>1</v>
      </c>
      <c r="H397" s="14">
        <v>0</v>
      </c>
      <c r="I397" s="14">
        <v>0</v>
      </c>
      <c r="J397" s="3" t="s">
        <v>98</v>
      </c>
      <c r="K397" s="3" t="s">
        <v>39</v>
      </c>
      <c r="L397" s="3" t="s">
        <v>40</v>
      </c>
      <c r="M397" s="15">
        <v>1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.6">
      <c r="A398" s="13">
        <v>2023</v>
      </c>
      <c r="B398" s="32">
        <v>44935</v>
      </c>
      <c r="C398" s="3" t="s">
        <v>35</v>
      </c>
      <c r="D398" s="3" t="s">
        <v>15</v>
      </c>
      <c r="E398" s="3" t="s">
        <v>41</v>
      </c>
      <c r="F398" s="3" t="s">
        <v>457</v>
      </c>
      <c r="G398" s="14">
        <v>1</v>
      </c>
      <c r="H398" s="14">
        <v>1</v>
      </c>
      <c r="I398" s="14">
        <v>0</v>
      </c>
      <c r="J398" s="3" t="s">
        <v>38</v>
      </c>
      <c r="K398" s="3" t="s">
        <v>39</v>
      </c>
      <c r="L398" s="3" t="s">
        <v>40</v>
      </c>
      <c r="M398" s="15">
        <v>1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.6">
      <c r="A399" s="13">
        <v>2023</v>
      </c>
      <c r="B399" s="32">
        <v>45005</v>
      </c>
      <c r="C399" s="3" t="s">
        <v>35</v>
      </c>
      <c r="D399" s="3" t="s">
        <v>15</v>
      </c>
      <c r="E399" s="3" t="s">
        <v>43</v>
      </c>
      <c r="F399" s="3" t="s">
        <v>458</v>
      </c>
      <c r="G399" s="14">
        <v>1</v>
      </c>
      <c r="H399" s="14">
        <v>1</v>
      </c>
      <c r="I399" s="14">
        <v>0</v>
      </c>
      <c r="J399" s="3" t="s">
        <v>38</v>
      </c>
      <c r="K399" s="3" t="s">
        <v>39</v>
      </c>
      <c r="L399" s="3" t="s">
        <v>40</v>
      </c>
      <c r="M399" s="15">
        <v>1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.6">
      <c r="A400" s="13">
        <v>2023</v>
      </c>
      <c r="B400" s="32">
        <v>45022</v>
      </c>
      <c r="C400" s="3" t="s">
        <v>45</v>
      </c>
      <c r="D400" s="3" t="s">
        <v>17</v>
      </c>
      <c r="E400" s="3" t="s">
        <v>46</v>
      </c>
      <c r="F400" s="3" t="s">
        <v>459</v>
      </c>
      <c r="G400" s="14">
        <v>1</v>
      </c>
      <c r="H400" s="14">
        <v>1</v>
      </c>
      <c r="I400" s="14">
        <v>0</v>
      </c>
      <c r="J400" s="3" t="s">
        <v>38</v>
      </c>
      <c r="K400" s="3" t="s">
        <v>39</v>
      </c>
      <c r="L400" s="3" t="s">
        <v>40</v>
      </c>
      <c r="M400" s="15">
        <v>1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.6">
      <c r="A401" s="13">
        <v>2023</v>
      </c>
      <c r="B401" s="32">
        <v>45023</v>
      </c>
      <c r="C401" s="3" t="s">
        <v>48</v>
      </c>
      <c r="D401" s="3" t="s">
        <v>17</v>
      </c>
      <c r="E401" s="3" t="s">
        <v>49</v>
      </c>
      <c r="F401" s="3" t="s">
        <v>460</v>
      </c>
      <c r="G401" s="14">
        <v>1</v>
      </c>
      <c r="H401" s="14">
        <v>1</v>
      </c>
      <c r="I401" s="14">
        <v>0</v>
      </c>
      <c r="J401" s="3" t="s">
        <v>38</v>
      </c>
      <c r="K401" s="3" t="s">
        <v>39</v>
      </c>
      <c r="L401" s="3" t="s">
        <v>40</v>
      </c>
      <c r="M401" s="15">
        <v>1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.6">
      <c r="A402" s="13">
        <v>2023</v>
      </c>
      <c r="B402" s="32">
        <v>45047</v>
      </c>
      <c r="C402" s="3" t="s">
        <v>35</v>
      </c>
      <c r="D402" s="3" t="s">
        <v>17</v>
      </c>
      <c r="E402" s="3" t="s">
        <v>52</v>
      </c>
      <c r="F402" s="3" t="s">
        <v>461</v>
      </c>
      <c r="G402" s="14">
        <v>1</v>
      </c>
      <c r="H402" s="14">
        <v>1</v>
      </c>
      <c r="I402" s="14">
        <v>0</v>
      </c>
      <c r="J402" s="3" t="s">
        <v>38</v>
      </c>
      <c r="K402" s="3" t="s">
        <v>39</v>
      </c>
      <c r="L402" s="3" t="s">
        <v>40</v>
      </c>
      <c r="M402" s="15">
        <v>1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.6">
      <c r="A403" s="13">
        <v>2023</v>
      </c>
      <c r="B403" s="32">
        <v>45068</v>
      </c>
      <c r="C403" s="3" t="s">
        <v>35</v>
      </c>
      <c r="D403" s="3" t="s">
        <v>17</v>
      </c>
      <c r="E403" s="3" t="s">
        <v>54</v>
      </c>
      <c r="F403" s="3" t="s">
        <v>462</v>
      </c>
      <c r="G403" s="14">
        <v>1</v>
      </c>
      <c r="H403" s="14">
        <v>1</v>
      </c>
      <c r="I403" s="14">
        <v>0</v>
      </c>
      <c r="J403" s="3" t="s">
        <v>38</v>
      </c>
      <c r="K403" s="3" t="s">
        <v>39</v>
      </c>
      <c r="L403" s="3" t="s">
        <v>40</v>
      </c>
      <c r="M403" s="15">
        <v>1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.6">
      <c r="A404" s="13">
        <v>2023</v>
      </c>
      <c r="B404" s="32">
        <v>45089</v>
      </c>
      <c r="C404" s="3" t="s">
        <v>35</v>
      </c>
      <c r="D404" s="3" t="s">
        <v>17</v>
      </c>
      <c r="E404" s="3" t="s">
        <v>56</v>
      </c>
      <c r="F404" s="3" t="s">
        <v>463</v>
      </c>
      <c r="G404" s="14">
        <v>1</v>
      </c>
      <c r="H404" s="14">
        <v>1</v>
      </c>
      <c r="I404" s="14">
        <v>0</v>
      </c>
      <c r="J404" s="3" t="s">
        <v>38</v>
      </c>
      <c r="K404" s="3" t="s">
        <v>39</v>
      </c>
      <c r="L404" s="3" t="s">
        <v>40</v>
      </c>
      <c r="M404" s="15">
        <v>1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.6">
      <c r="A405" s="13">
        <v>2023</v>
      </c>
      <c r="B405" s="32">
        <v>45096</v>
      </c>
      <c r="C405" s="3" t="s">
        <v>35</v>
      </c>
      <c r="D405" s="3" t="s">
        <v>17</v>
      </c>
      <c r="E405" s="3" t="s">
        <v>58</v>
      </c>
      <c r="F405" s="3" t="s">
        <v>464</v>
      </c>
      <c r="G405" s="14">
        <v>1</v>
      </c>
      <c r="H405" s="14">
        <v>1</v>
      </c>
      <c r="I405" s="14">
        <v>0</v>
      </c>
      <c r="J405" s="3" t="s">
        <v>38</v>
      </c>
      <c r="K405" s="3" t="s">
        <v>39</v>
      </c>
      <c r="L405" s="3" t="s">
        <v>40</v>
      </c>
      <c r="M405" s="15">
        <v>1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.6">
      <c r="A406" s="13">
        <v>2023</v>
      </c>
      <c r="B406" s="32">
        <v>45110</v>
      </c>
      <c r="C406" s="3" t="s">
        <v>35</v>
      </c>
      <c r="D406" s="3" t="s">
        <v>19</v>
      </c>
      <c r="E406" s="3" t="s">
        <v>60</v>
      </c>
      <c r="F406" s="3" t="s">
        <v>465</v>
      </c>
      <c r="G406" s="14">
        <v>1</v>
      </c>
      <c r="H406" s="14">
        <v>1</v>
      </c>
      <c r="I406" s="14">
        <v>0</v>
      </c>
      <c r="J406" s="3" t="s">
        <v>38</v>
      </c>
      <c r="K406" s="3" t="s">
        <v>39</v>
      </c>
      <c r="L406" s="3" t="s">
        <v>40</v>
      </c>
      <c r="M406" s="15">
        <v>1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.6">
      <c r="A407" s="13">
        <v>2023</v>
      </c>
      <c r="B407" s="32">
        <v>45127</v>
      </c>
      <c r="C407" s="3" t="s">
        <v>45</v>
      </c>
      <c r="D407" s="3" t="s">
        <v>19</v>
      </c>
      <c r="E407" s="3" t="s">
        <v>62</v>
      </c>
      <c r="F407" s="3" t="s">
        <v>466</v>
      </c>
      <c r="G407" s="14">
        <v>1</v>
      </c>
      <c r="H407" s="14">
        <v>1</v>
      </c>
      <c r="I407" s="14">
        <v>0</v>
      </c>
      <c r="J407" s="3" t="s">
        <v>38</v>
      </c>
      <c r="K407" s="3" t="s">
        <v>39</v>
      </c>
      <c r="L407" s="3" t="s">
        <v>40</v>
      </c>
      <c r="M407" s="15">
        <v>1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.6">
      <c r="A408" s="13">
        <v>2023</v>
      </c>
      <c r="B408" s="32">
        <v>45145</v>
      </c>
      <c r="C408" s="3" t="s">
        <v>35</v>
      </c>
      <c r="D408" s="3" t="s">
        <v>19</v>
      </c>
      <c r="E408" s="3" t="s">
        <v>64</v>
      </c>
      <c r="F408" s="3" t="s">
        <v>467</v>
      </c>
      <c r="G408" s="14">
        <v>1</v>
      </c>
      <c r="H408" s="14">
        <v>1</v>
      </c>
      <c r="I408" s="14">
        <v>0</v>
      </c>
      <c r="J408" s="3" t="s">
        <v>38</v>
      </c>
      <c r="K408" s="3" t="s">
        <v>39</v>
      </c>
      <c r="L408" s="3" t="s">
        <v>40</v>
      </c>
      <c r="M408" s="15">
        <v>1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.6">
      <c r="A409" s="13">
        <v>2023</v>
      </c>
      <c r="B409" s="32">
        <v>45159</v>
      </c>
      <c r="C409" s="3" t="s">
        <v>35</v>
      </c>
      <c r="D409" s="3" t="s">
        <v>19</v>
      </c>
      <c r="E409" s="3" t="s">
        <v>66</v>
      </c>
      <c r="F409" s="3" t="s">
        <v>468</v>
      </c>
      <c r="G409" s="14">
        <v>1</v>
      </c>
      <c r="H409" s="14">
        <v>1</v>
      </c>
      <c r="I409" s="14">
        <v>0</v>
      </c>
      <c r="J409" s="3" t="s">
        <v>38</v>
      </c>
      <c r="K409" s="3" t="s">
        <v>39</v>
      </c>
      <c r="L409" s="3" t="s">
        <v>40</v>
      </c>
      <c r="M409" s="15">
        <v>1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.6">
      <c r="A410" s="13">
        <v>2023</v>
      </c>
      <c r="B410" s="32">
        <v>45215</v>
      </c>
      <c r="C410" s="3" t="s">
        <v>35</v>
      </c>
      <c r="D410" s="3" t="s">
        <v>20</v>
      </c>
      <c r="E410" s="3" t="s">
        <v>68</v>
      </c>
      <c r="F410" s="3" t="s">
        <v>469</v>
      </c>
      <c r="G410" s="14">
        <v>1</v>
      </c>
      <c r="H410" s="14">
        <v>1</v>
      </c>
      <c r="I410" s="14">
        <v>0</v>
      </c>
      <c r="J410" s="3" t="s">
        <v>38</v>
      </c>
      <c r="K410" s="3" t="s">
        <v>39</v>
      </c>
      <c r="L410" s="3" t="s">
        <v>40</v>
      </c>
      <c r="M410" s="15">
        <v>1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.6">
      <c r="A411" s="13">
        <v>2023</v>
      </c>
      <c r="B411" s="32">
        <v>45236</v>
      </c>
      <c r="C411" s="3" t="s">
        <v>35</v>
      </c>
      <c r="D411" s="3" t="s">
        <v>20</v>
      </c>
      <c r="E411" s="3" t="s">
        <v>70</v>
      </c>
      <c r="F411" s="3" t="s">
        <v>470</v>
      </c>
      <c r="G411" s="14">
        <v>1</v>
      </c>
      <c r="H411" s="14">
        <v>1</v>
      </c>
      <c r="I411" s="14">
        <v>0</v>
      </c>
      <c r="J411" s="3" t="s">
        <v>38</v>
      </c>
      <c r="K411" s="3" t="s">
        <v>39</v>
      </c>
      <c r="L411" s="3" t="s">
        <v>40</v>
      </c>
      <c r="M411" s="15">
        <v>1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.6">
      <c r="A412" s="13">
        <v>2023</v>
      </c>
      <c r="B412" s="32">
        <v>45243</v>
      </c>
      <c r="C412" s="3" t="s">
        <v>35</v>
      </c>
      <c r="D412" s="3" t="s">
        <v>20</v>
      </c>
      <c r="E412" s="3" t="s">
        <v>72</v>
      </c>
      <c r="F412" s="3" t="s">
        <v>471</v>
      </c>
      <c r="G412" s="14">
        <v>1</v>
      </c>
      <c r="H412" s="14">
        <v>1</v>
      </c>
      <c r="I412" s="14">
        <v>0</v>
      </c>
      <c r="J412" s="3" t="s">
        <v>38</v>
      </c>
      <c r="K412" s="3" t="s">
        <v>39</v>
      </c>
      <c r="L412" s="3" t="s">
        <v>40</v>
      </c>
      <c r="M412" s="15">
        <v>1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.6">
      <c r="A413" s="13">
        <v>2023</v>
      </c>
      <c r="B413" s="32">
        <v>45268</v>
      </c>
      <c r="C413" s="3" t="s">
        <v>48</v>
      </c>
      <c r="D413" s="3" t="s">
        <v>20</v>
      </c>
      <c r="E413" s="3" t="s">
        <v>75</v>
      </c>
      <c r="F413" s="3" t="s">
        <v>472</v>
      </c>
      <c r="G413" s="14">
        <v>1</v>
      </c>
      <c r="H413" s="14">
        <v>1</v>
      </c>
      <c r="I413" s="14">
        <v>0</v>
      </c>
      <c r="J413" s="3" t="s">
        <v>38</v>
      </c>
      <c r="K413" s="3" t="s">
        <v>39</v>
      </c>
      <c r="L413" s="3" t="s">
        <v>40</v>
      </c>
      <c r="M413" s="15">
        <v>1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.6">
      <c r="A414" s="13">
        <v>2023</v>
      </c>
      <c r="B414" s="32">
        <v>45285</v>
      </c>
      <c r="C414" s="3" t="s">
        <v>35</v>
      </c>
      <c r="D414" s="3" t="s">
        <v>20</v>
      </c>
      <c r="E414" s="3" t="s">
        <v>77</v>
      </c>
      <c r="F414" s="3" t="s">
        <v>473</v>
      </c>
      <c r="G414" s="14">
        <v>1</v>
      </c>
      <c r="H414" s="14">
        <v>1</v>
      </c>
      <c r="I414" s="14">
        <v>0</v>
      </c>
      <c r="J414" s="3" t="s">
        <v>38</v>
      </c>
      <c r="K414" s="3" t="s">
        <v>39</v>
      </c>
      <c r="L414" s="3" t="s">
        <v>40</v>
      </c>
      <c r="M414" s="15">
        <v>1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.6">
      <c r="A415" s="13">
        <v>2024</v>
      </c>
      <c r="B415" s="32">
        <v>45292</v>
      </c>
      <c r="C415" s="3" t="s">
        <v>35</v>
      </c>
      <c r="D415" s="3" t="s">
        <v>15</v>
      </c>
      <c r="E415" s="3" t="s">
        <v>36</v>
      </c>
      <c r="F415" s="3" t="s">
        <v>474</v>
      </c>
      <c r="G415" s="14">
        <v>1</v>
      </c>
      <c r="H415" s="14">
        <v>1</v>
      </c>
      <c r="I415" s="14">
        <v>0</v>
      </c>
      <c r="J415" s="3" t="s">
        <v>38</v>
      </c>
      <c r="K415" s="3" t="s">
        <v>39</v>
      </c>
      <c r="L415" s="3" t="s">
        <v>40</v>
      </c>
      <c r="M415" s="15">
        <v>1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.6">
      <c r="A416" s="13">
        <v>2024</v>
      </c>
      <c r="B416" s="32">
        <v>45299</v>
      </c>
      <c r="C416" s="3" t="s">
        <v>35</v>
      </c>
      <c r="D416" s="3" t="s">
        <v>15</v>
      </c>
      <c r="E416" s="3" t="s">
        <v>41</v>
      </c>
      <c r="F416" s="3" t="s">
        <v>475</v>
      </c>
      <c r="G416" s="14">
        <v>1</v>
      </c>
      <c r="H416" s="14">
        <v>1</v>
      </c>
      <c r="I416" s="14">
        <v>0</v>
      </c>
      <c r="J416" s="3" t="s">
        <v>38</v>
      </c>
      <c r="K416" s="3" t="s">
        <v>39</v>
      </c>
      <c r="L416" s="3" t="s">
        <v>40</v>
      </c>
      <c r="M416" s="15">
        <v>1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.6">
      <c r="A417" s="13">
        <v>2024</v>
      </c>
      <c r="B417" s="32">
        <v>45376</v>
      </c>
      <c r="C417" s="3" t="s">
        <v>35</v>
      </c>
      <c r="D417" s="3" t="s">
        <v>15</v>
      </c>
      <c r="E417" s="3" t="s">
        <v>43</v>
      </c>
      <c r="F417" s="3" t="s">
        <v>476</v>
      </c>
      <c r="G417" s="14">
        <v>1</v>
      </c>
      <c r="H417" s="14">
        <v>1</v>
      </c>
      <c r="I417" s="14">
        <v>0</v>
      </c>
      <c r="J417" s="3" t="s">
        <v>38</v>
      </c>
      <c r="K417" s="3" t="s">
        <v>39</v>
      </c>
      <c r="L417" s="3" t="s">
        <v>40</v>
      </c>
      <c r="M417" s="15">
        <v>1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.6">
      <c r="A418" s="13">
        <v>2024</v>
      </c>
      <c r="B418" s="32">
        <v>45379</v>
      </c>
      <c r="C418" s="3" t="s">
        <v>45</v>
      </c>
      <c r="D418" s="3" t="s">
        <v>15</v>
      </c>
      <c r="E418" s="3" t="s">
        <v>46</v>
      </c>
      <c r="F418" s="3" t="s">
        <v>477</v>
      </c>
      <c r="G418" s="14">
        <v>1</v>
      </c>
      <c r="H418" s="14">
        <v>1</v>
      </c>
      <c r="I418" s="14">
        <v>0</v>
      </c>
      <c r="J418" s="3" t="s">
        <v>38</v>
      </c>
      <c r="K418" s="3" t="s">
        <v>39</v>
      </c>
      <c r="L418" s="3" t="s">
        <v>40</v>
      </c>
      <c r="M418" s="15">
        <v>1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.6">
      <c r="A419" s="13">
        <v>2024</v>
      </c>
      <c r="B419" s="32">
        <v>45380</v>
      </c>
      <c r="C419" s="3" t="s">
        <v>48</v>
      </c>
      <c r="D419" s="3" t="s">
        <v>15</v>
      </c>
      <c r="E419" s="3" t="s">
        <v>49</v>
      </c>
      <c r="F419" s="3" t="s">
        <v>478</v>
      </c>
      <c r="G419" s="14">
        <v>1</v>
      </c>
      <c r="H419" s="14">
        <v>1</v>
      </c>
      <c r="I419" s="14">
        <v>0</v>
      </c>
      <c r="J419" s="3" t="s">
        <v>38</v>
      </c>
      <c r="K419" s="3" t="s">
        <v>39</v>
      </c>
      <c r="L419" s="3" t="s">
        <v>40</v>
      </c>
      <c r="M419" s="15">
        <v>1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.6">
      <c r="A420" s="13">
        <v>2024</v>
      </c>
      <c r="B420" s="32">
        <v>45413</v>
      </c>
      <c r="C420" s="3" t="s">
        <v>84</v>
      </c>
      <c r="D420" s="3" t="s">
        <v>17</v>
      </c>
      <c r="E420" s="3" t="s">
        <v>52</v>
      </c>
      <c r="F420" s="3" t="s">
        <v>479</v>
      </c>
      <c r="G420" s="14">
        <v>1</v>
      </c>
      <c r="H420" s="14">
        <v>1</v>
      </c>
      <c r="I420" s="14">
        <v>0</v>
      </c>
      <c r="J420" s="3" t="s">
        <v>38</v>
      </c>
      <c r="K420" s="3" t="s">
        <v>39</v>
      </c>
      <c r="L420" s="3" t="s">
        <v>40</v>
      </c>
      <c r="M420" s="15">
        <v>1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.6">
      <c r="A421" s="13">
        <v>2024</v>
      </c>
      <c r="B421" s="32">
        <v>45425</v>
      </c>
      <c r="C421" s="3" t="s">
        <v>35</v>
      </c>
      <c r="D421" s="3" t="s">
        <v>17</v>
      </c>
      <c r="E421" s="3" t="s">
        <v>54</v>
      </c>
      <c r="F421" s="3" t="s">
        <v>480</v>
      </c>
      <c r="G421" s="14">
        <v>1</v>
      </c>
      <c r="H421" s="14">
        <v>1</v>
      </c>
      <c r="I421" s="14">
        <v>0</v>
      </c>
      <c r="J421" s="3" t="s">
        <v>38</v>
      </c>
      <c r="K421" s="3" t="s">
        <v>39</v>
      </c>
      <c r="L421" s="3" t="s">
        <v>40</v>
      </c>
      <c r="M421" s="15">
        <v>1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.6">
      <c r="A422" s="13">
        <v>2024</v>
      </c>
      <c r="B422" s="32">
        <v>45446</v>
      </c>
      <c r="C422" s="3" t="s">
        <v>35</v>
      </c>
      <c r="D422" s="3" t="s">
        <v>17</v>
      </c>
      <c r="E422" s="3" t="s">
        <v>56</v>
      </c>
      <c r="F422" s="3" t="s">
        <v>481</v>
      </c>
      <c r="G422" s="14">
        <v>1</v>
      </c>
      <c r="H422" s="14">
        <v>1</v>
      </c>
      <c r="I422" s="14">
        <v>0</v>
      </c>
      <c r="J422" s="3" t="s">
        <v>38</v>
      </c>
      <c r="K422" s="3" t="s">
        <v>39</v>
      </c>
      <c r="L422" s="3" t="s">
        <v>40</v>
      </c>
      <c r="M422" s="15">
        <v>1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.6">
      <c r="A423" s="13">
        <v>2024</v>
      </c>
      <c r="B423" s="32">
        <v>45453</v>
      </c>
      <c r="C423" s="3" t="s">
        <v>35</v>
      </c>
      <c r="D423" s="3" t="s">
        <v>17</v>
      </c>
      <c r="E423" s="3" t="s">
        <v>58</v>
      </c>
      <c r="F423" s="3" t="s">
        <v>482</v>
      </c>
      <c r="G423" s="14">
        <v>1</v>
      </c>
      <c r="H423" s="14">
        <v>1</v>
      </c>
      <c r="I423" s="14">
        <v>0</v>
      </c>
      <c r="J423" s="3" t="s">
        <v>38</v>
      </c>
      <c r="K423" s="3" t="s">
        <v>39</v>
      </c>
      <c r="L423" s="3" t="s">
        <v>40</v>
      </c>
      <c r="M423" s="15">
        <v>1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.6">
      <c r="A424" s="13">
        <v>2024</v>
      </c>
      <c r="B424" s="32">
        <v>45474</v>
      </c>
      <c r="C424" s="3" t="s">
        <v>35</v>
      </c>
      <c r="D424" s="3" t="s">
        <v>19</v>
      </c>
      <c r="E424" s="3" t="s">
        <v>60</v>
      </c>
      <c r="F424" s="3" t="s">
        <v>483</v>
      </c>
      <c r="G424" s="14">
        <v>1</v>
      </c>
      <c r="H424" s="14">
        <v>1</v>
      </c>
      <c r="I424" s="14">
        <v>0</v>
      </c>
      <c r="J424" s="3" t="s">
        <v>38</v>
      </c>
      <c r="K424" s="3" t="s">
        <v>39</v>
      </c>
      <c r="L424" s="3" t="s">
        <v>40</v>
      </c>
      <c r="M424" s="15">
        <v>1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.6">
      <c r="A425" s="13">
        <v>2024</v>
      </c>
      <c r="B425" s="32">
        <v>45493</v>
      </c>
      <c r="C425" s="3" t="s">
        <v>74</v>
      </c>
      <c r="D425" s="3" t="s">
        <v>19</v>
      </c>
      <c r="E425" s="3" t="s">
        <v>62</v>
      </c>
      <c r="F425" s="3" t="s">
        <v>484</v>
      </c>
      <c r="G425" s="14">
        <v>1</v>
      </c>
      <c r="H425" s="14">
        <v>1</v>
      </c>
      <c r="I425" s="14">
        <v>0</v>
      </c>
      <c r="J425" s="3" t="s">
        <v>38</v>
      </c>
      <c r="K425" s="3" t="s">
        <v>39</v>
      </c>
      <c r="L425" s="3" t="s">
        <v>40</v>
      </c>
      <c r="M425" s="15">
        <v>1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.6">
      <c r="A426" s="13">
        <v>2024</v>
      </c>
      <c r="B426" s="32">
        <v>45511</v>
      </c>
      <c r="C426" s="3" t="s">
        <v>84</v>
      </c>
      <c r="D426" s="3" t="s">
        <v>19</v>
      </c>
      <c r="E426" s="3" t="s">
        <v>64</v>
      </c>
      <c r="F426" s="3" t="s">
        <v>485</v>
      </c>
      <c r="G426" s="14">
        <v>1</v>
      </c>
      <c r="H426" s="14">
        <v>1</v>
      </c>
      <c r="I426" s="14">
        <v>0</v>
      </c>
      <c r="J426" s="3" t="s">
        <v>38</v>
      </c>
      <c r="K426" s="3" t="s">
        <v>39</v>
      </c>
      <c r="L426" s="3" t="s">
        <v>40</v>
      </c>
      <c r="M426" s="15">
        <v>1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.6">
      <c r="A427" s="13">
        <v>2024</v>
      </c>
      <c r="B427" s="32">
        <v>45523</v>
      </c>
      <c r="C427" s="3" t="s">
        <v>35</v>
      </c>
      <c r="D427" s="3" t="s">
        <v>19</v>
      </c>
      <c r="E427" s="3" t="s">
        <v>66</v>
      </c>
      <c r="F427" s="3" t="s">
        <v>486</v>
      </c>
      <c r="G427" s="14">
        <v>1</v>
      </c>
      <c r="H427" s="14">
        <v>1</v>
      </c>
      <c r="I427" s="14">
        <v>0</v>
      </c>
      <c r="J427" s="3" t="s">
        <v>38</v>
      </c>
      <c r="K427" s="3" t="s">
        <v>39</v>
      </c>
      <c r="L427" s="3" t="s">
        <v>40</v>
      </c>
      <c r="M427" s="15">
        <v>1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.6">
      <c r="A428" s="13">
        <v>2024</v>
      </c>
      <c r="B428" s="32">
        <v>45579</v>
      </c>
      <c r="C428" s="3" t="s">
        <v>35</v>
      </c>
      <c r="D428" s="3" t="s">
        <v>20</v>
      </c>
      <c r="E428" s="3" t="s">
        <v>68</v>
      </c>
      <c r="F428" s="3" t="s">
        <v>487</v>
      </c>
      <c r="G428" s="14">
        <v>1</v>
      </c>
      <c r="H428" s="14">
        <v>1</v>
      </c>
      <c r="I428" s="14">
        <v>0</v>
      </c>
      <c r="J428" s="3" t="s">
        <v>38</v>
      </c>
      <c r="K428" s="3" t="s">
        <v>39</v>
      </c>
      <c r="L428" s="3" t="s">
        <v>40</v>
      </c>
      <c r="M428" s="15">
        <v>1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.6">
      <c r="A429" s="13">
        <v>2024</v>
      </c>
      <c r="B429" s="32">
        <v>45600</v>
      </c>
      <c r="C429" s="3" t="s">
        <v>35</v>
      </c>
      <c r="D429" s="3" t="s">
        <v>20</v>
      </c>
      <c r="E429" s="3" t="s">
        <v>70</v>
      </c>
      <c r="F429" s="3" t="s">
        <v>488</v>
      </c>
      <c r="G429" s="14">
        <v>1</v>
      </c>
      <c r="H429" s="14">
        <v>1</v>
      </c>
      <c r="I429" s="14">
        <v>0</v>
      </c>
      <c r="J429" s="3" t="s">
        <v>38</v>
      </c>
      <c r="K429" s="3" t="s">
        <v>39</v>
      </c>
      <c r="L429" s="3" t="s">
        <v>40</v>
      </c>
      <c r="M429" s="15">
        <v>1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.6">
      <c r="A430" s="13">
        <v>2024</v>
      </c>
      <c r="B430" s="32">
        <v>45607</v>
      </c>
      <c r="C430" s="3" t="s">
        <v>35</v>
      </c>
      <c r="D430" s="3" t="s">
        <v>20</v>
      </c>
      <c r="E430" s="3" t="s">
        <v>72</v>
      </c>
      <c r="F430" s="3" t="s">
        <v>489</v>
      </c>
      <c r="G430" s="14">
        <v>1</v>
      </c>
      <c r="H430" s="14">
        <v>1</v>
      </c>
      <c r="I430" s="14">
        <v>0</v>
      </c>
      <c r="J430" s="3" t="s">
        <v>38</v>
      </c>
      <c r="K430" s="3" t="s">
        <v>39</v>
      </c>
      <c r="L430" s="3" t="s">
        <v>40</v>
      </c>
      <c r="M430" s="15">
        <v>1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.6">
      <c r="A431" s="13">
        <v>2024</v>
      </c>
      <c r="B431" s="32">
        <v>45634</v>
      </c>
      <c r="C431" s="3" t="s">
        <v>96</v>
      </c>
      <c r="D431" s="3" t="s">
        <v>20</v>
      </c>
      <c r="E431" s="3" t="s">
        <v>75</v>
      </c>
      <c r="F431" s="3" t="s">
        <v>490</v>
      </c>
      <c r="G431" s="14">
        <v>1</v>
      </c>
      <c r="H431" s="14">
        <v>0</v>
      </c>
      <c r="I431" s="14">
        <v>0</v>
      </c>
      <c r="J431" s="3" t="s">
        <v>98</v>
      </c>
      <c r="K431" s="3" t="s">
        <v>39</v>
      </c>
      <c r="L431" s="3" t="s">
        <v>40</v>
      </c>
      <c r="M431" s="15">
        <v>1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.6">
      <c r="A432" s="13">
        <v>2024</v>
      </c>
      <c r="B432" s="32">
        <v>45651</v>
      </c>
      <c r="C432" s="3" t="s">
        <v>84</v>
      </c>
      <c r="D432" s="3" t="s">
        <v>20</v>
      </c>
      <c r="E432" s="3" t="s">
        <v>77</v>
      </c>
      <c r="F432" s="3" t="s">
        <v>491</v>
      </c>
      <c r="G432" s="14">
        <v>1</v>
      </c>
      <c r="H432" s="14">
        <v>1</v>
      </c>
      <c r="I432" s="14">
        <v>0</v>
      </c>
      <c r="J432" s="3" t="s">
        <v>38</v>
      </c>
      <c r="K432" s="3" t="s">
        <v>39</v>
      </c>
      <c r="L432" s="3" t="s">
        <v>40</v>
      </c>
      <c r="M432" s="15">
        <v>1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.6">
      <c r="A433" s="13">
        <v>2025</v>
      </c>
      <c r="B433" s="32">
        <v>45658</v>
      </c>
      <c r="C433" s="3" t="s">
        <v>84</v>
      </c>
      <c r="D433" s="3" t="s">
        <v>15</v>
      </c>
      <c r="E433" s="3" t="s">
        <v>36</v>
      </c>
      <c r="F433" s="3" t="s">
        <v>492</v>
      </c>
      <c r="G433" s="14">
        <v>1</v>
      </c>
      <c r="H433" s="14">
        <v>1</v>
      </c>
      <c r="I433" s="14">
        <v>0</v>
      </c>
      <c r="J433" s="3" t="s">
        <v>38</v>
      </c>
      <c r="K433" s="3" t="s">
        <v>39</v>
      </c>
      <c r="L433" s="3" t="s">
        <v>40</v>
      </c>
      <c r="M433" s="15">
        <v>1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.6">
      <c r="A434" s="13">
        <v>2025</v>
      </c>
      <c r="B434" s="32">
        <v>45663</v>
      </c>
      <c r="C434" s="3" t="s">
        <v>35</v>
      </c>
      <c r="D434" s="3" t="s">
        <v>15</v>
      </c>
      <c r="E434" s="3" t="s">
        <v>41</v>
      </c>
      <c r="F434" s="3" t="s">
        <v>493</v>
      </c>
      <c r="G434" s="14">
        <v>1</v>
      </c>
      <c r="H434" s="14">
        <v>1</v>
      </c>
      <c r="I434" s="14">
        <v>0</v>
      </c>
      <c r="J434" s="3" t="s">
        <v>38</v>
      </c>
      <c r="K434" s="3" t="s">
        <v>39</v>
      </c>
      <c r="L434" s="3" t="s">
        <v>40</v>
      </c>
      <c r="M434" s="15">
        <v>1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.6">
      <c r="A435" s="13">
        <v>2025</v>
      </c>
      <c r="B435" s="32">
        <v>45740</v>
      </c>
      <c r="C435" s="3" t="s">
        <v>35</v>
      </c>
      <c r="D435" s="3" t="s">
        <v>15</v>
      </c>
      <c r="E435" s="3" t="s">
        <v>43</v>
      </c>
      <c r="F435" s="3" t="s">
        <v>494</v>
      </c>
      <c r="G435" s="14">
        <v>1</v>
      </c>
      <c r="H435" s="14">
        <v>1</v>
      </c>
      <c r="I435" s="14">
        <v>0</v>
      </c>
      <c r="J435" s="3" t="s">
        <v>38</v>
      </c>
      <c r="K435" s="3" t="s">
        <v>39</v>
      </c>
      <c r="L435" s="3" t="s">
        <v>40</v>
      </c>
      <c r="M435" s="15">
        <v>1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.6">
      <c r="A436" s="13">
        <v>2025</v>
      </c>
      <c r="B436" s="32">
        <v>45764</v>
      </c>
      <c r="C436" s="3" t="s">
        <v>45</v>
      </c>
      <c r="D436" s="3" t="s">
        <v>17</v>
      </c>
      <c r="E436" s="3" t="s">
        <v>46</v>
      </c>
      <c r="F436" s="3" t="s">
        <v>495</v>
      </c>
      <c r="G436" s="14">
        <v>1</v>
      </c>
      <c r="H436" s="14">
        <v>1</v>
      </c>
      <c r="I436" s="14">
        <v>0</v>
      </c>
      <c r="J436" s="3" t="s">
        <v>38</v>
      </c>
      <c r="K436" s="3" t="s">
        <v>39</v>
      </c>
      <c r="L436" s="3" t="s">
        <v>40</v>
      </c>
      <c r="M436" s="15">
        <v>1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.6">
      <c r="A437" s="13">
        <v>2025</v>
      </c>
      <c r="B437" s="32">
        <v>45765</v>
      </c>
      <c r="C437" s="3" t="s">
        <v>48</v>
      </c>
      <c r="D437" s="3" t="s">
        <v>17</v>
      </c>
      <c r="E437" s="3" t="s">
        <v>49</v>
      </c>
      <c r="F437" s="3" t="s">
        <v>496</v>
      </c>
      <c r="G437" s="14">
        <v>1</v>
      </c>
      <c r="H437" s="14">
        <v>1</v>
      </c>
      <c r="I437" s="14">
        <v>0</v>
      </c>
      <c r="J437" s="3" t="s">
        <v>38</v>
      </c>
      <c r="K437" s="3" t="s">
        <v>39</v>
      </c>
      <c r="L437" s="3" t="s">
        <v>40</v>
      </c>
      <c r="M437" s="15">
        <v>1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.6">
      <c r="A438" s="13">
        <v>2025</v>
      </c>
      <c r="B438" s="32">
        <v>45778</v>
      </c>
      <c r="C438" s="3" t="s">
        <v>45</v>
      </c>
      <c r="D438" s="3" t="s">
        <v>17</v>
      </c>
      <c r="E438" s="3" t="s">
        <v>52</v>
      </c>
      <c r="F438" s="3" t="s">
        <v>497</v>
      </c>
      <c r="G438" s="14">
        <v>1</v>
      </c>
      <c r="H438" s="14">
        <v>1</v>
      </c>
      <c r="I438" s="14">
        <v>0</v>
      </c>
      <c r="J438" s="3" t="s">
        <v>38</v>
      </c>
      <c r="K438" s="3" t="s">
        <v>39</v>
      </c>
      <c r="L438" s="3" t="s">
        <v>40</v>
      </c>
      <c r="M438" s="15">
        <v>1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.6">
      <c r="A439" s="13">
        <v>2025</v>
      </c>
      <c r="B439" s="32">
        <v>45810</v>
      </c>
      <c r="C439" s="3" t="s">
        <v>35</v>
      </c>
      <c r="D439" s="3" t="s">
        <v>17</v>
      </c>
      <c r="E439" s="3" t="s">
        <v>54</v>
      </c>
      <c r="F439" s="3" t="s">
        <v>498</v>
      </c>
      <c r="G439" s="14">
        <v>1</v>
      </c>
      <c r="H439" s="14">
        <v>1</v>
      </c>
      <c r="I439" s="14">
        <v>0</v>
      </c>
      <c r="J439" s="3" t="s">
        <v>38</v>
      </c>
      <c r="K439" s="3" t="s">
        <v>39</v>
      </c>
      <c r="L439" s="3" t="s">
        <v>40</v>
      </c>
      <c r="M439" s="15">
        <v>1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.6">
      <c r="A440" s="13">
        <v>2025</v>
      </c>
      <c r="B440" s="32">
        <v>45831</v>
      </c>
      <c r="C440" s="3" t="s">
        <v>35</v>
      </c>
      <c r="D440" s="3" t="s">
        <v>17</v>
      </c>
      <c r="E440" s="3" t="s">
        <v>56</v>
      </c>
      <c r="F440" s="3" t="s">
        <v>499</v>
      </c>
      <c r="G440" s="14">
        <v>1</v>
      </c>
      <c r="H440" s="14">
        <v>1</v>
      </c>
      <c r="I440" s="14">
        <v>0</v>
      </c>
      <c r="J440" s="3" t="s">
        <v>38</v>
      </c>
      <c r="K440" s="3" t="s">
        <v>39</v>
      </c>
      <c r="L440" s="3" t="s">
        <v>40</v>
      </c>
      <c r="M440" s="15">
        <v>1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.6">
      <c r="A441" s="13">
        <v>2025</v>
      </c>
      <c r="B441" s="32">
        <v>45838</v>
      </c>
      <c r="C441" s="3" t="s">
        <v>35</v>
      </c>
      <c r="D441" s="3" t="s">
        <v>17</v>
      </c>
      <c r="E441" s="3" t="s">
        <v>108</v>
      </c>
      <c r="F441" s="3" t="s">
        <v>500</v>
      </c>
      <c r="G441" s="14">
        <v>2</v>
      </c>
      <c r="H441" s="14">
        <v>1</v>
      </c>
      <c r="I441" s="14">
        <v>1</v>
      </c>
      <c r="J441" s="3" t="s">
        <v>38</v>
      </c>
      <c r="K441" s="3" t="s">
        <v>39</v>
      </c>
      <c r="L441" s="3" t="s">
        <v>40</v>
      </c>
      <c r="M441" s="15">
        <v>1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.6">
      <c r="A442" s="13">
        <v>2025</v>
      </c>
      <c r="B442" s="32">
        <v>45858</v>
      </c>
      <c r="C442" s="3" t="s">
        <v>96</v>
      </c>
      <c r="D442" s="3" t="s">
        <v>19</v>
      </c>
      <c r="E442" s="3" t="s">
        <v>62</v>
      </c>
      <c r="F442" s="3" t="s">
        <v>501</v>
      </c>
      <c r="G442" s="14">
        <v>1</v>
      </c>
      <c r="H442" s="14">
        <v>0</v>
      </c>
      <c r="I442" s="14">
        <v>0</v>
      </c>
      <c r="J442" s="3" t="s">
        <v>98</v>
      </c>
      <c r="K442" s="3" t="s">
        <v>39</v>
      </c>
      <c r="L442" s="3" t="s">
        <v>40</v>
      </c>
      <c r="M442" s="15">
        <v>1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.6">
      <c r="A443" s="13">
        <v>2025</v>
      </c>
      <c r="B443" s="32">
        <v>45876</v>
      </c>
      <c r="C443" s="3" t="s">
        <v>45</v>
      </c>
      <c r="D443" s="3" t="s">
        <v>19</v>
      </c>
      <c r="E443" s="3" t="s">
        <v>64</v>
      </c>
      <c r="F443" s="3" t="s">
        <v>502</v>
      </c>
      <c r="G443" s="14">
        <v>1</v>
      </c>
      <c r="H443" s="14">
        <v>1</v>
      </c>
      <c r="I443" s="14">
        <v>0</v>
      </c>
      <c r="J443" s="3" t="s">
        <v>38</v>
      </c>
      <c r="K443" s="3" t="s">
        <v>39</v>
      </c>
      <c r="L443" s="3" t="s">
        <v>40</v>
      </c>
      <c r="M443" s="15">
        <v>1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.6">
      <c r="A444" s="13">
        <v>2025</v>
      </c>
      <c r="B444" s="32">
        <v>45887</v>
      </c>
      <c r="C444" s="3" t="s">
        <v>35</v>
      </c>
      <c r="D444" s="3" t="s">
        <v>19</v>
      </c>
      <c r="E444" s="3" t="s">
        <v>66</v>
      </c>
      <c r="F444" s="3" t="s">
        <v>503</v>
      </c>
      <c r="G444" s="14">
        <v>1</v>
      </c>
      <c r="H444" s="14">
        <v>1</v>
      </c>
      <c r="I444" s="14">
        <v>0</v>
      </c>
      <c r="J444" s="3" t="s">
        <v>38</v>
      </c>
      <c r="K444" s="3" t="s">
        <v>39</v>
      </c>
      <c r="L444" s="3" t="s">
        <v>40</v>
      </c>
      <c r="M444" s="15">
        <v>1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.6">
      <c r="A445" s="13">
        <v>2025</v>
      </c>
      <c r="B445" s="32">
        <v>45943</v>
      </c>
      <c r="C445" s="3" t="s">
        <v>35</v>
      </c>
      <c r="D445" s="3" t="s">
        <v>20</v>
      </c>
      <c r="E445" s="3" t="s">
        <v>68</v>
      </c>
      <c r="F445" s="3" t="s">
        <v>504</v>
      </c>
      <c r="G445" s="14">
        <v>1</v>
      </c>
      <c r="H445" s="14">
        <v>1</v>
      </c>
      <c r="I445" s="14">
        <v>0</v>
      </c>
      <c r="J445" s="3" t="s">
        <v>38</v>
      </c>
      <c r="K445" s="3" t="s">
        <v>39</v>
      </c>
      <c r="L445" s="3" t="s">
        <v>40</v>
      </c>
      <c r="M445" s="15">
        <v>1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.6">
      <c r="A446" s="13">
        <v>2025</v>
      </c>
      <c r="B446" s="32">
        <v>45964</v>
      </c>
      <c r="C446" s="3" t="s">
        <v>35</v>
      </c>
      <c r="D446" s="3" t="s">
        <v>20</v>
      </c>
      <c r="E446" s="3" t="s">
        <v>70</v>
      </c>
      <c r="F446" s="3" t="s">
        <v>505</v>
      </c>
      <c r="G446" s="14">
        <v>1</v>
      </c>
      <c r="H446" s="14">
        <v>1</v>
      </c>
      <c r="I446" s="14">
        <v>0</v>
      </c>
      <c r="J446" s="3" t="s">
        <v>38</v>
      </c>
      <c r="K446" s="3" t="s">
        <v>39</v>
      </c>
      <c r="L446" s="3" t="s">
        <v>40</v>
      </c>
      <c r="M446" s="15">
        <v>1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.6">
      <c r="A447" s="13">
        <v>2025</v>
      </c>
      <c r="B447" s="32">
        <v>45978</v>
      </c>
      <c r="C447" s="3" t="s">
        <v>35</v>
      </c>
      <c r="D447" s="3" t="s">
        <v>20</v>
      </c>
      <c r="E447" s="3" t="s">
        <v>72</v>
      </c>
      <c r="F447" s="3" t="s">
        <v>506</v>
      </c>
      <c r="G447" s="14">
        <v>1</v>
      </c>
      <c r="H447" s="14">
        <v>1</v>
      </c>
      <c r="I447" s="14">
        <v>0</v>
      </c>
      <c r="J447" s="3" t="s">
        <v>38</v>
      </c>
      <c r="K447" s="3" t="s">
        <v>39</v>
      </c>
      <c r="L447" s="3" t="s">
        <v>40</v>
      </c>
      <c r="M447" s="15">
        <v>1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.6">
      <c r="A448" s="13">
        <v>2025</v>
      </c>
      <c r="B448" s="32">
        <v>45999</v>
      </c>
      <c r="C448" s="3" t="s">
        <v>35</v>
      </c>
      <c r="D448" s="3" t="s">
        <v>20</v>
      </c>
      <c r="E448" s="3" t="s">
        <v>75</v>
      </c>
      <c r="F448" s="3" t="s">
        <v>507</v>
      </c>
      <c r="G448" s="14">
        <v>1</v>
      </c>
      <c r="H448" s="14">
        <v>1</v>
      </c>
      <c r="I448" s="14">
        <v>0</v>
      </c>
      <c r="J448" s="3" t="s">
        <v>38</v>
      </c>
      <c r="K448" s="3" t="s">
        <v>39</v>
      </c>
      <c r="L448" s="3" t="s">
        <v>40</v>
      </c>
      <c r="M448" s="15">
        <v>1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.6">
      <c r="A449" s="13">
        <v>2025</v>
      </c>
      <c r="B449" s="32">
        <v>46016</v>
      </c>
      <c r="C449" s="3" t="s">
        <v>45</v>
      </c>
      <c r="D449" s="3" t="s">
        <v>20</v>
      </c>
      <c r="E449" s="3" t="s">
        <v>77</v>
      </c>
      <c r="F449" s="3" t="s">
        <v>508</v>
      </c>
      <c r="G449" s="14">
        <v>1</v>
      </c>
      <c r="H449" s="14">
        <v>1</v>
      </c>
      <c r="I449" s="14">
        <v>0</v>
      </c>
      <c r="J449" s="3" t="s">
        <v>38</v>
      </c>
      <c r="K449" s="3" t="s">
        <v>39</v>
      </c>
      <c r="L449" s="3" t="s">
        <v>40</v>
      </c>
      <c r="M449" s="15">
        <v>1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.6">
      <c r="A450" s="13">
        <v>2026</v>
      </c>
      <c r="B450" s="32">
        <v>46023</v>
      </c>
      <c r="C450" s="3" t="s">
        <v>45</v>
      </c>
      <c r="D450" s="3" t="s">
        <v>15</v>
      </c>
      <c r="E450" s="3" t="s">
        <v>36</v>
      </c>
      <c r="F450" s="3" t="s">
        <v>509</v>
      </c>
      <c r="G450" s="14">
        <v>1</v>
      </c>
      <c r="H450" s="14">
        <v>1</v>
      </c>
      <c r="I450" s="14">
        <v>0</v>
      </c>
      <c r="J450" s="3" t="s">
        <v>38</v>
      </c>
      <c r="K450" s="3" t="s">
        <v>39</v>
      </c>
      <c r="L450" s="3" t="s">
        <v>40</v>
      </c>
      <c r="M450" s="15">
        <v>1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.6">
      <c r="A451" s="13">
        <v>2026</v>
      </c>
      <c r="B451" s="32">
        <v>46034</v>
      </c>
      <c r="C451" s="3" t="s">
        <v>35</v>
      </c>
      <c r="D451" s="3" t="s">
        <v>15</v>
      </c>
      <c r="E451" s="3" t="s">
        <v>41</v>
      </c>
      <c r="F451" s="3" t="s">
        <v>510</v>
      </c>
      <c r="G451" s="14">
        <v>1</v>
      </c>
      <c r="H451" s="14">
        <v>1</v>
      </c>
      <c r="I451" s="14">
        <v>0</v>
      </c>
      <c r="J451" s="3" t="s">
        <v>38</v>
      </c>
      <c r="K451" s="3" t="s">
        <v>39</v>
      </c>
      <c r="L451" s="3" t="s">
        <v>40</v>
      </c>
      <c r="M451" s="15">
        <v>1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.6">
      <c r="A452" s="13">
        <v>2026</v>
      </c>
      <c r="B452" s="32">
        <v>46104</v>
      </c>
      <c r="C452" s="3" t="s">
        <v>35</v>
      </c>
      <c r="D452" s="3" t="s">
        <v>15</v>
      </c>
      <c r="E452" s="3" t="s">
        <v>43</v>
      </c>
      <c r="F452" s="3" t="s">
        <v>511</v>
      </c>
      <c r="G452" s="14">
        <v>1</v>
      </c>
      <c r="H452" s="14">
        <v>1</v>
      </c>
      <c r="I452" s="14">
        <v>0</v>
      </c>
      <c r="J452" s="3" t="s">
        <v>38</v>
      </c>
      <c r="K452" s="3" t="s">
        <v>39</v>
      </c>
      <c r="L452" s="3" t="s">
        <v>40</v>
      </c>
      <c r="M452" s="15">
        <v>1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.6">
      <c r="A453" s="13">
        <v>2026</v>
      </c>
      <c r="B453" s="32">
        <v>46114</v>
      </c>
      <c r="C453" s="3" t="s">
        <v>45</v>
      </c>
      <c r="D453" s="3" t="s">
        <v>17</v>
      </c>
      <c r="E453" s="3" t="s">
        <v>46</v>
      </c>
      <c r="F453" s="3" t="s">
        <v>512</v>
      </c>
      <c r="G453" s="14">
        <v>1</v>
      </c>
      <c r="H453" s="14">
        <v>1</v>
      </c>
      <c r="I453" s="14">
        <v>0</v>
      </c>
      <c r="J453" s="3" t="s">
        <v>38</v>
      </c>
      <c r="K453" s="3" t="s">
        <v>39</v>
      </c>
      <c r="L453" s="3" t="s">
        <v>40</v>
      </c>
      <c r="M453" s="15">
        <v>1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.6">
      <c r="A454" s="13">
        <v>2026</v>
      </c>
      <c r="B454" s="32">
        <v>46115</v>
      </c>
      <c r="C454" s="3" t="s">
        <v>48</v>
      </c>
      <c r="D454" s="3" t="s">
        <v>17</v>
      </c>
      <c r="E454" s="3" t="s">
        <v>49</v>
      </c>
      <c r="F454" s="3" t="s">
        <v>513</v>
      </c>
      <c r="G454" s="14">
        <v>1</v>
      </c>
      <c r="H454" s="14">
        <v>1</v>
      </c>
      <c r="I454" s="14">
        <v>0</v>
      </c>
      <c r="J454" s="3" t="s">
        <v>38</v>
      </c>
      <c r="K454" s="3" t="s">
        <v>39</v>
      </c>
      <c r="L454" s="3" t="s">
        <v>40</v>
      </c>
      <c r="M454" s="15">
        <v>1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.6">
      <c r="A455" s="13">
        <v>2026</v>
      </c>
      <c r="B455" s="32">
        <v>46143</v>
      </c>
      <c r="C455" s="3" t="s">
        <v>48</v>
      </c>
      <c r="D455" s="3" t="s">
        <v>17</v>
      </c>
      <c r="E455" s="3" t="s">
        <v>52</v>
      </c>
      <c r="F455" s="3" t="s">
        <v>514</v>
      </c>
      <c r="G455" s="14">
        <v>1</v>
      </c>
      <c r="H455" s="14">
        <v>1</v>
      </c>
      <c r="I455" s="14">
        <v>0</v>
      </c>
      <c r="J455" s="3" t="s">
        <v>38</v>
      </c>
      <c r="K455" s="3" t="s">
        <v>39</v>
      </c>
      <c r="L455" s="3" t="s">
        <v>40</v>
      </c>
      <c r="M455" s="15">
        <v>1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.6">
      <c r="A456" s="13">
        <v>2026</v>
      </c>
      <c r="B456" s="32">
        <v>46160</v>
      </c>
      <c r="C456" s="3" t="s">
        <v>35</v>
      </c>
      <c r="D456" s="3" t="s">
        <v>17</v>
      </c>
      <c r="E456" s="3" t="s">
        <v>54</v>
      </c>
      <c r="F456" s="3" t="s">
        <v>515</v>
      </c>
      <c r="G456" s="14">
        <v>1</v>
      </c>
      <c r="H456" s="14">
        <v>1</v>
      </c>
      <c r="I456" s="14">
        <v>0</v>
      </c>
      <c r="J456" s="3" t="s">
        <v>38</v>
      </c>
      <c r="K456" s="3" t="s">
        <v>39</v>
      </c>
      <c r="L456" s="3" t="s">
        <v>40</v>
      </c>
      <c r="M456" s="15">
        <v>1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.6">
      <c r="A457" s="13">
        <v>2026</v>
      </c>
      <c r="B457" s="32">
        <v>46181</v>
      </c>
      <c r="C457" s="3" t="s">
        <v>35</v>
      </c>
      <c r="D457" s="3" t="s">
        <v>17</v>
      </c>
      <c r="E457" s="3" t="s">
        <v>56</v>
      </c>
      <c r="F457" s="3" t="s">
        <v>516</v>
      </c>
      <c r="G457" s="14">
        <v>1</v>
      </c>
      <c r="H457" s="14">
        <v>1</v>
      </c>
      <c r="I457" s="14">
        <v>0</v>
      </c>
      <c r="J457" s="3" t="s">
        <v>38</v>
      </c>
      <c r="K457" s="3" t="s">
        <v>39</v>
      </c>
      <c r="L457" s="3" t="s">
        <v>40</v>
      </c>
      <c r="M457" s="15">
        <v>1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.6">
      <c r="A458" s="13">
        <v>2026</v>
      </c>
      <c r="B458" s="32">
        <v>46188</v>
      </c>
      <c r="C458" s="3" t="s">
        <v>35</v>
      </c>
      <c r="D458" s="3" t="s">
        <v>17</v>
      </c>
      <c r="E458" s="3" t="s">
        <v>58</v>
      </c>
      <c r="F458" s="3" t="s">
        <v>517</v>
      </c>
      <c r="G458" s="14">
        <v>1</v>
      </c>
      <c r="H458" s="14">
        <v>1</v>
      </c>
      <c r="I458" s="14">
        <v>0</v>
      </c>
      <c r="J458" s="3" t="s">
        <v>38</v>
      </c>
      <c r="K458" s="3" t="s">
        <v>39</v>
      </c>
      <c r="L458" s="3" t="s">
        <v>40</v>
      </c>
      <c r="M458" s="15">
        <v>1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.6">
      <c r="A459" s="13">
        <v>2026</v>
      </c>
      <c r="B459" s="32">
        <v>46202</v>
      </c>
      <c r="C459" s="3" t="s">
        <v>35</v>
      </c>
      <c r="D459" s="3" t="s">
        <v>17</v>
      </c>
      <c r="E459" s="3" t="s">
        <v>60</v>
      </c>
      <c r="F459" s="3" t="s">
        <v>518</v>
      </c>
      <c r="G459" s="14">
        <v>1</v>
      </c>
      <c r="H459" s="14">
        <v>1</v>
      </c>
      <c r="I459" s="14">
        <v>0</v>
      </c>
      <c r="J459" s="3" t="s">
        <v>38</v>
      </c>
      <c r="K459" s="3" t="s">
        <v>39</v>
      </c>
      <c r="L459" s="3" t="s">
        <v>40</v>
      </c>
      <c r="M459" s="15">
        <v>1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41.4">
      <c r="A460" s="13">
        <v>2026</v>
      </c>
      <c r="B460" s="32">
        <v>46216</v>
      </c>
      <c r="C460" s="3" t="s">
        <v>35</v>
      </c>
      <c r="D460" s="3" t="s">
        <v>19</v>
      </c>
      <c r="E460" s="3" t="s">
        <v>519</v>
      </c>
      <c r="F460" s="3" t="s">
        <v>520</v>
      </c>
      <c r="G460" s="14">
        <v>1</v>
      </c>
      <c r="H460" s="14">
        <v>1</v>
      </c>
      <c r="I460" s="14">
        <v>0</v>
      </c>
      <c r="J460" s="3" t="s">
        <v>38</v>
      </c>
      <c r="K460" s="3" t="s">
        <v>521</v>
      </c>
      <c r="L460" s="3" t="s">
        <v>522</v>
      </c>
      <c r="M460" s="15">
        <v>1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.6">
      <c r="A461" s="13">
        <v>2026</v>
      </c>
      <c r="B461" s="32">
        <v>46223</v>
      </c>
      <c r="C461" s="3" t="s">
        <v>35</v>
      </c>
      <c r="D461" s="3" t="s">
        <v>19</v>
      </c>
      <c r="E461" s="3" t="s">
        <v>62</v>
      </c>
      <c r="F461" s="3" t="s">
        <v>523</v>
      </c>
      <c r="G461" s="14">
        <v>1</v>
      </c>
      <c r="H461" s="14">
        <v>1</v>
      </c>
      <c r="I461" s="14">
        <v>0</v>
      </c>
      <c r="J461" s="3" t="s">
        <v>38</v>
      </c>
      <c r="K461" s="3" t="s">
        <v>39</v>
      </c>
      <c r="L461" s="3" t="s">
        <v>40</v>
      </c>
      <c r="M461" s="15">
        <v>1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.6">
      <c r="A462" s="13">
        <v>2026</v>
      </c>
      <c r="B462" s="32">
        <v>46241</v>
      </c>
      <c r="C462" s="3" t="s">
        <v>48</v>
      </c>
      <c r="D462" s="3" t="s">
        <v>19</v>
      </c>
      <c r="E462" s="3" t="s">
        <v>64</v>
      </c>
      <c r="F462" s="3" t="s">
        <v>524</v>
      </c>
      <c r="G462" s="14">
        <v>1</v>
      </c>
      <c r="H462" s="14">
        <v>1</v>
      </c>
      <c r="I462" s="14">
        <v>0</v>
      </c>
      <c r="J462" s="3" t="s">
        <v>38</v>
      </c>
      <c r="K462" s="3" t="s">
        <v>39</v>
      </c>
      <c r="L462" s="3" t="s">
        <v>40</v>
      </c>
      <c r="M462" s="15">
        <v>0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.6">
      <c r="A463" s="13">
        <v>2026</v>
      </c>
      <c r="B463" s="32">
        <v>46251</v>
      </c>
      <c r="C463" s="3" t="s">
        <v>35</v>
      </c>
      <c r="D463" s="3" t="s">
        <v>19</v>
      </c>
      <c r="E463" s="3" t="s">
        <v>66</v>
      </c>
      <c r="F463" s="3" t="s">
        <v>525</v>
      </c>
      <c r="G463" s="14">
        <v>1</v>
      </c>
      <c r="H463" s="14">
        <v>1</v>
      </c>
      <c r="I463" s="14">
        <v>0</v>
      </c>
      <c r="J463" s="3" t="s">
        <v>38</v>
      </c>
      <c r="K463" s="3" t="s">
        <v>39</v>
      </c>
      <c r="L463" s="3" t="s">
        <v>40</v>
      </c>
      <c r="M463" s="15">
        <v>0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.6">
      <c r="A464" s="13">
        <v>2026</v>
      </c>
      <c r="B464" s="32">
        <v>46307</v>
      </c>
      <c r="C464" s="3" t="s">
        <v>35</v>
      </c>
      <c r="D464" s="3" t="s">
        <v>20</v>
      </c>
      <c r="E464" s="3" t="s">
        <v>68</v>
      </c>
      <c r="F464" s="3" t="s">
        <v>526</v>
      </c>
      <c r="G464" s="14">
        <v>1</v>
      </c>
      <c r="H464" s="14">
        <v>1</v>
      </c>
      <c r="I464" s="14">
        <v>0</v>
      </c>
      <c r="J464" s="3" t="s">
        <v>38</v>
      </c>
      <c r="K464" s="3" t="s">
        <v>39</v>
      </c>
      <c r="L464" s="3" t="s">
        <v>40</v>
      </c>
      <c r="M464" s="15">
        <v>0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7.6">
      <c r="A465" s="13">
        <v>2026</v>
      </c>
      <c r="B465" s="32">
        <v>46328</v>
      </c>
      <c r="C465" s="3" t="s">
        <v>35</v>
      </c>
      <c r="D465" s="3" t="s">
        <v>20</v>
      </c>
      <c r="E465" s="3" t="s">
        <v>70</v>
      </c>
      <c r="F465" s="3" t="s">
        <v>527</v>
      </c>
      <c r="G465" s="14">
        <v>1</v>
      </c>
      <c r="H465" s="14">
        <v>1</v>
      </c>
      <c r="I465" s="14">
        <v>0</v>
      </c>
      <c r="J465" s="3" t="s">
        <v>38</v>
      </c>
      <c r="K465" s="3" t="s">
        <v>39</v>
      </c>
      <c r="L465" s="3" t="s">
        <v>40</v>
      </c>
      <c r="M465" s="15">
        <v>0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.6">
      <c r="A466" s="13">
        <v>2026</v>
      </c>
      <c r="B466" s="32">
        <v>46342</v>
      </c>
      <c r="C466" s="3" t="s">
        <v>35</v>
      </c>
      <c r="D466" s="3" t="s">
        <v>20</v>
      </c>
      <c r="E466" s="3" t="s">
        <v>72</v>
      </c>
      <c r="F466" s="3" t="s">
        <v>528</v>
      </c>
      <c r="G466" s="14">
        <v>1</v>
      </c>
      <c r="H466" s="14">
        <v>1</v>
      </c>
      <c r="I466" s="14">
        <v>0</v>
      </c>
      <c r="J466" s="3" t="s">
        <v>38</v>
      </c>
      <c r="K466" s="3" t="s">
        <v>39</v>
      </c>
      <c r="L466" s="3" t="s">
        <v>40</v>
      </c>
      <c r="M466" s="15">
        <v>0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.6">
      <c r="A467" s="13">
        <v>2026</v>
      </c>
      <c r="B467" s="32">
        <v>46364</v>
      </c>
      <c r="C467" s="3" t="s">
        <v>51</v>
      </c>
      <c r="D467" s="3" t="s">
        <v>20</v>
      </c>
      <c r="E467" s="3" t="s">
        <v>75</v>
      </c>
      <c r="F467" s="3" t="s">
        <v>529</v>
      </c>
      <c r="G467" s="14">
        <v>1</v>
      </c>
      <c r="H467" s="14">
        <v>1</v>
      </c>
      <c r="I467" s="14">
        <v>0</v>
      </c>
      <c r="J467" s="3" t="s">
        <v>38</v>
      </c>
      <c r="K467" s="3" t="s">
        <v>39</v>
      </c>
      <c r="L467" s="3" t="s">
        <v>40</v>
      </c>
      <c r="M467" s="15">
        <v>0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.6">
      <c r="A468" s="26">
        <v>2026</v>
      </c>
      <c r="B468" s="33">
        <v>46381</v>
      </c>
      <c r="C468" s="27" t="s">
        <v>48</v>
      </c>
      <c r="D468" s="27" t="s">
        <v>20</v>
      </c>
      <c r="E468" s="27" t="s">
        <v>77</v>
      </c>
      <c r="F468" s="27" t="s">
        <v>530</v>
      </c>
      <c r="G468" s="28">
        <v>1</v>
      </c>
      <c r="H468" s="28">
        <v>1</v>
      </c>
      <c r="I468" s="28">
        <v>0</v>
      </c>
      <c r="J468" s="27" t="s">
        <v>38</v>
      </c>
      <c r="K468" s="27" t="s">
        <v>39</v>
      </c>
      <c r="L468" s="27" t="s">
        <v>40</v>
      </c>
      <c r="M468" s="29">
        <v>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RowHeight="13.8"/>
  <cols>
    <col min="1" max="1" width="9" customWidth="1"/>
    <col min="2" max="2" width="36" customWidth="1"/>
    <col min="3" max="3" width="15" customWidth="1"/>
    <col min="4" max="4" width="13" customWidth="1"/>
    <col min="5" max="5" width="14" customWidth="1"/>
    <col min="6" max="6" width="15" customWidth="1"/>
    <col min="7" max="7" width="14" customWidth="1"/>
    <col min="8" max="8" width="15" customWidth="1"/>
    <col min="9" max="9" width="11" customWidth="1"/>
    <col min="10" max="10" width="17" customWidth="1"/>
    <col min="11" max="11" width="23" customWidth="1"/>
    <col min="12" max="12" width="46" customWidth="1"/>
  </cols>
  <sheetData>
    <row r="1" spans="1:26" ht="21">
      <c r="A1" s="35" t="s">
        <v>531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6" t="s">
        <v>532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15" customHeight="1">
      <c r="A4" s="6" t="s">
        <v>5</v>
      </c>
      <c r="B4" s="7" t="s">
        <v>533</v>
      </c>
      <c r="C4" s="7" t="s">
        <v>534</v>
      </c>
      <c r="D4" s="7" t="s">
        <v>535</v>
      </c>
      <c r="E4" s="7" t="s">
        <v>536</v>
      </c>
      <c r="F4" s="7" t="s">
        <v>24</v>
      </c>
      <c r="G4" s="7" t="s">
        <v>537</v>
      </c>
      <c r="H4" s="7" t="s">
        <v>538</v>
      </c>
      <c r="I4" s="7" t="s">
        <v>6</v>
      </c>
      <c r="J4" s="7" t="s">
        <v>539</v>
      </c>
      <c r="K4" s="7" t="s">
        <v>540</v>
      </c>
      <c r="L4" s="8" t="s">
        <v>541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9">
        <v>2001</v>
      </c>
      <c r="B5" s="10" t="s">
        <v>36</v>
      </c>
      <c r="C5" s="31">
        <v>36892</v>
      </c>
      <c r="D5" s="10" t="s">
        <v>35</v>
      </c>
      <c r="E5" s="10" t="s">
        <v>542</v>
      </c>
      <c r="F5" s="31">
        <v>36892</v>
      </c>
      <c r="G5" s="10" t="s">
        <v>35</v>
      </c>
      <c r="H5" s="10" t="s">
        <v>542</v>
      </c>
      <c r="I5" s="10" t="s">
        <v>15</v>
      </c>
      <c r="J5" s="10">
        <v>1</v>
      </c>
      <c r="K5" s="10" t="s">
        <v>39</v>
      </c>
      <c r="L5" s="30" t="s">
        <v>40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13">
        <v>2001</v>
      </c>
      <c r="B6" s="3" t="s">
        <v>41</v>
      </c>
      <c r="C6" s="32">
        <v>36897</v>
      </c>
      <c r="D6" s="3" t="s">
        <v>74</v>
      </c>
      <c r="E6" s="3" t="s">
        <v>543</v>
      </c>
      <c r="F6" s="32">
        <v>36899</v>
      </c>
      <c r="G6" s="3" t="s">
        <v>35</v>
      </c>
      <c r="H6" s="3" t="s">
        <v>543</v>
      </c>
      <c r="I6" s="3" t="s">
        <v>15</v>
      </c>
      <c r="J6" s="3">
        <v>1</v>
      </c>
      <c r="K6" s="3" t="s">
        <v>39</v>
      </c>
      <c r="L6" s="5" t="s">
        <v>40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13">
        <v>2001</v>
      </c>
      <c r="B7" s="3" t="s">
        <v>43</v>
      </c>
      <c r="C7" s="32">
        <v>36969</v>
      </c>
      <c r="D7" s="3" t="s">
        <v>35</v>
      </c>
      <c r="E7" s="3" t="s">
        <v>543</v>
      </c>
      <c r="F7" s="32">
        <v>36969</v>
      </c>
      <c r="G7" s="3" t="s">
        <v>35</v>
      </c>
      <c r="H7" s="3" t="s">
        <v>542</v>
      </c>
      <c r="I7" s="3" t="s">
        <v>15</v>
      </c>
      <c r="J7" s="3">
        <v>1</v>
      </c>
      <c r="K7" s="3" t="s">
        <v>39</v>
      </c>
      <c r="L7" s="5" t="s">
        <v>40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13">
        <v>2001</v>
      </c>
      <c r="B8" s="3" t="s">
        <v>46</v>
      </c>
      <c r="C8" s="32">
        <v>36993</v>
      </c>
      <c r="D8" s="3" t="s">
        <v>45</v>
      </c>
      <c r="E8" s="3" t="s">
        <v>542</v>
      </c>
      <c r="F8" s="32">
        <v>36993</v>
      </c>
      <c r="G8" s="3" t="s">
        <v>45</v>
      </c>
      <c r="H8" s="3" t="s">
        <v>542</v>
      </c>
      <c r="I8" s="3" t="s">
        <v>17</v>
      </c>
      <c r="J8" s="3">
        <v>1</v>
      </c>
      <c r="K8" s="3" t="s">
        <v>39</v>
      </c>
      <c r="L8" s="5" t="s">
        <v>40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13">
        <v>2001</v>
      </c>
      <c r="B9" s="3" t="s">
        <v>49</v>
      </c>
      <c r="C9" s="32">
        <v>36994</v>
      </c>
      <c r="D9" s="3" t="s">
        <v>48</v>
      </c>
      <c r="E9" s="3" t="s">
        <v>542</v>
      </c>
      <c r="F9" s="32">
        <v>36994</v>
      </c>
      <c r="G9" s="3" t="s">
        <v>48</v>
      </c>
      <c r="H9" s="3" t="s">
        <v>542</v>
      </c>
      <c r="I9" s="3" t="s">
        <v>17</v>
      </c>
      <c r="J9" s="3">
        <v>1</v>
      </c>
      <c r="K9" s="3" t="s">
        <v>39</v>
      </c>
      <c r="L9" s="5" t="s">
        <v>40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13">
        <v>2001</v>
      </c>
      <c r="B10" s="3" t="s">
        <v>52</v>
      </c>
      <c r="C10" s="32">
        <v>37012</v>
      </c>
      <c r="D10" s="3" t="s">
        <v>51</v>
      </c>
      <c r="E10" s="3" t="s">
        <v>542</v>
      </c>
      <c r="F10" s="32">
        <v>37012</v>
      </c>
      <c r="G10" s="3" t="s">
        <v>51</v>
      </c>
      <c r="H10" s="3" t="s">
        <v>542</v>
      </c>
      <c r="I10" s="3" t="s">
        <v>17</v>
      </c>
      <c r="J10" s="3">
        <v>1</v>
      </c>
      <c r="K10" s="3" t="s">
        <v>39</v>
      </c>
      <c r="L10" s="5" t="s">
        <v>40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13">
        <v>2001</v>
      </c>
      <c r="B11" s="3" t="s">
        <v>54</v>
      </c>
      <c r="C11" s="32">
        <v>37035</v>
      </c>
      <c r="D11" s="3" t="s">
        <v>45</v>
      </c>
      <c r="E11" s="3" t="s">
        <v>543</v>
      </c>
      <c r="F11" s="32">
        <v>37039</v>
      </c>
      <c r="G11" s="3" t="s">
        <v>35</v>
      </c>
      <c r="H11" s="3" t="s">
        <v>543</v>
      </c>
      <c r="I11" s="3" t="s">
        <v>17</v>
      </c>
      <c r="J11" s="3">
        <v>1</v>
      </c>
      <c r="K11" s="3" t="s">
        <v>39</v>
      </c>
      <c r="L11" s="5" t="s">
        <v>40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13">
        <v>2001</v>
      </c>
      <c r="B12" s="3" t="s">
        <v>56</v>
      </c>
      <c r="C12" s="32">
        <v>37056</v>
      </c>
      <c r="D12" s="3" t="s">
        <v>45</v>
      </c>
      <c r="E12" s="3" t="s">
        <v>543</v>
      </c>
      <c r="F12" s="32">
        <v>37060</v>
      </c>
      <c r="G12" s="3" t="s">
        <v>35</v>
      </c>
      <c r="H12" s="3" t="s">
        <v>543</v>
      </c>
      <c r="I12" s="3" t="s">
        <v>17</v>
      </c>
      <c r="J12" s="3">
        <v>1</v>
      </c>
      <c r="K12" s="3" t="s">
        <v>39</v>
      </c>
      <c r="L12" s="5" t="s">
        <v>40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>
      <c r="A13" s="13">
        <v>2001</v>
      </c>
      <c r="B13" s="3" t="s">
        <v>58</v>
      </c>
      <c r="C13" s="32">
        <v>37064</v>
      </c>
      <c r="D13" s="3" t="s">
        <v>48</v>
      </c>
      <c r="E13" s="3" t="s">
        <v>543</v>
      </c>
      <c r="F13" s="32">
        <v>37067</v>
      </c>
      <c r="G13" s="3" t="s">
        <v>35</v>
      </c>
      <c r="H13" s="3" t="s">
        <v>543</v>
      </c>
      <c r="I13" s="3" t="s">
        <v>17</v>
      </c>
      <c r="J13" s="3">
        <v>1</v>
      </c>
      <c r="K13" s="3" t="s">
        <v>39</v>
      </c>
      <c r="L13" s="5" t="s">
        <v>40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13">
        <v>2001</v>
      </c>
      <c r="B14" s="3" t="s">
        <v>60</v>
      </c>
      <c r="C14" s="32">
        <v>37071</v>
      </c>
      <c r="D14" s="3" t="s">
        <v>48</v>
      </c>
      <c r="E14" s="3" t="s">
        <v>543</v>
      </c>
      <c r="F14" s="32">
        <v>37074</v>
      </c>
      <c r="G14" s="3" t="s">
        <v>35</v>
      </c>
      <c r="H14" s="3" t="s">
        <v>543</v>
      </c>
      <c r="I14" s="3" t="s">
        <v>19</v>
      </c>
      <c r="J14" s="3">
        <v>1</v>
      </c>
      <c r="K14" s="3" t="s">
        <v>39</v>
      </c>
      <c r="L14" s="5" t="s">
        <v>40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6">
      <c r="A15" s="13">
        <v>2001</v>
      </c>
      <c r="B15" s="3" t="s">
        <v>62</v>
      </c>
      <c r="C15" s="32">
        <v>37092</v>
      </c>
      <c r="D15" s="3" t="s">
        <v>48</v>
      </c>
      <c r="E15" s="3" t="s">
        <v>542</v>
      </c>
      <c r="F15" s="32">
        <v>37092</v>
      </c>
      <c r="G15" s="3" t="s">
        <v>48</v>
      </c>
      <c r="H15" s="3" t="s">
        <v>542</v>
      </c>
      <c r="I15" s="3" t="s">
        <v>19</v>
      </c>
      <c r="J15" s="3">
        <v>1</v>
      </c>
      <c r="K15" s="3" t="s">
        <v>39</v>
      </c>
      <c r="L15" s="5" t="s">
        <v>40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6">
      <c r="A16" s="13">
        <v>2001</v>
      </c>
      <c r="B16" s="3" t="s">
        <v>64</v>
      </c>
      <c r="C16" s="32">
        <v>37110</v>
      </c>
      <c r="D16" s="3" t="s">
        <v>51</v>
      </c>
      <c r="E16" s="3" t="s">
        <v>542</v>
      </c>
      <c r="F16" s="32">
        <v>37110</v>
      </c>
      <c r="G16" s="3" t="s">
        <v>51</v>
      </c>
      <c r="H16" s="3" t="s">
        <v>542</v>
      </c>
      <c r="I16" s="3" t="s">
        <v>19</v>
      </c>
      <c r="J16" s="3">
        <v>1</v>
      </c>
      <c r="K16" s="3" t="s">
        <v>39</v>
      </c>
      <c r="L16" s="5" t="s">
        <v>40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6">
      <c r="A17" s="13">
        <v>2001</v>
      </c>
      <c r="B17" s="3" t="s">
        <v>66</v>
      </c>
      <c r="C17" s="32">
        <v>37118</v>
      </c>
      <c r="D17" s="3" t="s">
        <v>84</v>
      </c>
      <c r="E17" s="3" t="s">
        <v>543</v>
      </c>
      <c r="F17" s="32">
        <v>37123</v>
      </c>
      <c r="G17" s="3" t="s">
        <v>35</v>
      </c>
      <c r="H17" s="3" t="s">
        <v>543</v>
      </c>
      <c r="I17" s="3" t="s">
        <v>19</v>
      </c>
      <c r="J17" s="3">
        <v>1</v>
      </c>
      <c r="K17" s="3" t="s">
        <v>39</v>
      </c>
      <c r="L17" s="5" t="s">
        <v>40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6">
      <c r="A18" s="13">
        <v>2001</v>
      </c>
      <c r="B18" s="3" t="s">
        <v>68</v>
      </c>
      <c r="C18" s="32">
        <v>37176</v>
      </c>
      <c r="D18" s="3" t="s">
        <v>48</v>
      </c>
      <c r="E18" s="3" t="s">
        <v>543</v>
      </c>
      <c r="F18" s="32">
        <v>37179</v>
      </c>
      <c r="G18" s="3" t="s">
        <v>35</v>
      </c>
      <c r="H18" s="3" t="s">
        <v>543</v>
      </c>
      <c r="I18" s="3" t="s">
        <v>20</v>
      </c>
      <c r="J18" s="3">
        <v>1</v>
      </c>
      <c r="K18" s="3" t="s">
        <v>39</v>
      </c>
      <c r="L18" s="5" t="s">
        <v>40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6">
      <c r="A19" s="13">
        <v>2001</v>
      </c>
      <c r="B19" s="3" t="s">
        <v>70</v>
      </c>
      <c r="C19" s="32">
        <v>37196</v>
      </c>
      <c r="D19" s="3" t="s">
        <v>45</v>
      </c>
      <c r="E19" s="3" t="s">
        <v>543</v>
      </c>
      <c r="F19" s="32">
        <v>37200</v>
      </c>
      <c r="G19" s="3" t="s">
        <v>35</v>
      </c>
      <c r="H19" s="3" t="s">
        <v>543</v>
      </c>
      <c r="I19" s="3" t="s">
        <v>20</v>
      </c>
      <c r="J19" s="3">
        <v>1</v>
      </c>
      <c r="K19" s="3" t="s">
        <v>39</v>
      </c>
      <c r="L19" s="5" t="s">
        <v>40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6">
      <c r="A20" s="13">
        <v>2001</v>
      </c>
      <c r="B20" s="3" t="s">
        <v>72</v>
      </c>
      <c r="C20" s="32">
        <v>37206</v>
      </c>
      <c r="D20" s="3" t="s">
        <v>96</v>
      </c>
      <c r="E20" s="3" t="s">
        <v>543</v>
      </c>
      <c r="F20" s="32">
        <v>37207</v>
      </c>
      <c r="G20" s="3" t="s">
        <v>35</v>
      </c>
      <c r="H20" s="3" t="s">
        <v>543</v>
      </c>
      <c r="I20" s="3" t="s">
        <v>20</v>
      </c>
      <c r="J20" s="3">
        <v>1</v>
      </c>
      <c r="K20" s="3" t="s">
        <v>39</v>
      </c>
      <c r="L20" s="5" t="s">
        <v>40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6">
      <c r="A21" s="13">
        <v>2001</v>
      </c>
      <c r="B21" s="3" t="s">
        <v>75</v>
      </c>
      <c r="C21" s="32">
        <v>37233</v>
      </c>
      <c r="D21" s="3" t="s">
        <v>74</v>
      </c>
      <c r="E21" s="3" t="s">
        <v>542</v>
      </c>
      <c r="F21" s="32">
        <v>37233</v>
      </c>
      <c r="G21" s="3" t="s">
        <v>74</v>
      </c>
      <c r="H21" s="3" t="s">
        <v>542</v>
      </c>
      <c r="I21" s="3" t="s">
        <v>20</v>
      </c>
      <c r="J21" s="3">
        <v>1</v>
      </c>
      <c r="K21" s="3" t="s">
        <v>39</v>
      </c>
      <c r="L21" s="5" t="s">
        <v>40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6">
      <c r="A22" s="13">
        <v>2001</v>
      </c>
      <c r="B22" s="3" t="s">
        <v>77</v>
      </c>
      <c r="C22" s="32">
        <v>37250</v>
      </c>
      <c r="D22" s="3" t="s">
        <v>51</v>
      </c>
      <c r="E22" s="3" t="s">
        <v>542</v>
      </c>
      <c r="F22" s="32">
        <v>37250</v>
      </c>
      <c r="G22" s="3" t="s">
        <v>51</v>
      </c>
      <c r="H22" s="3" t="s">
        <v>542</v>
      </c>
      <c r="I22" s="3" t="s">
        <v>20</v>
      </c>
      <c r="J22" s="3">
        <v>1</v>
      </c>
      <c r="K22" s="3" t="s">
        <v>39</v>
      </c>
      <c r="L22" s="5" t="s">
        <v>40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13">
        <v>2002</v>
      </c>
      <c r="B23" s="3" t="s">
        <v>36</v>
      </c>
      <c r="C23" s="32">
        <v>37257</v>
      </c>
      <c r="D23" s="3" t="s">
        <v>51</v>
      </c>
      <c r="E23" s="3" t="s">
        <v>542</v>
      </c>
      <c r="F23" s="32">
        <v>37257</v>
      </c>
      <c r="G23" s="3" t="s">
        <v>51</v>
      </c>
      <c r="H23" s="3" t="s">
        <v>542</v>
      </c>
      <c r="I23" s="3" t="s">
        <v>15</v>
      </c>
      <c r="J23" s="3">
        <v>1</v>
      </c>
      <c r="K23" s="3" t="s">
        <v>39</v>
      </c>
      <c r="L23" s="5" t="s">
        <v>40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6">
      <c r="A24" s="13">
        <v>2002</v>
      </c>
      <c r="B24" s="3" t="s">
        <v>41</v>
      </c>
      <c r="C24" s="32">
        <v>37262</v>
      </c>
      <c r="D24" s="3" t="s">
        <v>96</v>
      </c>
      <c r="E24" s="3" t="s">
        <v>543</v>
      </c>
      <c r="F24" s="32">
        <v>37263</v>
      </c>
      <c r="G24" s="3" t="s">
        <v>35</v>
      </c>
      <c r="H24" s="3" t="s">
        <v>543</v>
      </c>
      <c r="I24" s="3" t="s">
        <v>15</v>
      </c>
      <c r="J24" s="3">
        <v>1</v>
      </c>
      <c r="K24" s="3" t="s">
        <v>39</v>
      </c>
      <c r="L24" s="5" t="s">
        <v>40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6">
      <c r="A25" s="13">
        <v>2002</v>
      </c>
      <c r="B25" s="3" t="s">
        <v>43</v>
      </c>
      <c r="C25" s="32">
        <v>37334</v>
      </c>
      <c r="D25" s="3" t="s">
        <v>51</v>
      </c>
      <c r="E25" s="3" t="s">
        <v>543</v>
      </c>
      <c r="F25" s="32">
        <v>37340</v>
      </c>
      <c r="G25" s="3" t="s">
        <v>35</v>
      </c>
      <c r="H25" s="3" t="s">
        <v>543</v>
      </c>
      <c r="I25" s="3" t="s">
        <v>15</v>
      </c>
      <c r="J25" s="3">
        <v>1</v>
      </c>
      <c r="K25" s="3" t="s">
        <v>39</v>
      </c>
      <c r="L25" s="5" t="s">
        <v>40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6">
      <c r="A26" s="13">
        <v>2002</v>
      </c>
      <c r="B26" s="3" t="s">
        <v>46</v>
      </c>
      <c r="C26" s="32">
        <v>37343</v>
      </c>
      <c r="D26" s="3" t="s">
        <v>45</v>
      </c>
      <c r="E26" s="3" t="s">
        <v>542</v>
      </c>
      <c r="F26" s="32">
        <v>37343</v>
      </c>
      <c r="G26" s="3" t="s">
        <v>45</v>
      </c>
      <c r="H26" s="3" t="s">
        <v>542</v>
      </c>
      <c r="I26" s="3" t="s">
        <v>15</v>
      </c>
      <c r="J26" s="3">
        <v>1</v>
      </c>
      <c r="K26" s="3" t="s">
        <v>39</v>
      </c>
      <c r="L26" s="5" t="s">
        <v>40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6">
      <c r="A27" s="13">
        <v>2002</v>
      </c>
      <c r="B27" s="3" t="s">
        <v>49</v>
      </c>
      <c r="C27" s="32">
        <v>37344</v>
      </c>
      <c r="D27" s="3" t="s">
        <v>48</v>
      </c>
      <c r="E27" s="3" t="s">
        <v>542</v>
      </c>
      <c r="F27" s="32">
        <v>37344</v>
      </c>
      <c r="G27" s="3" t="s">
        <v>48</v>
      </c>
      <c r="H27" s="3" t="s">
        <v>542</v>
      </c>
      <c r="I27" s="3" t="s">
        <v>15</v>
      </c>
      <c r="J27" s="3">
        <v>1</v>
      </c>
      <c r="K27" s="3" t="s">
        <v>39</v>
      </c>
      <c r="L27" s="5" t="s">
        <v>40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6">
      <c r="A28" s="13">
        <v>2002</v>
      </c>
      <c r="B28" s="3" t="s">
        <v>52</v>
      </c>
      <c r="C28" s="32">
        <v>37377</v>
      </c>
      <c r="D28" s="3" t="s">
        <v>84</v>
      </c>
      <c r="E28" s="3" t="s">
        <v>542</v>
      </c>
      <c r="F28" s="32">
        <v>37377</v>
      </c>
      <c r="G28" s="3" t="s">
        <v>84</v>
      </c>
      <c r="H28" s="3" t="s">
        <v>542</v>
      </c>
      <c r="I28" s="3" t="s">
        <v>17</v>
      </c>
      <c r="J28" s="3">
        <v>1</v>
      </c>
      <c r="K28" s="3" t="s">
        <v>39</v>
      </c>
      <c r="L28" s="5" t="s">
        <v>40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6">
      <c r="A29" s="13">
        <v>2002</v>
      </c>
      <c r="B29" s="3" t="s">
        <v>54</v>
      </c>
      <c r="C29" s="32">
        <v>37385</v>
      </c>
      <c r="D29" s="3" t="s">
        <v>45</v>
      </c>
      <c r="E29" s="3" t="s">
        <v>543</v>
      </c>
      <c r="F29" s="32">
        <v>37389</v>
      </c>
      <c r="G29" s="3" t="s">
        <v>35</v>
      </c>
      <c r="H29" s="3" t="s">
        <v>543</v>
      </c>
      <c r="I29" s="3" t="s">
        <v>17</v>
      </c>
      <c r="J29" s="3">
        <v>1</v>
      </c>
      <c r="K29" s="3" t="s">
        <v>39</v>
      </c>
      <c r="L29" s="5" t="s">
        <v>40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6">
      <c r="A30" s="13">
        <v>2002</v>
      </c>
      <c r="B30" s="3" t="s">
        <v>56</v>
      </c>
      <c r="C30" s="32">
        <v>37406</v>
      </c>
      <c r="D30" s="3" t="s">
        <v>45</v>
      </c>
      <c r="E30" s="3" t="s">
        <v>543</v>
      </c>
      <c r="F30" s="32">
        <v>37410</v>
      </c>
      <c r="G30" s="3" t="s">
        <v>35</v>
      </c>
      <c r="H30" s="3" t="s">
        <v>543</v>
      </c>
      <c r="I30" s="3" t="s">
        <v>17</v>
      </c>
      <c r="J30" s="3">
        <v>1</v>
      </c>
      <c r="K30" s="3" t="s">
        <v>39</v>
      </c>
      <c r="L30" s="5" t="s">
        <v>40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6">
      <c r="A31" s="13">
        <v>2002</v>
      </c>
      <c r="B31" s="3" t="s">
        <v>58</v>
      </c>
      <c r="C31" s="32">
        <v>37414</v>
      </c>
      <c r="D31" s="3" t="s">
        <v>48</v>
      </c>
      <c r="E31" s="3" t="s">
        <v>543</v>
      </c>
      <c r="F31" s="32">
        <v>37417</v>
      </c>
      <c r="G31" s="3" t="s">
        <v>35</v>
      </c>
      <c r="H31" s="3" t="s">
        <v>543</v>
      </c>
      <c r="I31" s="3" t="s">
        <v>17</v>
      </c>
      <c r="J31" s="3">
        <v>1</v>
      </c>
      <c r="K31" s="3" t="s">
        <v>39</v>
      </c>
      <c r="L31" s="5" t="s">
        <v>40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6">
      <c r="A32" s="13">
        <v>2002</v>
      </c>
      <c r="B32" s="3" t="s">
        <v>60</v>
      </c>
      <c r="C32" s="32">
        <v>37436</v>
      </c>
      <c r="D32" s="3" t="s">
        <v>74</v>
      </c>
      <c r="E32" s="3" t="s">
        <v>543</v>
      </c>
      <c r="F32" s="32">
        <v>37438</v>
      </c>
      <c r="G32" s="3" t="s">
        <v>35</v>
      </c>
      <c r="H32" s="3" t="s">
        <v>543</v>
      </c>
      <c r="I32" s="3" t="s">
        <v>19</v>
      </c>
      <c r="J32" s="3">
        <v>1</v>
      </c>
      <c r="K32" s="3" t="s">
        <v>39</v>
      </c>
      <c r="L32" s="5" t="s">
        <v>40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6">
      <c r="A33" s="13">
        <v>2002</v>
      </c>
      <c r="B33" s="3" t="s">
        <v>62</v>
      </c>
      <c r="C33" s="32">
        <v>37457</v>
      </c>
      <c r="D33" s="3" t="s">
        <v>74</v>
      </c>
      <c r="E33" s="3" t="s">
        <v>542</v>
      </c>
      <c r="F33" s="32">
        <v>37457</v>
      </c>
      <c r="G33" s="3" t="s">
        <v>74</v>
      </c>
      <c r="H33" s="3" t="s">
        <v>542</v>
      </c>
      <c r="I33" s="3" t="s">
        <v>19</v>
      </c>
      <c r="J33" s="3">
        <v>1</v>
      </c>
      <c r="K33" s="3" t="s">
        <v>39</v>
      </c>
      <c r="L33" s="5" t="s">
        <v>40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.6">
      <c r="A34" s="13">
        <v>2002</v>
      </c>
      <c r="B34" s="3" t="s">
        <v>64</v>
      </c>
      <c r="C34" s="32">
        <v>37475</v>
      </c>
      <c r="D34" s="3" t="s">
        <v>84</v>
      </c>
      <c r="E34" s="3" t="s">
        <v>542</v>
      </c>
      <c r="F34" s="32">
        <v>37475</v>
      </c>
      <c r="G34" s="3" t="s">
        <v>84</v>
      </c>
      <c r="H34" s="3" t="s">
        <v>542</v>
      </c>
      <c r="I34" s="3" t="s">
        <v>19</v>
      </c>
      <c r="J34" s="3">
        <v>1</v>
      </c>
      <c r="K34" s="3" t="s">
        <v>39</v>
      </c>
      <c r="L34" s="5" t="s">
        <v>40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.6">
      <c r="A35" s="13">
        <v>2002</v>
      </c>
      <c r="B35" s="3" t="s">
        <v>66</v>
      </c>
      <c r="C35" s="32">
        <v>37483</v>
      </c>
      <c r="D35" s="3" t="s">
        <v>45</v>
      </c>
      <c r="E35" s="3" t="s">
        <v>543</v>
      </c>
      <c r="F35" s="32">
        <v>37487</v>
      </c>
      <c r="G35" s="3" t="s">
        <v>35</v>
      </c>
      <c r="H35" s="3" t="s">
        <v>543</v>
      </c>
      <c r="I35" s="3" t="s">
        <v>19</v>
      </c>
      <c r="J35" s="3">
        <v>1</v>
      </c>
      <c r="K35" s="3" t="s">
        <v>39</v>
      </c>
      <c r="L35" s="5" t="s">
        <v>40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.6">
      <c r="A36" s="13">
        <v>2002</v>
      </c>
      <c r="B36" s="3" t="s">
        <v>68</v>
      </c>
      <c r="C36" s="32">
        <v>37541</v>
      </c>
      <c r="D36" s="3" t="s">
        <v>74</v>
      </c>
      <c r="E36" s="3" t="s">
        <v>543</v>
      </c>
      <c r="F36" s="32">
        <v>37543</v>
      </c>
      <c r="G36" s="3" t="s">
        <v>35</v>
      </c>
      <c r="H36" s="3" t="s">
        <v>543</v>
      </c>
      <c r="I36" s="3" t="s">
        <v>20</v>
      </c>
      <c r="J36" s="3">
        <v>1</v>
      </c>
      <c r="K36" s="3" t="s">
        <v>39</v>
      </c>
      <c r="L36" s="5" t="s">
        <v>40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6">
      <c r="A37" s="13">
        <v>2002</v>
      </c>
      <c r="B37" s="3" t="s">
        <v>70</v>
      </c>
      <c r="C37" s="32">
        <v>37561</v>
      </c>
      <c r="D37" s="3" t="s">
        <v>48</v>
      </c>
      <c r="E37" s="3" t="s">
        <v>543</v>
      </c>
      <c r="F37" s="32">
        <v>37564</v>
      </c>
      <c r="G37" s="3" t="s">
        <v>35</v>
      </c>
      <c r="H37" s="3" t="s">
        <v>543</v>
      </c>
      <c r="I37" s="3" t="s">
        <v>20</v>
      </c>
      <c r="J37" s="3">
        <v>1</v>
      </c>
      <c r="K37" s="3" t="s">
        <v>39</v>
      </c>
      <c r="L37" s="5" t="s">
        <v>40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6">
      <c r="A38" s="13">
        <v>2002</v>
      </c>
      <c r="B38" s="3" t="s">
        <v>72</v>
      </c>
      <c r="C38" s="32">
        <v>37571</v>
      </c>
      <c r="D38" s="3" t="s">
        <v>35</v>
      </c>
      <c r="E38" s="3" t="s">
        <v>543</v>
      </c>
      <c r="F38" s="32">
        <v>37571</v>
      </c>
      <c r="G38" s="3" t="s">
        <v>35</v>
      </c>
      <c r="H38" s="3" t="s">
        <v>542</v>
      </c>
      <c r="I38" s="3" t="s">
        <v>20</v>
      </c>
      <c r="J38" s="3">
        <v>1</v>
      </c>
      <c r="K38" s="3" t="s">
        <v>39</v>
      </c>
      <c r="L38" s="5" t="s">
        <v>40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.6">
      <c r="A39" s="13">
        <v>2002</v>
      </c>
      <c r="B39" s="3" t="s">
        <v>75</v>
      </c>
      <c r="C39" s="32">
        <v>37598</v>
      </c>
      <c r="D39" s="3" t="s">
        <v>96</v>
      </c>
      <c r="E39" s="3" t="s">
        <v>542</v>
      </c>
      <c r="F39" s="32">
        <v>37598</v>
      </c>
      <c r="G39" s="3" t="s">
        <v>96</v>
      </c>
      <c r="H39" s="3" t="s">
        <v>542</v>
      </c>
      <c r="I39" s="3" t="s">
        <v>20</v>
      </c>
      <c r="J39" s="3">
        <v>0</v>
      </c>
      <c r="K39" s="3" t="s">
        <v>39</v>
      </c>
      <c r="L39" s="5" t="s">
        <v>40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.6">
      <c r="A40" s="13">
        <v>2002</v>
      </c>
      <c r="B40" s="3" t="s">
        <v>77</v>
      </c>
      <c r="C40" s="32">
        <v>37615</v>
      </c>
      <c r="D40" s="3" t="s">
        <v>84</v>
      </c>
      <c r="E40" s="3" t="s">
        <v>542</v>
      </c>
      <c r="F40" s="32">
        <v>37615</v>
      </c>
      <c r="G40" s="3" t="s">
        <v>84</v>
      </c>
      <c r="H40" s="3" t="s">
        <v>542</v>
      </c>
      <c r="I40" s="3" t="s">
        <v>20</v>
      </c>
      <c r="J40" s="3">
        <v>1</v>
      </c>
      <c r="K40" s="3" t="s">
        <v>39</v>
      </c>
      <c r="L40" s="5" t="s">
        <v>40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.6">
      <c r="A41" s="13">
        <v>2003</v>
      </c>
      <c r="B41" s="3" t="s">
        <v>36</v>
      </c>
      <c r="C41" s="32">
        <v>37622</v>
      </c>
      <c r="D41" s="3" t="s">
        <v>84</v>
      </c>
      <c r="E41" s="3" t="s">
        <v>542</v>
      </c>
      <c r="F41" s="32">
        <v>37622</v>
      </c>
      <c r="G41" s="3" t="s">
        <v>84</v>
      </c>
      <c r="H41" s="3" t="s">
        <v>542</v>
      </c>
      <c r="I41" s="3" t="s">
        <v>15</v>
      </c>
      <c r="J41" s="3">
        <v>1</v>
      </c>
      <c r="K41" s="3" t="s">
        <v>39</v>
      </c>
      <c r="L41" s="5" t="s">
        <v>40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.6">
      <c r="A42" s="13">
        <v>2003</v>
      </c>
      <c r="B42" s="3" t="s">
        <v>41</v>
      </c>
      <c r="C42" s="32">
        <v>37627</v>
      </c>
      <c r="D42" s="3" t="s">
        <v>35</v>
      </c>
      <c r="E42" s="3" t="s">
        <v>543</v>
      </c>
      <c r="F42" s="32">
        <v>37627</v>
      </c>
      <c r="G42" s="3" t="s">
        <v>35</v>
      </c>
      <c r="H42" s="3" t="s">
        <v>542</v>
      </c>
      <c r="I42" s="3" t="s">
        <v>15</v>
      </c>
      <c r="J42" s="3">
        <v>1</v>
      </c>
      <c r="K42" s="3" t="s">
        <v>39</v>
      </c>
      <c r="L42" s="5" t="s">
        <v>40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6">
      <c r="A43" s="13">
        <v>2003</v>
      </c>
      <c r="B43" s="3" t="s">
        <v>43</v>
      </c>
      <c r="C43" s="32">
        <v>37699</v>
      </c>
      <c r="D43" s="3" t="s">
        <v>84</v>
      </c>
      <c r="E43" s="3" t="s">
        <v>543</v>
      </c>
      <c r="F43" s="32">
        <v>37704</v>
      </c>
      <c r="G43" s="3" t="s">
        <v>35</v>
      </c>
      <c r="H43" s="3" t="s">
        <v>543</v>
      </c>
      <c r="I43" s="3" t="s">
        <v>15</v>
      </c>
      <c r="J43" s="3">
        <v>1</v>
      </c>
      <c r="K43" s="3" t="s">
        <v>39</v>
      </c>
      <c r="L43" s="5" t="s">
        <v>40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.6">
      <c r="A44" s="13">
        <v>2003</v>
      </c>
      <c r="B44" s="3" t="s">
        <v>46</v>
      </c>
      <c r="C44" s="32">
        <v>37728</v>
      </c>
      <c r="D44" s="3" t="s">
        <v>45</v>
      </c>
      <c r="E44" s="3" t="s">
        <v>542</v>
      </c>
      <c r="F44" s="32">
        <v>37728</v>
      </c>
      <c r="G44" s="3" t="s">
        <v>45</v>
      </c>
      <c r="H44" s="3" t="s">
        <v>542</v>
      </c>
      <c r="I44" s="3" t="s">
        <v>17</v>
      </c>
      <c r="J44" s="3">
        <v>1</v>
      </c>
      <c r="K44" s="3" t="s">
        <v>39</v>
      </c>
      <c r="L44" s="5" t="s">
        <v>40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.6">
      <c r="A45" s="13">
        <v>2003</v>
      </c>
      <c r="B45" s="3" t="s">
        <v>49</v>
      </c>
      <c r="C45" s="32">
        <v>37729</v>
      </c>
      <c r="D45" s="3" t="s">
        <v>48</v>
      </c>
      <c r="E45" s="3" t="s">
        <v>542</v>
      </c>
      <c r="F45" s="32">
        <v>37729</v>
      </c>
      <c r="G45" s="3" t="s">
        <v>48</v>
      </c>
      <c r="H45" s="3" t="s">
        <v>542</v>
      </c>
      <c r="I45" s="3" t="s">
        <v>17</v>
      </c>
      <c r="J45" s="3">
        <v>1</v>
      </c>
      <c r="K45" s="3" t="s">
        <v>39</v>
      </c>
      <c r="L45" s="5" t="s">
        <v>40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.6">
      <c r="A46" s="13">
        <v>2003</v>
      </c>
      <c r="B46" s="3" t="s">
        <v>52</v>
      </c>
      <c r="C46" s="32">
        <v>37742</v>
      </c>
      <c r="D46" s="3" t="s">
        <v>45</v>
      </c>
      <c r="E46" s="3" t="s">
        <v>542</v>
      </c>
      <c r="F46" s="32">
        <v>37742</v>
      </c>
      <c r="G46" s="3" t="s">
        <v>45</v>
      </c>
      <c r="H46" s="3" t="s">
        <v>542</v>
      </c>
      <c r="I46" s="3" t="s">
        <v>17</v>
      </c>
      <c r="J46" s="3">
        <v>1</v>
      </c>
      <c r="K46" s="3" t="s">
        <v>39</v>
      </c>
      <c r="L46" s="5" t="s">
        <v>40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6">
      <c r="A47" s="13">
        <v>2003</v>
      </c>
      <c r="B47" s="3" t="s">
        <v>54</v>
      </c>
      <c r="C47" s="32">
        <v>37770</v>
      </c>
      <c r="D47" s="3" t="s">
        <v>45</v>
      </c>
      <c r="E47" s="3" t="s">
        <v>543</v>
      </c>
      <c r="F47" s="32">
        <v>37774</v>
      </c>
      <c r="G47" s="3" t="s">
        <v>35</v>
      </c>
      <c r="H47" s="3" t="s">
        <v>543</v>
      </c>
      <c r="I47" s="3" t="s">
        <v>17</v>
      </c>
      <c r="J47" s="3">
        <v>1</v>
      </c>
      <c r="K47" s="3" t="s">
        <v>39</v>
      </c>
      <c r="L47" s="5" t="s">
        <v>40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.6">
      <c r="A48" s="13">
        <v>2003</v>
      </c>
      <c r="B48" s="3" t="s">
        <v>56</v>
      </c>
      <c r="C48" s="32">
        <v>37791</v>
      </c>
      <c r="D48" s="3" t="s">
        <v>45</v>
      </c>
      <c r="E48" s="3" t="s">
        <v>543</v>
      </c>
      <c r="F48" s="32">
        <v>37795</v>
      </c>
      <c r="G48" s="3" t="s">
        <v>35</v>
      </c>
      <c r="H48" s="3" t="s">
        <v>543</v>
      </c>
      <c r="I48" s="3" t="s">
        <v>17</v>
      </c>
      <c r="J48" s="3">
        <v>1</v>
      </c>
      <c r="K48" s="3" t="s">
        <v>39</v>
      </c>
      <c r="L48" s="5" t="s">
        <v>40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.6">
      <c r="A49" s="13">
        <v>2003</v>
      </c>
      <c r="B49" s="3" t="s">
        <v>58</v>
      </c>
      <c r="C49" s="32">
        <v>37799</v>
      </c>
      <c r="D49" s="3" t="s">
        <v>48</v>
      </c>
      <c r="E49" s="3" t="s">
        <v>543</v>
      </c>
      <c r="F49" s="32">
        <v>37802</v>
      </c>
      <c r="G49" s="3" t="s">
        <v>35</v>
      </c>
      <c r="H49" s="3" t="s">
        <v>543</v>
      </c>
      <c r="I49" s="3" t="s">
        <v>17</v>
      </c>
      <c r="J49" s="3">
        <v>1</v>
      </c>
      <c r="K49" s="3" t="s">
        <v>39</v>
      </c>
      <c r="L49" s="5" t="s">
        <v>40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.6">
      <c r="A50" s="13">
        <v>2003</v>
      </c>
      <c r="B50" s="3" t="s">
        <v>60</v>
      </c>
      <c r="C50" s="32">
        <v>37801</v>
      </c>
      <c r="D50" s="3" t="s">
        <v>96</v>
      </c>
      <c r="E50" s="3" t="s">
        <v>543</v>
      </c>
      <c r="F50" s="32">
        <v>37802</v>
      </c>
      <c r="G50" s="3" t="s">
        <v>35</v>
      </c>
      <c r="H50" s="3" t="s">
        <v>543</v>
      </c>
      <c r="I50" s="3" t="s">
        <v>17</v>
      </c>
      <c r="J50" s="3">
        <v>1</v>
      </c>
      <c r="K50" s="3" t="s">
        <v>39</v>
      </c>
      <c r="L50" s="5" t="s">
        <v>40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.6">
      <c r="A51" s="13">
        <v>2003</v>
      </c>
      <c r="B51" s="3" t="s">
        <v>62</v>
      </c>
      <c r="C51" s="32">
        <v>37822</v>
      </c>
      <c r="D51" s="3" t="s">
        <v>96</v>
      </c>
      <c r="E51" s="3" t="s">
        <v>542</v>
      </c>
      <c r="F51" s="32">
        <v>37822</v>
      </c>
      <c r="G51" s="3" t="s">
        <v>96</v>
      </c>
      <c r="H51" s="3" t="s">
        <v>542</v>
      </c>
      <c r="I51" s="3" t="s">
        <v>19</v>
      </c>
      <c r="J51" s="3">
        <v>0</v>
      </c>
      <c r="K51" s="3" t="s">
        <v>39</v>
      </c>
      <c r="L51" s="5" t="s">
        <v>40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.6">
      <c r="A52" s="13">
        <v>2003</v>
      </c>
      <c r="B52" s="3" t="s">
        <v>64</v>
      </c>
      <c r="C52" s="32">
        <v>37840</v>
      </c>
      <c r="D52" s="3" t="s">
        <v>45</v>
      </c>
      <c r="E52" s="3" t="s">
        <v>542</v>
      </c>
      <c r="F52" s="32">
        <v>37840</v>
      </c>
      <c r="G52" s="3" t="s">
        <v>45</v>
      </c>
      <c r="H52" s="3" t="s">
        <v>542</v>
      </c>
      <c r="I52" s="3" t="s">
        <v>19</v>
      </c>
      <c r="J52" s="3">
        <v>1</v>
      </c>
      <c r="K52" s="3" t="s">
        <v>39</v>
      </c>
      <c r="L52" s="5" t="s">
        <v>40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.6">
      <c r="A53" s="13">
        <v>2003</v>
      </c>
      <c r="B53" s="3" t="s">
        <v>66</v>
      </c>
      <c r="C53" s="32">
        <v>37848</v>
      </c>
      <c r="D53" s="3" t="s">
        <v>48</v>
      </c>
      <c r="E53" s="3" t="s">
        <v>543</v>
      </c>
      <c r="F53" s="32">
        <v>37851</v>
      </c>
      <c r="G53" s="3" t="s">
        <v>35</v>
      </c>
      <c r="H53" s="3" t="s">
        <v>543</v>
      </c>
      <c r="I53" s="3" t="s">
        <v>19</v>
      </c>
      <c r="J53" s="3">
        <v>1</v>
      </c>
      <c r="K53" s="3" t="s">
        <v>39</v>
      </c>
      <c r="L53" s="5" t="s">
        <v>40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.6">
      <c r="A54" s="13">
        <v>2003</v>
      </c>
      <c r="B54" s="3" t="s">
        <v>68</v>
      </c>
      <c r="C54" s="32">
        <v>37906</v>
      </c>
      <c r="D54" s="3" t="s">
        <v>96</v>
      </c>
      <c r="E54" s="3" t="s">
        <v>543</v>
      </c>
      <c r="F54" s="32">
        <v>37907</v>
      </c>
      <c r="G54" s="3" t="s">
        <v>35</v>
      </c>
      <c r="H54" s="3" t="s">
        <v>543</v>
      </c>
      <c r="I54" s="3" t="s">
        <v>20</v>
      </c>
      <c r="J54" s="3">
        <v>1</v>
      </c>
      <c r="K54" s="3" t="s">
        <v>39</v>
      </c>
      <c r="L54" s="5" t="s">
        <v>40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.6">
      <c r="A55" s="13">
        <v>2003</v>
      </c>
      <c r="B55" s="3" t="s">
        <v>70</v>
      </c>
      <c r="C55" s="32">
        <v>37926</v>
      </c>
      <c r="D55" s="3" t="s">
        <v>74</v>
      </c>
      <c r="E55" s="3" t="s">
        <v>543</v>
      </c>
      <c r="F55" s="32">
        <v>37928</v>
      </c>
      <c r="G55" s="3" t="s">
        <v>35</v>
      </c>
      <c r="H55" s="3" t="s">
        <v>543</v>
      </c>
      <c r="I55" s="3" t="s">
        <v>20</v>
      </c>
      <c r="J55" s="3">
        <v>1</v>
      </c>
      <c r="K55" s="3" t="s">
        <v>39</v>
      </c>
      <c r="L55" s="5" t="s">
        <v>40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6">
      <c r="A56" s="13">
        <v>2003</v>
      </c>
      <c r="B56" s="3" t="s">
        <v>72</v>
      </c>
      <c r="C56" s="32">
        <v>37936</v>
      </c>
      <c r="D56" s="3" t="s">
        <v>51</v>
      </c>
      <c r="E56" s="3" t="s">
        <v>543</v>
      </c>
      <c r="F56" s="32">
        <v>37942</v>
      </c>
      <c r="G56" s="3" t="s">
        <v>35</v>
      </c>
      <c r="H56" s="3" t="s">
        <v>543</v>
      </c>
      <c r="I56" s="3" t="s">
        <v>20</v>
      </c>
      <c r="J56" s="3">
        <v>1</v>
      </c>
      <c r="K56" s="3" t="s">
        <v>39</v>
      </c>
      <c r="L56" s="5" t="s">
        <v>40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6">
      <c r="A57" s="13">
        <v>2003</v>
      </c>
      <c r="B57" s="3" t="s">
        <v>75</v>
      </c>
      <c r="C57" s="32">
        <v>37963</v>
      </c>
      <c r="D57" s="3" t="s">
        <v>35</v>
      </c>
      <c r="E57" s="3" t="s">
        <v>542</v>
      </c>
      <c r="F57" s="32">
        <v>37963</v>
      </c>
      <c r="G57" s="3" t="s">
        <v>35</v>
      </c>
      <c r="H57" s="3" t="s">
        <v>542</v>
      </c>
      <c r="I57" s="3" t="s">
        <v>20</v>
      </c>
      <c r="J57" s="3">
        <v>1</v>
      </c>
      <c r="K57" s="3" t="s">
        <v>39</v>
      </c>
      <c r="L57" s="5" t="s">
        <v>40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.6">
      <c r="A58" s="13">
        <v>2003</v>
      </c>
      <c r="B58" s="3" t="s">
        <v>77</v>
      </c>
      <c r="C58" s="32">
        <v>37980</v>
      </c>
      <c r="D58" s="3" t="s">
        <v>45</v>
      </c>
      <c r="E58" s="3" t="s">
        <v>542</v>
      </c>
      <c r="F58" s="32">
        <v>37980</v>
      </c>
      <c r="G58" s="3" t="s">
        <v>45</v>
      </c>
      <c r="H58" s="3" t="s">
        <v>542</v>
      </c>
      <c r="I58" s="3" t="s">
        <v>20</v>
      </c>
      <c r="J58" s="3">
        <v>1</v>
      </c>
      <c r="K58" s="3" t="s">
        <v>39</v>
      </c>
      <c r="L58" s="5" t="s">
        <v>40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.6">
      <c r="A59" s="13">
        <v>2004</v>
      </c>
      <c r="B59" s="3" t="s">
        <v>36</v>
      </c>
      <c r="C59" s="32">
        <v>37987</v>
      </c>
      <c r="D59" s="3" t="s">
        <v>45</v>
      </c>
      <c r="E59" s="3" t="s">
        <v>542</v>
      </c>
      <c r="F59" s="32">
        <v>37987</v>
      </c>
      <c r="G59" s="3" t="s">
        <v>45</v>
      </c>
      <c r="H59" s="3" t="s">
        <v>542</v>
      </c>
      <c r="I59" s="3" t="s">
        <v>15</v>
      </c>
      <c r="J59" s="3">
        <v>1</v>
      </c>
      <c r="K59" s="3" t="s">
        <v>39</v>
      </c>
      <c r="L59" s="5" t="s">
        <v>40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.6">
      <c r="A60" s="13">
        <v>2004</v>
      </c>
      <c r="B60" s="3" t="s">
        <v>41</v>
      </c>
      <c r="C60" s="32">
        <v>37992</v>
      </c>
      <c r="D60" s="3" t="s">
        <v>51</v>
      </c>
      <c r="E60" s="3" t="s">
        <v>543</v>
      </c>
      <c r="F60" s="32">
        <v>37998</v>
      </c>
      <c r="G60" s="3" t="s">
        <v>35</v>
      </c>
      <c r="H60" s="3" t="s">
        <v>543</v>
      </c>
      <c r="I60" s="3" t="s">
        <v>15</v>
      </c>
      <c r="J60" s="3">
        <v>1</v>
      </c>
      <c r="K60" s="3" t="s">
        <v>39</v>
      </c>
      <c r="L60" s="5" t="s">
        <v>40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.6">
      <c r="A61" s="13">
        <v>2004</v>
      </c>
      <c r="B61" s="3" t="s">
        <v>43</v>
      </c>
      <c r="C61" s="32">
        <v>38065</v>
      </c>
      <c r="D61" s="3" t="s">
        <v>48</v>
      </c>
      <c r="E61" s="3" t="s">
        <v>543</v>
      </c>
      <c r="F61" s="32">
        <v>38068</v>
      </c>
      <c r="G61" s="3" t="s">
        <v>35</v>
      </c>
      <c r="H61" s="3" t="s">
        <v>543</v>
      </c>
      <c r="I61" s="3" t="s">
        <v>15</v>
      </c>
      <c r="J61" s="3">
        <v>1</v>
      </c>
      <c r="K61" s="3" t="s">
        <v>39</v>
      </c>
      <c r="L61" s="5" t="s">
        <v>40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.6">
      <c r="A62" s="13">
        <v>2004</v>
      </c>
      <c r="B62" s="3" t="s">
        <v>46</v>
      </c>
      <c r="C62" s="32">
        <v>38085</v>
      </c>
      <c r="D62" s="3" t="s">
        <v>45</v>
      </c>
      <c r="E62" s="3" t="s">
        <v>542</v>
      </c>
      <c r="F62" s="32">
        <v>38085</v>
      </c>
      <c r="G62" s="3" t="s">
        <v>45</v>
      </c>
      <c r="H62" s="3" t="s">
        <v>542</v>
      </c>
      <c r="I62" s="3" t="s">
        <v>17</v>
      </c>
      <c r="J62" s="3">
        <v>1</v>
      </c>
      <c r="K62" s="3" t="s">
        <v>39</v>
      </c>
      <c r="L62" s="5" t="s">
        <v>40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.6">
      <c r="A63" s="13">
        <v>2004</v>
      </c>
      <c r="B63" s="3" t="s">
        <v>49</v>
      </c>
      <c r="C63" s="32">
        <v>38086</v>
      </c>
      <c r="D63" s="3" t="s">
        <v>48</v>
      </c>
      <c r="E63" s="3" t="s">
        <v>542</v>
      </c>
      <c r="F63" s="32">
        <v>38086</v>
      </c>
      <c r="G63" s="3" t="s">
        <v>48</v>
      </c>
      <c r="H63" s="3" t="s">
        <v>542</v>
      </c>
      <c r="I63" s="3" t="s">
        <v>17</v>
      </c>
      <c r="J63" s="3">
        <v>1</v>
      </c>
      <c r="K63" s="3" t="s">
        <v>39</v>
      </c>
      <c r="L63" s="5" t="s">
        <v>40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.6">
      <c r="A64" s="13">
        <v>2004</v>
      </c>
      <c r="B64" s="3" t="s">
        <v>52</v>
      </c>
      <c r="C64" s="32">
        <v>38108</v>
      </c>
      <c r="D64" s="3" t="s">
        <v>74</v>
      </c>
      <c r="E64" s="3" t="s">
        <v>542</v>
      </c>
      <c r="F64" s="32">
        <v>38108</v>
      </c>
      <c r="G64" s="3" t="s">
        <v>74</v>
      </c>
      <c r="H64" s="3" t="s">
        <v>542</v>
      </c>
      <c r="I64" s="3" t="s">
        <v>17</v>
      </c>
      <c r="J64" s="3">
        <v>1</v>
      </c>
      <c r="K64" s="3" t="s">
        <v>39</v>
      </c>
      <c r="L64" s="5" t="s">
        <v>40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.6">
      <c r="A65" s="13">
        <v>2004</v>
      </c>
      <c r="B65" s="3" t="s">
        <v>54</v>
      </c>
      <c r="C65" s="32">
        <v>38127</v>
      </c>
      <c r="D65" s="3" t="s">
        <v>45</v>
      </c>
      <c r="E65" s="3" t="s">
        <v>543</v>
      </c>
      <c r="F65" s="32">
        <v>38131</v>
      </c>
      <c r="G65" s="3" t="s">
        <v>35</v>
      </c>
      <c r="H65" s="3" t="s">
        <v>543</v>
      </c>
      <c r="I65" s="3" t="s">
        <v>17</v>
      </c>
      <c r="J65" s="3">
        <v>1</v>
      </c>
      <c r="K65" s="3" t="s">
        <v>39</v>
      </c>
      <c r="L65" s="5" t="s">
        <v>40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.6">
      <c r="A66" s="13">
        <v>2004</v>
      </c>
      <c r="B66" s="3" t="s">
        <v>56</v>
      </c>
      <c r="C66" s="32">
        <v>38148</v>
      </c>
      <c r="D66" s="3" t="s">
        <v>45</v>
      </c>
      <c r="E66" s="3" t="s">
        <v>543</v>
      </c>
      <c r="F66" s="32">
        <v>38152</v>
      </c>
      <c r="G66" s="3" t="s">
        <v>35</v>
      </c>
      <c r="H66" s="3" t="s">
        <v>543</v>
      </c>
      <c r="I66" s="3" t="s">
        <v>17</v>
      </c>
      <c r="J66" s="3">
        <v>1</v>
      </c>
      <c r="K66" s="3" t="s">
        <v>39</v>
      </c>
      <c r="L66" s="5" t="s">
        <v>40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.6">
      <c r="A67" s="13">
        <v>2004</v>
      </c>
      <c r="B67" s="3" t="s">
        <v>58</v>
      </c>
      <c r="C67" s="32">
        <v>38156</v>
      </c>
      <c r="D67" s="3" t="s">
        <v>48</v>
      </c>
      <c r="E67" s="3" t="s">
        <v>543</v>
      </c>
      <c r="F67" s="32">
        <v>38159</v>
      </c>
      <c r="G67" s="3" t="s">
        <v>35</v>
      </c>
      <c r="H67" s="3" t="s">
        <v>543</v>
      </c>
      <c r="I67" s="3" t="s">
        <v>17</v>
      </c>
      <c r="J67" s="3">
        <v>1</v>
      </c>
      <c r="K67" s="3" t="s">
        <v>39</v>
      </c>
      <c r="L67" s="5" t="s">
        <v>40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.6">
      <c r="A68" s="13">
        <v>2004</v>
      </c>
      <c r="B68" s="3" t="s">
        <v>60</v>
      </c>
      <c r="C68" s="32">
        <v>38167</v>
      </c>
      <c r="D68" s="3" t="s">
        <v>51</v>
      </c>
      <c r="E68" s="3" t="s">
        <v>543</v>
      </c>
      <c r="F68" s="32">
        <v>38173</v>
      </c>
      <c r="G68" s="3" t="s">
        <v>35</v>
      </c>
      <c r="H68" s="3" t="s">
        <v>543</v>
      </c>
      <c r="I68" s="3" t="s">
        <v>19</v>
      </c>
      <c r="J68" s="3">
        <v>1</v>
      </c>
      <c r="K68" s="3" t="s">
        <v>39</v>
      </c>
      <c r="L68" s="5" t="s">
        <v>40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.6">
      <c r="A69" s="13">
        <v>2004</v>
      </c>
      <c r="B69" s="3" t="s">
        <v>62</v>
      </c>
      <c r="C69" s="32">
        <v>38188</v>
      </c>
      <c r="D69" s="3" t="s">
        <v>51</v>
      </c>
      <c r="E69" s="3" t="s">
        <v>542</v>
      </c>
      <c r="F69" s="32">
        <v>38188</v>
      </c>
      <c r="G69" s="3" t="s">
        <v>51</v>
      </c>
      <c r="H69" s="3" t="s">
        <v>542</v>
      </c>
      <c r="I69" s="3" t="s">
        <v>19</v>
      </c>
      <c r="J69" s="3">
        <v>1</v>
      </c>
      <c r="K69" s="3" t="s">
        <v>39</v>
      </c>
      <c r="L69" s="5" t="s">
        <v>40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.6">
      <c r="A70" s="13">
        <v>2004</v>
      </c>
      <c r="B70" s="3" t="s">
        <v>64</v>
      </c>
      <c r="C70" s="32">
        <v>38206</v>
      </c>
      <c r="D70" s="3" t="s">
        <v>74</v>
      </c>
      <c r="E70" s="3" t="s">
        <v>542</v>
      </c>
      <c r="F70" s="32">
        <v>38206</v>
      </c>
      <c r="G70" s="3" t="s">
        <v>74</v>
      </c>
      <c r="H70" s="3" t="s">
        <v>542</v>
      </c>
      <c r="I70" s="3" t="s">
        <v>19</v>
      </c>
      <c r="J70" s="3">
        <v>1</v>
      </c>
      <c r="K70" s="3" t="s">
        <v>39</v>
      </c>
      <c r="L70" s="5" t="s">
        <v>40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.6">
      <c r="A71" s="13">
        <v>2004</v>
      </c>
      <c r="B71" s="3" t="s">
        <v>66</v>
      </c>
      <c r="C71" s="32">
        <v>38214</v>
      </c>
      <c r="D71" s="3" t="s">
        <v>96</v>
      </c>
      <c r="E71" s="3" t="s">
        <v>543</v>
      </c>
      <c r="F71" s="32">
        <v>38215</v>
      </c>
      <c r="G71" s="3" t="s">
        <v>35</v>
      </c>
      <c r="H71" s="3" t="s">
        <v>543</v>
      </c>
      <c r="I71" s="3" t="s">
        <v>19</v>
      </c>
      <c r="J71" s="3">
        <v>1</v>
      </c>
      <c r="K71" s="3" t="s">
        <v>39</v>
      </c>
      <c r="L71" s="5" t="s">
        <v>40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.6">
      <c r="A72" s="13">
        <v>2004</v>
      </c>
      <c r="B72" s="3" t="s">
        <v>68</v>
      </c>
      <c r="C72" s="32">
        <v>38272</v>
      </c>
      <c r="D72" s="3" t="s">
        <v>51</v>
      </c>
      <c r="E72" s="3" t="s">
        <v>543</v>
      </c>
      <c r="F72" s="32">
        <v>38278</v>
      </c>
      <c r="G72" s="3" t="s">
        <v>35</v>
      </c>
      <c r="H72" s="3" t="s">
        <v>543</v>
      </c>
      <c r="I72" s="3" t="s">
        <v>20</v>
      </c>
      <c r="J72" s="3">
        <v>1</v>
      </c>
      <c r="K72" s="3" t="s">
        <v>39</v>
      </c>
      <c r="L72" s="5" t="s">
        <v>40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.6">
      <c r="A73" s="13">
        <v>2004</v>
      </c>
      <c r="B73" s="3" t="s">
        <v>70</v>
      </c>
      <c r="C73" s="32">
        <v>38292</v>
      </c>
      <c r="D73" s="3" t="s">
        <v>35</v>
      </c>
      <c r="E73" s="3" t="s">
        <v>543</v>
      </c>
      <c r="F73" s="32">
        <v>38292</v>
      </c>
      <c r="G73" s="3" t="s">
        <v>35</v>
      </c>
      <c r="H73" s="3" t="s">
        <v>542</v>
      </c>
      <c r="I73" s="3" t="s">
        <v>20</v>
      </c>
      <c r="J73" s="3">
        <v>1</v>
      </c>
      <c r="K73" s="3" t="s">
        <v>39</v>
      </c>
      <c r="L73" s="5" t="s">
        <v>40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.6">
      <c r="A74" s="13">
        <v>2004</v>
      </c>
      <c r="B74" s="3" t="s">
        <v>72</v>
      </c>
      <c r="C74" s="32">
        <v>38302</v>
      </c>
      <c r="D74" s="3" t="s">
        <v>45</v>
      </c>
      <c r="E74" s="3" t="s">
        <v>543</v>
      </c>
      <c r="F74" s="32">
        <v>38306</v>
      </c>
      <c r="G74" s="3" t="s">
        <v>35</v>
      </c>
      <c r="H74" s="3" t="s">
        <v>543</v>
      </c>
      <c r="I74" s="3" t="s">
        <v>20</v>
      </c>
      <c r="J74" s="3">
        <v>1</v>
      </c>
      <c r="K74" s="3" t="s">
        <v>39</v>
      </c>
      <c r="L74" s="5" t="s">
        <v>40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.6">
      <c r="A75" s="13">
        <v>2004</v>
      </c>
      <c r="B75" s="3" t="s">
        <v>75</v>
      </c>
      <c r="C75" s="32">
        <v>38329</v>
      </c>
      <c r="D75" s="3" t="s">
        <v>84</v>
      </c>
      <c r="E75" s="3" t="s">
        <v>542</v>
      </c>
      <c r="F75" s="32">
        <v>38329</v>
      </c>
      <c r="G75" s="3" t="s">
        <v>84</v>
      </c>
      <c r="H75" s="3" t="s">
        <v>542</v>
      </c>
      <c r="I75" s="3" t="s">
        <v>20</v>
      </c>
      <c r="J75" s="3">
        <v>1</v>
      </c>
      <c r="K75" s="3" t="s">
        <v>39</v>
      </c>
      <c r="L75" s="5" t="s">
        <v>40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.6">
      <c r="A76" s="13">
        <v>2004</v>
      </c>
      <c r="B76" s="3" t="s">
        <v>77</v>
      </c>
      <c r="C76" s="32">
        <v>38346</v>
      </c>
      <c r="D76" s="3" t="s">
        <v>74</v>
      </c>
      <c r="E76" s="3" t="s">
        <v>542</v>
      </c>
      <c r="F76" s="32">
        <v>38346</v>
      </c>
      <c r="G76" s="3" t="s">
        <v>74</v>
      </c>
      <c r="H76" s="3" t="s">
        <v>542</v>
      </c>
      <c r="I76" s="3" t="s">
        <v>20</v>
      </c>
      <c r="J76" s="3">
        <v>1</v>
      </c>
      <c r="K76" s="3" t="s">
        <v>39</v>
      </c>
      <c r="L76" s="5" t="s">
        <v>40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.6">
      <c r="A77" s="13">
        <v>2005</v>
      </c>
      <c r="B77" s="3" t="s">
        <v>36</v>
      </c>
      <c r="C77" s="32">
        <v>38353</v>
      </c>
      <c r="D77" s="3" t="s">
        <v>74</v>
      </c>
      <c r="E77" s="3" t="s">
        <v>542</v>
      </c>
      <c r="F77" s="32">
        <v>38353</v>
      </c>
      <c r="G77" s="3" t="s">
        <v>74</v>
      </c>
      <c r="H77" s="3" t="s">
        <v>542</v>
      </c>
      <c r="I77" s="3" t="s">
        <v>15</v>
      </c>
      <c r="J77" s="3">
        <v>1</v>
      </c>
      <c r="K77" s="3" t="s">
        <v>39</v>
      </c>
      <c r="L77" s="5" t="s">
        <v>40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.6">
      <c r="A78" s="13">
        <v>2005</v>
      </c>
      <c r="B78" s="3" t="s">
        <v>41</v>
      </c>
      <c r="C78" s="32">
        <v>38358</v>
      </c>
      <c r="D78" s="3" t="s">
        <v>45</v>
      </c>
      <c r="E78" s="3" t="s">
        <v>543</v>
      </c>
      <c r="F78" s="32">
        <v>38362</v>
      </c>
      <c r="G78" s="3" t="s">
        <v>35</v>
      </c>
      <c r="H78" s="3" t="s">
        <v>543</v>
      </c>
      <c r="I78" s="3" t="s">
        <v>15</v>
      </c>
      <c r="J78" s="3">
        <v>1</v>
      </c>
      <c r="K78" s="3" t="s">
        <v>39</v>
      </c>
      <c r="L78" s="5" t="s">
        <v>40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.6">
      <c r="A79" s="13">
        <v>2005</v>
      </c>
      <c r="B79" s="3" t="s">
        <v>43</v>
      </c>
      <c r="C79" s="32">
        <v>38430</v>
      </c>
      <c r="D79" s="3" t="s">
        <v>74</v>
      </c>
      <c r="E79" s="3" t="s">
        <v>543</v>
      </c>
      <c r="F79" s="32">
        <v>38432</v>
      </c>
      <c r="G79" s="3" t="s">
        <v>35</v>
      </c>
      <c r="H79" s="3" t="s">
        <v>543</v>
      </c>
      <c r="I79" s="3" t="s">
        <v>15</v>
      </c>
      <c r="J79" s="3">
        <v>1</v>
      </c>
      <c r="K79" s="3" t="s">
        <v>39</v>
      </c>
      <c r="L79" s="5" t="s">
        <v>40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.6">
      <c r="A80" s="13">
        <v>2005</v>
      </c>
      <c r="B80" s="3" t="s">
        <v>46</v>
      </c>
      <c r="C80" s="32">
        <v>38435</v>
      </c>
      <c r="D80" s="3" t="s">
        <v>45</v>
      </c>
      <c r="E80" s="3" t="s">
        <v>542</v>
      </c>
      <c r="F80" s="32">
        <v>38435</v>
      </c>
      <c r="G80" s="3" t="s">
        <v>45</v>
      </c>
      <c r="H80" s="3" t="s">
        <v>542</v>
      </c>
      <c r="I80" s="3" t="s">
        <v>15</v>
      </c>
      <c r="J80" s="3">
        <v>1</v>
      </c>
      <c r="K80" s="3" t="s">
        <v>39</v>
      </c>
      <c r="L80" s="5" t="s">
        <v>40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.6">
      <c r="A81" s="13">
        <v>2005</v>
      </c>
      <c r="B81" s="3" t="s">
        <v>49</v>
      </c>
      <c r="C81" s="32">
        <v>38436</v>
      </c>
      <c r="D81" s="3" t="s">
        <v>48</v>
      </c>
      <c r="E81" s="3" t="s">
        <v>542</v>
      </c>
      <c r="F81" s="32">
        <v>38436</v>
      </c>
      <c r="G81" s="3" t="s">
        <v>48</v>
      </c>
      <c r="H81" s="3" t="s">
        <v>542</v>
      </c>
      <c r="I81" s="3" t="s">
        <v>15</v>
      </c>
      <c r="J81" s="3">
        <v>1</v>
      </c>
      <c r="K81" s="3" t="s">
        <v>39</v>
      </c>
      <c r="L81" s="5" t="s">
        <v>40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.6">
      <c r="A82" s="13">
        <v>2005</v>
      </c>
      <c r="B82" s="3" t="s">
        <v>52</v>
      </c>
      <c r="C82" s="32">
        <v>38473</v>
      </c>
      <c r="D82" s="3" t="s">
        <v>96</v>
      </c>
      <c r="E82" s="3" t="s">
        <v>542</v>
      </c>
      <c r="F82" s="32">
        <v>38473</v>
      </c>
      <c r="G82" s="3" t="s">
        <v>96</v>
      </c>
      <c r="H82" s="3" t="s">
        <v>542</v>
      </c>
      <c r="I82" s="3" t="s">
        <v>17</v>
      </c>
      <c r="J82" s="3">
        <v>0</v>
      </c>
      <c r="K82" s="3" t="s">
        <v>39</v>
      </c>
      <c r="L82" s="5" t="s">
        <v>40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.6">
      <c r="A83" s="13">
        <v>2005</v>
      </c>
      <c r="B83" s="3" t="s">
        <v>54</v>
      </c>
      <c r="C83" s="32">
        <v>38477</v>
      </c>
      <c r="D83" s="3" t="s">
        <v>45</v>
      </c>
      <c r="E83" s="3" t="s">
        <v>543</v>
      </c>
      <c r="F83" s="32">
        <v>38481</v>
      </c>
      <c r="G83" s="3" t="s">
        <v>35</v>
      </c>
      <c r="H83" s="3" t="s">
        <v>543</v>
      </c>
      <c r="I83" s="3" t="s">
        <v>17</v>
      </c>
      <c r="J83" s="3">
        <v>1</v>
      </c>
      <c r="K83" s="3" t="s">
        <v>39</v>
      </c>
      <c r="L83" s="5" t="s">
        <v>40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.6">
      <c r="A84" s="13">
        <v>2005</v>
      </c>
      <c r="B84" s="3" t="s">
        <v>56</v>
      </c>
      <c r="C84" s="32">
        <v>38498</v>
      </c>
      <c r="D84" s="3" t="s">
        <v>45</v>
      </c>
      <c r="E84" s="3" t="s">
        <v>543</v>
      </c>
      <c r="F84" s="32">
        <v>38502</v>
      </c>
      <c r="G84" s="3" t="s">
        <v>35</v>
      </c>
      <c r="H84" s="3" t="s">
        <v>543</v>
      </c>
      <c r="I84" s="3" t="s">
        <v>17</v>
      </c>
      <c r="J84" s="3">
        <v>1</v>
      </c>
      <c r="K84" s="3" t="s">
        <v>39</v>
      </c>
      <c r="L84" s="5" t="s">
        <v>40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.6">
      <c r="A85" s="13">
        <v>2005</v>
      </c>
      <c r="B85" s="3" t="s">
        <v>58</v>
      </c>
      <c r="C85" s="32">
        <v>38506</v>
      </c>
      <c r="D85" s="3" t="s">
        <v>48</v>
      </c>
      <c r="E85" s="3" t="s">
        <v>543</v>
      </c>
      <c r="F85" s="32">
        <v>38509</v>
      </c>
      <c r="G85" s="3" t="s">
        <v>35</v>
      </c>
      <c r="H85" s="3" t="s">
        <v>543</v>
      </c>
      <c r="I85" s="3" t="s">
        <v>17</v>
      </c>
      <c r="J85" s="3">
        <v>1</v>
      </c>
      <c r="K85" s="3" t="s">
        <v>39</v>
      </c>
      <c r="L85" s="5" t="s">
        <v>40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.6">
      <c r="A86" s="13">
        <v>2005</v>
      </c>
      <c r="B86" s="3" t="s">
        <v>60</v>
      </c>
      <c r="C86" s="32">
        <v>38532</v>
      </c>
      <c r="D86" s="3" t="s">
        <v>84</v>
      </c>
      <c r="E86" s="3" t="s">
        <v>543</v>
      </c>
      <c r="F86" s="32">
        <v>38537</v>
      </c>
      <c r="G86" s="3" t="s">
        <v>35</v>
      </c>
      <c r="H86" s="3" t="s">
        <v>543</v>
      </c>
      <c r="I86" s="3" t="s">
        <v>19</v>
      </c>
      <c r="J86" s="3">
        <v>1</v>
      </c>
      <c r="K86" s="3" t="s">
        <v>39</v>
      </c>
      <c r="L86" s="5" t="s">
        <v>40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.6">
      <c r="A87" s="13">
        <v>2005</v>
      </c>
      <c r="B87" s="3" t="s">
        <v>62</v>
      </c>
      <c r="C87" s="32">
        <v>38553</v>
      </c>
      <c r="D87" s="3" t="s">
        <v>84</v>
      </c>
      <c r="E87" s="3" t="s">
        <v>542</v>
      </c>
      <c r="F87" s="32">
        <v>38553</v>
      </c>
      <c r="G87" s="3" t="s">
        <v>84</v>
      </c>
      <c r="H87" s="3" t="s">
        <v>542</v>
      </c>
      <c r="I87" s="3" t="s">
        <v>19</v>
      </c>
      <c r="J87" s="3">
        <v>1</v>
      </c>
      <c r="K87" s="3" t="s">
        <v>39</v>
      </c>
      <c r="L87" s="5" t="s">
        <v>40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.6">
      <c r="A88" s="13">
        <v>2005</v>
      </c>
      <c r="B88" s="3" t="s">
        <v>64</v>
      </c>
      <c r="C88" s="32">
        <v>38571</v>
      </c>
      <c r="D88" s="3" t="s">
        <v>96</v>
      </c>
      <c r="E88" s="3" t="s">
        <v>542</v>
      </c>
      <c r="F88" s="32">
        <v>38571</v>
      </c>
      <c r="G88" s="3" t="s">
        <v>96</v>
      </c>
      <c r="H88" s="3" t="s">
        <v>542</v>
      </c>
      <c r="I88" s="3" t="s">
        <v>19</v>
      </c>
      <c r="J88" s="3">
        <v>0</v>
      </c>
      <c r="K88" s="3" t="s">
        <v>39</v>
      </c>
      <c r="L88" s="5" t="s">
        <v>40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.6">
      <c r="A89" s="13">
        <v>2005</v>
      </c>
      <c r="B89" s="3" t="s">
        <v>66</v>
      </c>
      <c r="C89" s="32">
        <v>38579</v>
      </c>
      <c r="D89" s="3" t="s">
        <v>35</v>
      </c>
      <c r="E89" s="3" t="s">
        <v>543</v>
      </c>
      <c r="F89" s="32">
        <v>38579</v>
      </c>
      <c r="G89" s="3" t="s">
        <v>35</v>
      </c>
      <c r="H89" s="3" t="s">
        <v>542</v>
      </c>
      <c r="I89" s="3" t="s">
        <v>19</v>
      </c>
      <c r="J89" s="3">
        <v>1</v>
      </c>
      <c r="K89" s="3" t="s">
        <v>39</v>
      </c>
      <c r="L89" s="5" t="s">
        <v>40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.6">
      <c r="A90" s="13">
        <v>2005</v>
      </c>
      <c r="B90" s="3" t="s">
        <v>68</v>
      </c>
      <c r="C90" s="32">
        <v>38637</v>
      </c>
      <c r="D90" s="3" t="s">
        <v>84</v>
      </c>
      <c r="E90" s="3" t="s">
        <v>543</v>
      </c>
      <c r="F90" s="32">
        <v>38642</v>
      </c>
      <c r="G90" s="3" t="s">
        <v>35</v>
      </c>
      <c r="H90" s="3" t="s">
        <v>543</v>
      </c>
      <c r="I90" s="3" t="s">
        <v>20</v>
      </c>
      <c r="J90" s="3">
        <v>1</v>
      </c>
      <c r="K90" s="3" t="s">
        <v>39</v>
      </c>
      <c r="L90" s="5" t="s">
        <v>40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.6">
      <c r="A91" s="13">
        <v>2005</v>
      </c>
      <c r="B91" s="3" t="s">
        <v>70</v>
      </c>
      <c r="C91" s="32">
        <v>38657</v>
      </c>
      <c r="D91" s="3" t="s">
        <v>51</v>
      </c>
      <c r="E91" s="3" t="s">
        <v>543</v>
      </c>
      <c r="F91" s="32">
        <v>38663</v>
      </c>
      <c r="G91" s="3" t="s">
        <v>35</v>
      </c>
      <c r="H91" s="3" t="s">
        <v>543</v>
      </c>
      <c r="I91" s="3" t="s">
        <v>20</v>
      </c>
      <c r="J91" s="3">
        <v>1</v>
      </c>
      <c r="K91" s="3" t="s">
        <v>39</v>
      </c>
      <c r="L91" s="5" t="s">
        <v>40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.6">
      <c r="A92" s="13">
        <v>2005</v>
      </c>
      <c r="B92" s="3" t="s">
        <v>72</v>
      </c>
      <c r="C92" s="32">
        <v>38667</v>
      </c>
      <c r="D92" s="3" t="s">
        <v>48</v>
      </c>
      <c r="E92" s="3" t="s">
        <v>543</v>
      </c>
      <c r="F92" s="32">
        <v>38670</v>
      </c>
      <c r="G92" s="3" t="s">
        <v>35</v>
      </c>
      <c r="H92" s="3" t="s">
        <v>543</v>
      </c>
      <c r="I92" s="3" t="s">
        <v>20</v>
      </c>
      <c r="J92" s="3">
        <v>1</v>
      </c>
      <c r="K92" s="3" t="s">
        <v>39</v>
      </c>
      <c r="L92" s="5" t="s">
        <v>40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.6">
      <c r="A93" s="13">
        <v>2005</v>
      </c>
      <c r="B93" s="3" t="s">
        <v>75</v>
      </c>
      <c r="C93" s="32">
        <v>38694</v>
      </c>
      <c r="D93" s="3" t="s">
        <v>45</v>
      </c>
      <c r="E93" s="3" t="s">
        <v>542</v>
      </c>
      <c r="F93" s="32">
        <v>38694</v>
      </c>
      <c r="G93" s="3" t="s">
        <v>45</v>
      </c>
      <c r="H93" s="3" t="s">
        <v>542</v>
      </c>
      <c r="I93" s="3" t="s">
        <v>20</v>
      </c>
      <c r="J93" s="3">
        <v>1</v>
      </c>
      <c r="K93" s="3" t="s">
        <v>39</v>
      </c>
      <c r="L93" s="5" t="s">
        <v>40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.6">
      <c r="A94" s="13">
        <v>2005</v>
      </c>
      <c r="B94" s="3" t="s">
        <v>77</v>
      </c>
      <c r="C94" s="32">
        <v>38711</v>
      </c>
      <c r="D94" s="3" t="s">
        <v>96</v>
      </c>
      <c r="E94" s="3" t="s">
        <v>542</v>
      </c>
      <c r="F94" s="32">
        <v>38711</v>
      </c>
      <c r="G94" s="3" t="s">
        <v>96</v>
      </c>
      <c r="H94" s="3" t="s">
        <v>542</v>
      </c>
      <c r="I94" s="3" t="s">
        <v>20</v>
      </c>
      <c r="J94" s="3">
        <v>0</v>
      </c>
      <c r="K94" s="3" t="s">
        <v>39</v>
      </c>
      <c r="L94" s="5" t="s">
        <v>40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.6">
      <c r="A95" s="13">
        <v>2006</v>
      </c>
      <c r="B95" s="3" t="s">
        <v>36</v>
      </c>
      <c r="C95" s="32">
        <v>38718</v>
      </c>
      <c r="D95" s="3" t="s">
        <v>96</v>
      </c>
      <c r="E95" s="3" t="s">
        <v>542</v>
      </c>
      <c r="F95" s="32">
        <v>38718</v>
      </c>
      <c r="G95" s="3" t="s">
        <v>96</v>
      </c>
      <c r="H95" s="3" t="s">
        <v>542</v>
      </c>
      <c r="I95" s="3" t="s">
        <v>15</v>
      </c>
      <c r="J95" s="3">
        <v>0</v>
      </c>
      <c r="K95" s="3" t="s">
        <v>39</v>
      </c>
      <c r="L95" s="5" t="s">
        <v>40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.6">
      <c r="A96" s="13">
        <v>2006</v>
      </c>
      <c r="B96" s="3" t="s">
        <v>41</v>
      </c>
      <c r="C96" s="32">
        <v>38723</v>
      </c>
      <c r="D96" s="3" t="s">
        <v>48</v>
      </c>
      <c r="E96" s="3" t="s">
        <v>543</v>
      </c>
      <c r="F96" s="32">
        <v>38726</v>
      </c>
      <c r="G96" s="3" t="s">
        <v>35</v>
      </c>
      <c r="H96" s="3" t="s">
        <v>543</v>
      </c>
      <c r="I96" s="3" t="s">
        <v>15</v>
      </c>
      <c r="J96" s="3">
        <v>1</v>
      </c>
      <c r="K96" s="3" t="s">
        <v>39</v>
      </c>
      <c r="L96" s="5" t="s">
        <v>40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.6">
      <c r="A97" s="13">
        <v>2006</v>
      </c>
      <c r="B97" s="3" t="s">
        <v>43</v>
      </c>
      <c r="C97" s="32">
        <v>38795</v>
      </c>
      <c r="D97" s="3" t="s">
        <v>96</v>
      </c>
      <c r="E97" s="3" t="s">
        <v>543</v>
      </c>
      <c r="F97" s="32">
        <v>38796</v>
      </c>
      <c r="G97" s="3" t="s">
        <v>35</v>
      </c>
      <c r="H97" s="3" t="s">
        <v>543</v>
      </c>
      <c r="I97" s="3" t="s">
        <v>15</v>
      </c>
      <c r="J97" s="3">
        <v>1</v>
      </c>
      <c r="K97" s="3" t="s">
        <v>39</v>
      </c>
      <c r="L97" s="5" t="s">
        <v>40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.6">
      <c r="A98" s="13">
        <v>2006</v>
      </c>
      <c r="B98" s="3" t="s">
        <v>46</v>
      </c>
      <c r="C98" s="32">
        <v>38820</v>
      </c>
      <c r="D98" s="3" t="s">
        <v>45</v>
      </c>
      <c r="E98" s="3" t="s">
        <v>542</v>
      </c>
      <c r="F98" s="32">
        <v>38820</v>
      </c>
      <c r="G98" s="3" t="s">
        <v>45</v>
      </c>
      <c r="H98" s="3" t="s">
        <v>542</v>
      </c>
      <c r="I98" s="3" t="s">
        <v>17</v>
      </c>
      <c r="J98" s="3">
        <v>1</v>
      </c>
      <c r="K98" s="3" t="s">
        <v>39</v>
      </c>
      <c r="L98" s="5" t="s">
        <v>40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.6">
      <c r="A99" s="13">
        <v>2006</v>
      </c>
      <c r="B99" s="3" t="s">
        <v>49</v>
      </c>
      <c r="C99" s="32">
        <v>38821</v>
      </c>
      <c r="D99" s="3" t="s">
        <v>48</v>
      </c>
      <c r="E99" s="3" t="s">
        <v>542</v>
      </c>
      <c r="F99" s="32">
        <v>38821</v>
      </c>
      <c r="G99" s="3" t="s">
        <v>48</v>
      </c>
      <c r="H99" s="3" t="s">
        <v>542</v>
      </c>
      <c r="I99" s="3" t="s">
        <v>17</v>
      </c>
      <c r="J99" s="3">
        <v>1</v>
      </c>
      <c r="K99" s="3" t="s">
        <v>39</v>
      </c>
      <c r="L99" s="5" t="s">
        <v>40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.6">
      <c r="A100" s="13">
        <v>2006</v>
      </c>
      <c r="B100" s="3" t="s">
        <v>52</v>
      </c>
      <c r="C100" s="32">
        <v>38838</v>
      </c>
      <c r="D100" s="3" t="s">
        <v>35</v>
      </c>
      <c r="E100" s="3" t="s">
        <v>542</v>
      </c>
      <c r="F100" s="32">
        <v>38838</v>
      </c>
      <c r="G100" s="3" t="s">
        <v>35</v>
      </c>
      <c r="H100" s="3" t="s">
        <v>542</v>
      </c>
      <c r="I100" s="3" t="s">
        <v>17</v>
      </c>
      <c r="J100" s="3">
        <v>1</v>
      </c>
      <c r="K100" s="3" t="s">
        <v>39</v>
      </c>
      <c r="L100" s="5" t="s">
        <v>40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.6">
      <c r="A101" s="13">
        <v>2006</v>
      </c>
      <c r="B101" s="3" t="s">
        <v>54</v>
      </c>
      <c r="C101" s="32">
        <v>38862</v>
      </c>
      <c r="D101" s="3" t="s">
        <v>45</v>
      </c>
      <c r="E101" s="3" t="s">
        <v>543</v>
      </c>
      <c r="F101" s="32">
        <v>38866</v>
      </c>
      <c r="G101" s="3" t="s">
        <v>35</v>
      </c>
      <c r="H101" s="3" t="s">
        <v>543</v>
      </c>
      <c r="I101" s="3" t="s">
        <v>17</v>
      </c>
      <c r="J101" s="3">
        <v>1</v>
      </c>
      <c r="K101" s="3" t="s">
        <v>39</v>
      </c>
      <c r="L101" s="5" t="s">
        <v>40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.6">
      <c r="A102" s="13">
        <v>2006</v>
      </c>
      <c r="B102" s="3" t="s">
        <v>56</v>
      </c>
      <c r="C102" s="32">
        <v>38883</v>
      </c>
      <c r="D102" s="3" t="s">
        <v>45</v>
      </c>
      <c r="E102" s="3" t="s">
        <v>543</v>
      </c>
      <c r="F102" s="32">
        <v>38887</v>
      </c>
      <c r="G102" s="3" t="s">
        <v>35</v>
      </c>
      <c r="H102" s="3" t="s">
        <v>543</v>
      </c>
      <c r="I102" s="3" t="s">
        <v>17</v>
      </c>
      <c r="J102" s="3">
        <v>1</v>
      </c>
      <c r="K102" s="3" t="s">
        <v>39</v>
      </c>
      <c r="L102" s="5" t="s">
        <v>40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.6">
      <c r="A103" s="13">
        <v>2006</v>
      </c>
      <c r="B103" s="3" t="s">
        <v>58</v>
      </c>
      <c r="C103" s="32">
        <v>38891</v>
      </c>
      <c r="D103" s="3" t="s">
        <v>48</v>
      </c>
      <c r="E103" s="3" t="s">
        <v>543</v>
      </c>
      <c r="F103" s="32">
        <v>38894</v>
      </c>
      <c r="G103" s="3" t="s">
        <v>35</v>
      </c>
      <c r="H103" s="3" t="s">
        <v>543</v>
      </c>
      <c r="I103" s="3" t="s">
        <v>17</v>
      </c>
      <c r="J103" s="3">
        <v>1</v>
      </c>
      <c r="K103" s="3" t="s">
        <v>39</v>
      </c>
      <c r="L103" s="5" t="s">
        <v>40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.6">
      <c r="A104" s="13">
        <v>2006</v>
      </c>
      <c r="B104" s="3" t="s">
        <v>60</v>
      </c>
      <c r="C104" s="32">
        <v>38897</v>
      </c>
      <c r="D104" s="3" t="s">
        <v>45</v>
      </c>
      <c r="E104" s="3" t="s">
        <v>543</v>
      </c>
      <c r="F104" s="32">
        <v>38901</v>
      </c>
      <c r="G104" s="3" t="s">
        <v>35</v>
      </c>
      <c r="H104" s="3" t="s">
        <v>543</v>
      </c>
      <c r="I104" s="3" t="s">
        <v>19</v>
      </c>
      <c r="J104" s="3">
        <v>1</v>
      </c>
      <c r="K104" s="3" t="s">
        <v>39</v>
      </c>
      <c r="L104" s="5" t="s">
        <v>40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.6">
      <c r="A105" s="13">
        <v>2006</v>
      </c>
      <c r="B105" s="3" t="s">
        <v>62</v>
      </c>
      <c r="C105" s="32">
        <v>38918</v>
      </c>
      <c r="D105" s="3" t="s">
        <v>45</v>
      </c>
      <c r="E105" s="3" t="s">
        <v>542</v>
      </c>
      <c r="F105" s="32">
        <v>38918</v>
      </c>
      <c r="G105" s="3" t="s">
        <v>45</v>
      </c>
      <c r="H105" s="3" t="s">
        <v>542</v>
      </c>
      <c r="I105" s="3" t="s">
        <v>19</v>
      </c>
      <c r="J105" s="3">
        <v>1</v>
      </c>
      <c r="K105" s="3" t="s">
        <v>39</v>
      </c>
      <c r="L105" s="5" t="s">
        <v>40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.6">
      <c r="A106" s="13">
        <v>2006</v>
      </c>
      <c r="B106" s="3" t="s">
        <v>64</v>
      </c>
      <c r="C106" s="32">
        <v>38936</v>
      </c>
      <c r="D106" s="3" t="s">
        <v>35</v>
      </c>
      <c r="E106" s="3" t="s">
        <v>542</v>
      </c>
      <c r="F106" s="32">
        <v>38936</v>
      </c>
      <c r="G106" s="3" t="s">
        <v>35</v>
      </c>
      <c r="H106" s="3" t="s">
        <v>542</v>
      </c>
      <c r="I106" s="3" t="s">
        <v>19</v>
      </c>
      <c r="J106" s="3">
        <v>1</v>
      </c>
      <c r="K106" s="3" t="s">
        <v>39</v>
      </c>
      <c r="L106" s="5" t="s">
        <v>40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.6">
      <c r="A107" s="13">
        <v>2006</v>
      </c>
      <c r="B107" s="3" t="s">
        <v>66</v>
      </c>
      <c r="C107" s="32">
        <v>38944</v>
      </c>
      <c r="D107" s="3" t="s">
        <v>51</v>
      </c>
      <c r="E107" s="3" t="s">
        <v>543</v>
      </c>
      <c r="F107" s="32">
        <v>38950</v>
      </c>
      <c r="G107" s="3" t="s">
        <v>35</v>
      </c>
      <c r="H107" s="3" t="s">
        <v>543</v>
      </c>
      <c r="I107" s="3" t="s">
        <v>19</v>
      </c>
      <c r="J107" s="3">
        <v>1</v>
      </c>
      <c r="K107" s="3" t="s">
        <v>39</v>
      </c>
      <c r="L107" s="5" t="s">
        <v>40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.6">
      <c r="A108" s="13">
        <v>2006</v>
      </c>
      <c r="B108" s="3" t="s">
        <v>68</v>
      </c>
      <c r="C108" s="32">
        <v>39002</v>
      </c>
      <c r="D108" s="3" t="s">
        <v>45</v>
      </c>
      <c r="E108" s="3" t="s">
        <v>543</v>
      </c>
      <c r="F108" s="32">
        <v>39006</v>
      </c>
      <c r="G108" s="3" t="s">
        <v>35</v>
      </c>
      <c r="H108" s="3" t="s">
        <v>543</v>
      </c>
      <c r="I108" s="3" t="s">
        <v>20</v>
      </c>
      <c r="J108" s="3">
        <v>1</v>
      </c>
      <c r="K108" s="3" t="s">
        <v>39</v>
      </c>
      <c r="L108" s="5" t="s">
        <v>40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.6">
      <c r="A109" s="13">
        <v>2006</v>
      </c>
      <c r="B109" s="3" t="s">
        <v>70</v>
      </c>
      <c r="C109" s="32">
        <v>39022</v>
      </c>
      <c r="D109" s="3" t="s">
        <v>84</v>
      </c>
      <c r="E109" s="3" t="s">
        <v>543</v>
      </c>
      <c r="F109" s="32">
        <v>39027</v>
      </c>
      <c r="G109" s="3" t="s">
        <v>35</v>
      </c>
      <c r="H109" s="3" t="s">
        <v>543</v>
      </c>
      <c r="I109" s="3" t="s">
        <v>20</v>
      </c>
      <c r="J109" s="3">
        <v>1</v>
      </c>
      <c r="K109" s="3" t="s">
        <v>39</v>
      </c>
      <c r="L109" s="5" t="s">
        <v>40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.6">
      <c r="A110" s="13">
        <v>2006</v>
      </c>
      <c r="B110" s="3" t="s">
        <v>72</v>
      </c>
      <c r="C110" s="32">
        <v>39032</v>
      </c>
      <c r="D110" s="3" t="s">
        <v>74</v>
      </c>
      <c r="E110" s="3" t="s">
        <v>543</v>
      </c>
      <c r="F110" s="32">
        <v>39034</v>
      </c>
      <c r="G110" s="3" t="s">
        <v>35</v>
      </c>
      <c r="H110" s="3" t="s">
        <v>543</v>
      </c>
      <c r="I110" s="3" t="s">
        <v>20</v>
      </c>
      <c r="J110" s="3">
        <v>1</v>
      </c>
      <c r="K110" s="3" t="s">
        <v>39</v>
      </c>
      <c r="L110" s="5" t="s">
        <v>40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.6">
      <c r="A111" s="13">
        <v>2006</v>
      </c>
      <c r="B111" s="3" t="s">
        <v>75</v>
      </c>
      <c r="C111" s="32">
        <v>39059</v>
      </c>
      <c r="D111" s="3" t="s">
        <v>48</v>
      </c>
      <c r="E111" s="3" t="s">
        <v>542</v>
      </c>
      <c r="F111" s="32">
        <v>39059</v>
      </c>
      <c r="G111" s="3" t="s">
        <v>48</v>
      </c>
      <c r="H111" s="3" t="s">
        <v>542</v>
      </c>
      <c r="I111" s="3" t="s">
        <v>20</v>
      </c>
      <c r="J111" s="3">
        <v>1</v>
      </c>
      <c r="K111" s="3" t="s">
        <v>39</v>
      </c>
      <c r="L111" s="5" t="s">
        <v>40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.6">
      <c r="A112" s="13">
        <v>2006</v>
      </c>
      <c r="B112" s="3" t="s">
        <v>77</v>
      </c>
      <c r="C112" s="32">
        <v>39076</v>
      </c>
      <c r="D112" s="3" t="s">
        <v>35</v>
      </c>
      <c r="E112" s="3" t="s">
        <v>542</v>
      </c>
      <c r="F112" s="32">
        <v>39076</v>
      </c>
      <c r="G112" s="3" t="s">
        <v>35</v>
      </c>
      <c r="H112" s="3" t="s">
        <v>542</v>
      </c>
      <c r="I112" s="3" t="s">
        <v>20</v>
      </c>
      <c r="J112" s="3">
        <v>1</v>
      </c>
      <c r="K112" s="3" t="s">
        <v>39</v>
      </c>
      <c r="L112" s="5" t="s">
        <v>40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.6">
      <c r="A113" s="13">
        <v>2007</v>
      </c>
      <c r="B113" s="3" t="s">
        <v>36</v>
      </c>
      <c r="C113" s="32">
        <v>39083</v>
      </c>
      <c r="D113" s="3" t="s">
        <v>35</v>
      </c>
      <c r="E113" s="3" t="s">
        <v>542</v>
      </c>
      <c r="F113" s="32">
        <v>39083</v>
      </c>
      <c r="G113" s="3" t="s">
        <v>35</v>
      </c>
      <c r="H113" s="3" t="s">
        <v>542</v>
      </c>
      <c r="I113" s="3" t="s">
        <v>15</v>
      </c>
      <c r="J113" s="3">
        <v>1</v>
      </c>
      <c r="K113" s="3" t="s">
        <v>39</v>
      </c>
      <c r="L113" s="5" t="s">
        <v>40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.6">
      <c r="A114" s="13">
        <v>2007</v>
      </c>
      <c r="B114" s="3" t="s">
        <v>41</v>
      </c>
      <c r="C114" s="32">
        <v>39088</v>
      </c>
      <c r="D114" s="3" t="s">
        <v>74</v>
      </c>
      <c r="E114" s="3" t="s">
        <v>543</v>
      </c>
      <c r="F114" s="32">
        <v>39090</v>
      </c>
      <c r="G114" s="3" t="s">
        <v>35</v>
      </c>
      <c r="H114" s="3" t="s">
        <v>543</v>
      </c>
      <c r="I114" s="3" t="s">
        <v>15</v>
      </c>
      <c r="J114" s="3">
        <v>1</v>
      </c>
      <c r="K114" s="3" t="s">
        <v>39</v>
      </c>
      <c r="L114" s="5" t="s">
        <v>40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.6">
      <c r="A115" s="13">
        <v>2007</v>
      </c>
      <c r="B115" s="3" t="s">
        <v>43</v>
      </c>
      <c r="C115" s="32">
        <v>39160</v>
      </c>
      <c r="D115" s="3" t="s">
        <v>35</v>
      </c>
      <c r="E115" s="3" t="s">
        <v>543</v>
      </c>
      <c r="F115" s="32">
        <v>39160</v>
      </c>
      <c r="G115" s="3" t="s">
        <v>35</v>
      </c>
      <c r="H115" s="3" t="s">
        <v>542</v>
      </c>
      <c r="I115" s="3" t="s">
        <v>15</v>
      </c>
      <c r="J115" s="3">
        <v>1</v>
      </c>
      <c r="K115" s="3" t="s">
        <v>39</v>
      </c>
      <c r="L115" s="5" t="s">
        <v>40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.6">
      <c r="A116" s="13">
        <v>2007</v>
      </c>
      <c r="B116" s="3" t="s">
        <v>46</v>
      </c>
      <c r="C116" s="32">
        <v>39177</v>
      </c>
      <c r="D116" s="3" t="s">
        <v>45</v>
      </c>
      <c r="E116" s="3" t="s">
        <v>542</v>
      </c>
      <c r="F116" s="32">
        <v>39177</v>
      </c>
      <c r="G116" s="3" t="s">
        <v>45</v>
      </c>
      <c r="H116" s="3" t="s">
        <v>542</v>
      </c>
      <c r="I116" s="3" t="s">
        <v>17</v>
      </c>
      <c r="J116" s="3">
        <v>1</v>
      </c>
      <c r="K116" s="3" t="s">
        <v>39</v>
      </c>
      <c r="L116" s="5" t="s">
        <v>40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.6">
      <c r="A117" s="13">
        <v>2007</v>
      </c>
      <c r="B117" s="3" t="s">
        <v>49</v>
      </c>
      <c r="C117" s="32">
        <v>39178</v>
      </c>
      <c r="D117" s="3" t="s">
        <v>48</v>
      </c>
      <c r="E117" s="3" t="s">
        <v>542</v>
      </c>
      <c r="F117" s="32">
        <v>39178</v>
      </c>
      <c r="G117" s="3" t="s">
        <v>48</v>
      </c>
      <c r="H117" s="3" t="s">
        <v>542</v>
      </c>
      <c r="I117" s="3" t="s">
        <v>17</v>
      </c>
      <c r="J117" s="3">
        <v>1</v>
      </c>
      <c r="K117" s="3" t="s">
        <v>39</v>
      </c>
      <c r="L117" s="5" t="s">
        <v>40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.6">
      <c r="A118" s="13">
        <v>2007</v>
      </c>
      <c r="B118" s="3" t="s">
        <v>52</v>
      </c>
      <c r="C118" s="32">
        <v>39203</v>
      </c>
      <c r="D118" s="3" t="s">
        <v>51</v>
      </c>
      <c r="E118" s="3" t="s">
        <v>542</v>
      </c>
      <c r="F118" s="32">
        <v>39203</v>
      </c>
      <c r="G118" s="3" t="s">
        <v>51</v>
      </c>
      <c r="H118" s="3" t="s">
        <v>542</v>
      </c>
      <c r="I118" s="3" t="s">
        <v>17</v>
      </c>
      <c r="J118" s="3">
        <v>1</v>
      </c>
      <c r="K118" s="3" t="s">
        <v>39</v>
      </c>
      <c r="L118" s="5" t="s">
        <v>40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.6">
      <c r="A119" s="13">
        <v>2007</v>
      </c>
      <c r="B119" s="3" t="s">
        <v>54</v>
      </c>
      <c r="C119" s="32">
        <v>39219</v>
      </c>
      <c r="D119" s="3" t="s">
        <v>45</v>
      </c>
      <c r="E119" s="3" t="s">
        <v>543</v>
      </c>
      <c r="F119" s="32">
        <v>39223</v>
      </c>
      <c r="G119" s="3" t="s">
        <v>35</v>
      </c>
      <c r="H119" s="3" t="s">
        <v>543</v>
      </c>
      <c r="I119" s="3" t="s">
        <v>17</v>
      </c>
      <c r="J119" s="3">
        <v>1</v>
      </c>
      <c r="K119" s="3" t="s">
        <v>39</v>
      </c>
      <c r="L119" s="5" t="s">
        <v>40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.6">
      <c r="A120" s="13">
        <v>2007</v>
      </c>
      <c r="B120" s="3" t="s">
        <v>56</v>
      </c>
      <c r="C120" s="32">
        <v>39240</v>
      </c>
      <c r="D120" s="3" t="s">
        <v>45</v>
      </c>
      <c r="E120" s="3" t="s">
        <v>543</v>
      </c>
      <c r="F120" s="32">
        <v>39244</v>
      </c>
      <c r="G120" s="3" t="s">
        <v>35</v>
      </c>
      <c r="H120" s="3" t="s">
        <v>543</v>
      </c>
      <c r="I120" s="3" t="s">
        <v>17</v>
      </c>
      <c r="J120" s="3">
        <v>1</v>
      </c>
      <c r="K120" s="3" t="s">
        <v>39</v>
      </c>
      <c r="L120" s="5" t="s">
        <v>40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.6">
      <c r="A121" s="13">
        <v>2007</v>
      </c>
      <c r="B121" s="3" t="s">
        <v>58</v>
      </c>
      <c r="C121" s="32">
        <v>39248</v>
      </c>
      <c r="D121" s="3" t="s">
        <v>48</v>
      </c>
      <c r="E121" s="3" t="s">
        <v>543</v>
      </c>
      <c r="F121" s="32">
        <v>39251</v>
      </c>
      <c r="G121" s="3" t="s">
        <v>35</v>
      </c>
      <c r="H121" s="3" t="s">
        <v>543</v>
      </c>
      <c r="I121" s="3" t="s">
        <v>17</v>
      </c>
      <c r="J121" s="3">
        <v>1</v>
      </c>
      <c r="K121" s="3" t="s">
        <v>39</v>
      </c>
      <c r="L121" s="5" t="s">
        <v>40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.6">
      <c r="A122" s="13">
        <v>2007</v>
      </c>
      <c r="B122" s="3" t="s">
        <v>60</v>
      </c>
      <c r="C122" s="32">
        <v>39262</v>
      </c>
      <c r="D122" s="3" t="s">
        <v>48</v>
      </c>
      <c r="E122" s="3" t="s">
        <v>543</v>
      </c>
      <c r="F122" s="32">
        <v>39265</v>
      </c>
      <c r="G122" s="3" t="s">
        <v>35</v>
      </c>
      <c r="H122" s="3" t="s">
        <v>543</v>
      </c>
      <c r="I122" s="3" t="s">
        <v>19</v>
      </c>
      <c r="J122" s="3">
        <v>1</v>
      </c>
      <c r="K122" s="3" t="s">
        <v>39</v>
      </c>
      <c r="L122" s="5" t="s">
        <v>40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.6">
      <c r="A123" s="13">
        <v>2007</v>
      </c>
      <c r="B123" s="3" t="s">
        <v>62</v>
      </c>
      <c r="C123" s="32">
        <v>39283</v>
      </c>
      <c r="D123" s="3" t="s">
        <v>48</v>
      </c>
      <c r="E123" s="3" t="s">
        <v>542</v>
      </c>
      <c r="F123" s="32">
        <v>39283</v>
      </c>
      <c r="G123" s="3" t="s">
        <v>48</v>
      </c>
      <c r="H123" s="3" t="s">
        <v>542</v>
      </c>
      <c r="I123" s="3" t="s">
        <v>19</v>
      </c>
      <c r="J123" s="3">
        <v>1</v>
      </c>
      <c r="K123" s="3" t="s">
        <v>39</v>
      </c>
      <c r="L123" s="5" t="s">
        <v>40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.6">
      <c r="A124" s="13">
        <v>2007</v>
      </c>
      <c r="B124" s="3" t="s">
        <v>64</v>
      </c>
      <c r="C124" s="32">
        <v>39301</v>
      </c>
      <c r="D124" s="3" t="s">
        <v>51</v>
      </c>
      <c r="E124" s="3" t="s">
        <v>542</v>
      </c>
      <c r="F124" s="32">
        <v>39301</v>
      </c>
      <c r="G124" s="3" t="s">
        <v>51</v>
      </c>
      <c r="H124" s="3" t="s">
        <v>542</v>
      </c>
      <c r="I124" s="3" t="s">
        <v>19</v>
      </c>
      <c r="J124" s="3">
        <v>1</v>
      </c>
      <c r="K124" s="3" t="s">
        <v>39</v>
      </c>
      <c r="L124" s="5" t="s">
        <v>40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.6">
      <c r="A125" s="13">
        <v>2007</v>
      </c>
      <c r="B125" s="3" t="s">
        <v>66</v>
      </c>
      <c r="C125" s="32">
        <v>39309</v>
      </c>
      <c r="D125" s="3" t="s">
        <v>84</v>
      </c>
      <c r="E125" s="3" t="s">
        <v>543</v>
      </c>
      <c r="F125" s="32">
        <v>39314</v>
      </c>
      <c r="G125" s="3" t="s">
        <v>35</v>
      </c>
      <c r="H125" s="3" t="s">
        <v>543</v>
      </c>
      <c r="I125" s="3" t="s">
        <v>19</v>
      </c>
      <c r="J125" s="3">
        <v>1</v>
      </c>
      <c r="K125" s="3" t="s">
        <v>39</v>
      </c>
      <c r="L125" s="5" t="s">
        <v>40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.6">
      <c r="A126" s="13">
        <v>2007</v>
      </c>
      <c r="B126" s="3" t="s">
        <v>68</v>
      </c>
      <c r="C126" s="32">
        <v>39367</v>
      </c>
      <c r="D126" s="3" t="s">
        <v>48</v>
      </c>
      <c r="E126" s="3" t="s">
        <v>543</v>
      </c>
      <c r="F126" s="32">
        <v>39370</v>
      </c>
      <c r="G126" s="3" t="s">
        <v>35</v>
      </c>
      <c r="H126" s="3" t="s">
        <v>543</v>
      </c>
      <c r="I126" s="3" t="s">
        <v>20</v>
      </c>
      <c r="J126" s="3">
        <v>1</v>
      </c>
      <c r="K126" s="3" t="s">
        <v>39</v>
      </c>
      <c r="L126" s="5" t="s">
        <v>40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.6">
      <c r="A127" s="13">
        <v>2007</v>
      </c>
      <c r="B127" s="3" t="s">
        <v>70</v>
      </c>
      <c r="C127" s="32">
        <v>39387</v>
      </c>
      <c r="D127" s="3" t="s">
        <v>45</v>
      </c>
      <c r="E127" s="3" t="s">
        <v>543</v>
      </c>
      <c r="F127" s="32">
        <v>39391</v>
      </c>
      <c r="G127" s="3" t="s">
        <v>35</v>
      </c>
      <c r="H127" s="3" t="s">
        <v>543</v>
      </c>
      <c r="I127" s="3" t="s">
        <v>20</v>
      </c>
      <c r="J127" s="3">
        <v>1</v>
      </c>
      <c r="K127" s="3" t="s">
        <v>39</v>
      </c>
      <c r="L127" s="5" t="s">
        <v>40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.6">
      <c r="A128" s="13">
        <v>2007</v>
      </c>
      <c r="B128" s="3" t="s">
        <v>72</v>
      </c>
      <c r="C128" s="32">
        <v>39397</v>
      </c>
      <c r="D128" s="3" t="s">
        <v>96</v>
      </c>
      <c r="E128" s="3" t="s">
        <v>543</v>
      </c>
      <c r="F128" s="32">
        <v>39398</v>
      </c>
      <c r="G128" s="3" t="s">
        <v>35</v>
      </c>
      <c r="H128" s="3" t="s">
        <v>543</v>
      </c>
      <c r="I128" s="3" t="s">
        <v>20</v>
      </c>
      <c r="J128" s="3">
        <v>1</v>
      </c>
      <c r="K128" s="3" t="s">
        <v>39</v>
      </c>
      <c r="L128" s="5" t="s">
        <v>40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.6">
      <c r="A129" s="13">
        <v>2007</v>
      </c>
      <c r="B129" s="3" t="s">
        <v>75</v>
      </c>
      <c r="C129" s="32">
        <v>39424</v>
      </c>
      <c r="D129" s="3" t="s">
        <v>74</v>
      </c>
      <c r="E129" s="3" t="s">
        <v>542</v>
      </c>
      <c r="F129" s="32">
        <v>39424</v>
      </c>
      <c r="G129" s="3" t="s">
        <v>74</v>
      </c>
      <c r="H129" s="3" t="s">
        <v>542</v>
      </c>
      <c r="I129" s="3" t="s">
        <v>20</v>
      </c>
      <c r="J129" s="3">
        <v>1</v>
      </c>
      <c r="K129" s="3" t="s">
        <v>39</v>
      </c>
      <c r="L129" s="5" t="s">
        <v>40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.6">
      <c r="A130" s="13">
        <v>2007</v>
      </c>
      <c r="B130" s="3" t="s">
        <v>77</v>
      </c>
      <c r="C130" s="32">
        <v>39441</v>
      </c>
      <c r="D130" s="3" t="s">
        <v>51</v>
      </c>
      <c r="E130" s="3" t="s">
        <v>542</v>
      </c>
      <c r="F130" s="32">
        <v>39441</v>
      </c>
      <c r="G130" s="3" t="s">
        <v>51</v>
      </c>
      <c r="H130" s="3" t="s">
        <v>542</v>
      </c>
      <c r="I130" s="3" t="s">
        <v>20</v>
      </c>
      <c r="J130" s="3">
        <v>1</v>
      </c>
      <c r="K130" s="3" t="s">
        <v>39</v>
      </c>
      <c r="L130" s="5" t="s">
        <v>40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.6">
      <c r="A131" s="13">
        <v>2008</v>
      </c>
      <c r="B131" s="3" t="s">
        <v>36</v>
      </c>
      <c r="C131" s="32">
        <v>39448</v>
      </c>
      <c r="D131" s="3" t="s">
        <v>51</v>
      </c>
      <c r="E131" s="3" t="s">
        <v>542</v>
      </c>
      <c r="F131" s="32">
        <v>39448</v>
      </c>
      <c r="G131" s="3" t="s">
        <v>51</v>
      </c>
      <c r="H131" s="3" t="s">
        <v>542</v>
      </c>
      <c r="I131" s="3" t="s">
        <v>15</v>
      </c>
      <c r="J131" s="3">
        <v>1</v>
      </c>
      <c r="K131" s="3" t="s">
        <v>39</v>
      </c>
      <c r="L131" s="5" t="s">
        <v>40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.6">
      <c r="A132" s="13">
        <v>2008</v>
      </c>
      <c r="B132" s="3" t="s">
        <v>41</v>
      </c>
      <c r="C132" s="32">
        <v>39453</v>
      </c>
      <c r="D132" s="3" t="s">
        <v>96</v>
      </c>
      <c r="E132" s="3" t="s">
        <v>543</v>
      </c>
      <c r="F132" s="32">
        <v>39454</v>
      </c>
      <c r="G132" s="3" t="s">
        <v>35</v>
      </c>
      <c r="H132" s="3" t="s">
        <v>543</v>
      </c>
      <c r="I132" s="3" t="s">
        <v>15</v>
      </c>
      <c r="J132" s="3">
        <v>1</v>
      </c>
      <c r="K132" s="3" t="s">
        <v>39</v>
      </c>
      <c r="L132" s="5" t="s">
        <v>40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.6">
      <c r="A133" s="13">
        <v>2008</v>
      </c>
      <c r="B133" s="3" t="s">
        <v>46</v>
      </c>
      <c r="C133" s="32">
        <v>39527</v>
      </c>
      <c r="D133" s="3" t="s">
        <v>45</v>
      </c>
      <c r="E133" s="3" t="s">
        <v>542</v>
      </c>
      <c r="F133" s="32">
        <v>39527</v>
      </c>
      <c r="G133" s="3" t="s">
        <v>45</v>
      </c>
      <c r="H133" s="3" t="s">
        <v>542</v>
      </c>
      <c r="I133" s="3" t="s">
        <v>15</v>
      </c>
      <c r="J133" s="3">
        <v>1</v>
      </c>
      <c r="K133" s="3" t="s">
        <v>39</v>
      </c>
      <c r="L133" s="5" t="s">
        <v>40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.6">
      <c r="A134" s="13">
        <v>2008</v>
      </c>
      <c r="B134" s="3" t="s">
        <v>49</v>
      </c>
      <c r="C134" s="32">
        <v>39528</v>
      </c>
      <c r="D134" s="3" t="s">
        <v>48</v>
      </c>
      <c r="E134" s="3" t="s">
        <v>542</v>
      </c>
      <c r="F134" s="32">
        <v>39528</v>
      </c>
      <c r="G134" s="3" t="s">
        <v>48</v>
      </c>
      <c r="H134" s="3" t="s">
        <v>542</v>
      </c>
      <c r="I134" s="3" t="s">
        <v>15</v>
      </c>
      <c r="J134" s="3">
        <v>1</v>
      </c>
      <c r="K134" s="3" t="s">
        <v>39</v>
      </c>
      <c r="L134" s="5" t="s">
        <v>40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.6">
      <c r="A135" s="13">
        <v>2008</v>
      </c>
      <c r="B135" s="3" t="s">
        <v>43</v>
      </c>
      <c r="C135" s="32">
        <v>39526</v>
      </c>
      <c r="D135" s="3" t="s">
        <v>84</v>
      </c>
      <c r="E135" s="3" t="s">
        <v>543</v>
      </c>
      <c r="F135" s="32">
        <v>39531</v>
      </c>
      <c r="G135" s="3" t="s">
        <v>35</v>
      </c>
      <c r="H135" s="3" t="s">
        <v>543</v>
      </c>
      <c r="I135" s="3" t="s">
        <v>15</v>
      </c>
      <c r="J135" s="3">
        <v>1</v>
      </c>
      <c r="K135" s="3" t="s">
        <v>39</v>
      </c>
      <c r="L135" s="5" t="s">
        <v>40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.6">
      <c r="A136" s="13">
        <v>2008</v>
      </c>
      <c r="B136" s="3" t="s">
        <v>52</v>
      </c>
      <c r="C136" s="32">
        <v>39569</v>
      </c>
      <c r="D136" s="3" t="s">
        <v>45</v>
      </c>
      <c r="E136" s="3" t="s">
        <v>542</v>
      </c>
      <c r="F136" s="32">
        <v>39569</v>
      </c>
      <c r="G136" s="3" t="s">
        <v>45</v>
      </c>
      <c r="H136" s="3" t="s">
        <v>542</v>
      </c>
      <c r="I136" s="3" t="s">
        <v>17</v>
      </c>
      <c r="J136" s="3">
        <v>1</v>
      </c>
      <c r="K136" s="3" t="s">
        <v>39</v>
      </c>
      <c r="L136" s="5" t="s">
        <v>40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.6">
      <c r="A137" s="13">
        <v>2008</v>
      </c>
      <c r="B137" s="3" t="s">
        <v>54</v>
      </c>
      <c r="C137" s="32">
        <v>39569</v>
      </c>
      <c r="D137" s="3" t="s">
        <v>45</v>
      </c>
      <c r="E137" s="3" t="s">
        <v>543</v>
      </c>
      <c r="F137" s="32">
        <v>39573</v>
      </c>
      <c r="G137" s="3" t="s">
        <v>35</v>
      </c>
      <c r="H137" s="3" t="s">
        <v>543</v>
      </c>
      <c r="I137" s="3" t="s">
        <v>17</v>
      </c>
      <c r="J137" s="3">
        <v>1</v>
      </c>
      <c r="K137" s="3" t="s">
        <v>39</v>
      </c>
      <c r="L137" s="5" t="s">
        <v>40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.6">
      <c r="A138" s="13">
        <v>2008</v>
      </c>
      <c r="B138" s="3" t="s">
        <v>56</v>
      </c>
      <c r="C138" s="32">
        <v>39590</v>
      </c>
      <c r="D138" s="3" t="s">
        <v>45</v>
      </c>
      <c r="E138" s="3" t="s">
        <v>543</v>
      </c>
      <c r="F138" s="32">
        <v>39594</v>
      </c>
      <c r="G138" s="3" t="s">
        <v>35</v>
      </c>
      <c r="H138" s="3" t="s">
        <v>543</v>
      </c>
      <c r="I138" s="3" t="s">
        <v>17</v>
      </c>
      <c r="J138" s="3">
        <v>1</v>
      </c>
      <c r="K138" s="3" t="s">
        <v>39</v>
      </c>
      <c r="L138" s="5" t="s">
        <v>40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.6">
      <c r="A139" s="13">
        <v>2008</v>
      </c>
      <c r="B139" s="3" t="s">
        <v>58</v>
      </c>
      <c r="C139" s="32">
        <v>39598</v>
      </c>
      <c r="D139" s="3" t="s">
        <v>48</v>
      </c>
      <c r="E139" s="3" t="s">
        <v>543</v>
      </c>
      <c r="F139" s="32">
        <v>39601</v>
      </c>
      <c r="G139" s="3" t="s">
        <v>35</v>
      </c>
      <c r="H139" s="3" t="s">
        <v>543</v>
      </c>
      <c r="I139" s="3" t="s">
        <v>17</v>
      </c>
      <c r="J139" s="3">
        <v>1</v>
      </c>
      <c r="K139" s="3" t="s">
        <v>39</v>
      </c>
      <c r="L139" s="5" t="s">
        <v>40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.6">
      <c r="A140" s="13">
        <v>2008</v>
      </c>
      <c r="B140" s="3" t="s">
        <v>60</v>
      </c>
      <c r="C140" s="32">
        <v>39628</v>
      </c>
      <c r="D140" s="3" t="s">
        <v>96</v>
      </c>
      <c r="E140" s="3" t="s">
        <v>543</v>
      </c>
      <c r="F140" s="32">
        <v>39629</v>
      </c>
      <c r="G140" s="3" t="s">
        <v>35</v>
      </c>
      <c r="H140" s="3" t="s">
        <v>543</v>
      </c>
      <c r="I140" s="3" t="s">
        <v>17</v>
      </c>
      <c r="J140" s="3">
        <v>1</v>
      </c>
      <c r="K140" s="3" t="s">
        <v>39</v>
      </c>
      <c r="L140" s="5" t="s">
        <v>40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.6">
      <c r="A141" s="13">
        <v>2008</v>
      </c>
      <c r="B141" s="3" t="s">
        <v>62</v>
      </c>
      <c r="C141" s="32">
        <v>39649</v>
      </c>
      <c r="D141" s="3" t="s">
        <v>96</v>
      </c>
      <c r="E141" s="3" t="s">
        <v>542</v>
      </c>
      <c r="F141" s="32">
        <v>39649</v>
      </c>
      <c r="G141" s="3" t="s">
        <v>96</v>
      </c>
      <c r="H141" s="3" t="s">
        <v>542</v>
      </c>
      <c r="I141" s="3" t="s">
        <v>19</v>
      </c>
      <c r="J141" s="3">
        <v>0</v>
      </c>
      <c r="K141" s="3" t="s">
        <v>39</v>
      </c>
      <c r="L141" s="5" t="s">
        <v>40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.6">
      <c r="A142" s="13">
        <v>2008</v>
      </c>
      <c r="B142" s="3" t="s">
        <v>64</v>
      </c>
      <c r="C142" s="32">
        <v>39667</v>
      </c>
      <c r="D142" s="3" t="s">
        <v>45</v>
      </c>
      <c r="E142" s="3" t="s">
        <v>542</v>
      </c>
      <c r="F142" s="32">
        <v>39667</v>
      </c>
      <c r="G142" s="3" t="s">
        <v>45</v>
      </c>
      <c r="H142" s="3" t="s">
        <v>542</v>
      </c>
      <c r="I142" s="3" t="s">
        <v>19</v>
      </c>
      <c r="J142" s="3">
        <v>1</v>
      </c>
      <c r="K142" s="3" t="s">
        <v>39</v>
      </c>
      <c r="L142" s="5" t="s">
        <v>40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.6">
      <c r="A143" s="13">
        <v>2008</v>
      </c>
      <c r="B143" s="3" t="s">
        <v>66</v>
      </c>
      <c r="C143" s="32">
        <v>39675</v>
      </c>
      <c r="D143" s="3" t="s">
        <v>48</v>
      </c>
      <c r="E143" s="3" t="s">
        <v>543</v>
      </c>
      <c r="F143" s="32">
        <v>39678</v>
      </c>
      <c r="G143" s="3" t="s">
        <v>35</v>
      </c>
      <c r="H143" s="3" t="s">
        <v>543</v>
      </c>
      <c r="I143" s="3" t="s">
        <v>19</v>
      </c>
      <c r="J143" s="3">
        <v>1</v>
      </c>
      <c r="K143" s="3" t="s">
        <v>39</v>
      </c>
      <c r="L143" s="5" t="s">
        <v>40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.6">
      <c r="A144" s="13">
        <v>2008</v>
      </c>
      <c r="B144" s="3" t="s">
        <v>68</v>
      </c>
      <c r="C144" s="32">
        <v>39733</v>
      </c>
      <c r="D144" s="3" t="s">
        <v>96</v>
      </c>
      <c r="E144" s="3" t="s">
        <v>543</v>
      </c>
      <c r="F144" s="32">
        <v>39734</v>
      </c>
      <c r="G144" s="3" t="s">
        <v>35</v>
      </c>
      <c r="H144" s="3" t="s">
        <v>543</v>
      </c>
      <c r="I144" s="3" t="s">
        <v>20</v>
      </c>
      <c r="J144" s="3">
        <v>1</v>
      </c>
      <c r="K144" s="3" t="s">
        <v>39</v>
      </c>
      <c r="L144" s="5" t="s">
        <v>40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.6">
      <c r="A145" s="13">
        <v>2008</v>
      </c>
      <c r="B145" s="3" t="s">
        <v>70</v>
      </c>
      <c r="C145" s="32">
        <v>39753</v>
      </c>
      <c r="D145" s="3" t="s">
        <v>74</v>
      </c>
      <c r="E145" s="3" t="s">
        <v>543</v>
      </c>
      <c r="F145" s="32">
        <v>39755</v>
      </c>
      <c r="G145" s="3" t="s">
        <v>35</v>
      </c>
      <c r="H145" s="3" t="s">
        <v>543</v>
      </c>
      <c r="I145" s="3" t="s">
        <v>20</v>
      </c>
      <c r="J145" s="3">
        <v>1</v>
      </c>
      <c r="K145" s="3" t="s">
        <v>39</v>
      </c>
      <c r="L145" s="5" t="s">
        <v>40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.6">
      <c r="A146" s="13">
        <v>2008</v>
      </c>
      <c r="B146" s="3" t="s">
        <v>72</v>
      </c>
      <c r="C146" s="32">
        <v>39763</v>
      </c>
      <c r="D146" s="3" t="s">
        <v>51</v>
      </c>
      <c r="E146" s="3" t="s">
        <v>543</v>
      </c>
      <c r="F146" s="32">
        <v>39769</v>
      </c>
      <c r="G146" s="3" t="s">
        <v>35</v>
      </c>
      <c r="H146" s="3" t="s">
        <v>543</v>
      </c>
      <c r="I146" s="3" t="s">
        <v>20</v>
      </c>
      <c r="J146" s="3">
        <v>1</v>
      </c>
      <c r="K146" s="3" t="s">
        <v>39</v>
      </c>
      <c r="L146" s="5" t="s">
        <v>40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.6">
      <c r="A147" s="13">
        <v>2008</v>
      </c>
      <c r="B147" s="3" t="s">
        <v>75</v>
      </c>
      <c r="C147" s="32">
        <v>39790</v>
      </c>
      <c r="D147" s="3" t="s">
        <v>35</v>
      </c>
      <c r="E147" s="3" t="s">
        <v>542</v>
      </c>
      <c r="F147" s="32">
        <v>39790</v>
      </c>
      <c r="G147" s="3" t="s">
        <v>35</v>
      </c>
      <c r="H147" s="3" t="s">
        <v>542</v>
      </c>
      <c r="I147" s="3" t="s">
        <v>20</v>
      </c>
      <c r="J147" s="3">
        <v>1</v>
      </c>
      <c r="K147" s="3" t="s">
        <v>39</v>
      </c>
      <c r="L147" s="5" t="s">
        <v>40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.6">
      <c r="A148" s="13">
        <v>2008</v>
      </c>
      <c r="B148" s="3" t="s">
        <v>77</v>
      </c>
      <c r="C148" s="32">
        <v>39807</v>
      </c>
      <c r="D148" s="3" t="s">
        <v>45</v>
      </c>
      <c r="E148" s="3" t="s">
        <v>542</v>
      </c>
      <c r="F148" s="32">
        <v>39807</v>
      </c>
      <c r="G148" s="3" t="s">
        <v>45</v>
      </c>
      <c r="H148" s="3" t="s">
        <v>542</v>
      </c>
      <c r="I148" s="3" t="s">
        <v>20</v>
      </c>
      <c r="J148" s="3">
        <v>1</v>
      </c>
      <c r="K148" s="3" t="s">
        <v>39</v>
      </c>
      <c r="L148" s="5" t="s">
        <v>40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.6">
      <c r="A149" s="13">
        <v>2009</v>
      </c>
      <c r="B149" s="3" t="s">
        <v>36</v>
      </c>
      <c r="C149" s="32">
        <v>39814</v>
      </c>
      <c r="D149" s="3" t="s">
        <v>45</v>
      </c>
      <c r="E149" s="3" t="s">
        <v>542</v>
      </c>
      <c r="F149" s="32">
        <v>39814</v>
      </c>
      <c r="G149" s="3" t="s">
        <v>45</v>
      </c>
      <c r="H149" s="3" t="s">
        <v>542</v>
      </c>
      <c r="I149" s="3" t="s">
        <v>15</v>
      </c>
      <c r="J149" s="3">
        <v>1</v>
      </c>
      <c r="K149" s="3" t="s">
        <v>39</v>
      </c>
      <c r="L149" s="5" t="s">
        <v>40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.6">
      <c r="A150" s="13">
        <v>2009</v>
      </c>
      <c r="B150" s="3" t="s">
        <v>41</v>
      </c>
      <c r="C150" s="32">
        <v>39819</v>
      </c>
      <c r="D150" s="3" t="s">
        <v>51</v>
      </c>
      <c r="E150" s="3" t="s">
        <v>543</v>
      </c>
      <c r="F150" s="32">
        <v>39825</v>
      </c>
      <c r="G150" s="3" t="s">
        <v>35</v>
      </c>
      <c r="H150" s="3" t="s">
        <v>543</v>
      </c>
      <c r="I150" s="3" t="s">
        <v>15</v>
      </c>
      <c r="J150" s="3">
        <v>1</v>
      </c>
      <c r="K150" s="3" t="s">
        <v>39</v>
      </c>
      <c r="L150" s="5" t="s">
        <v>40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.6">
      <c r="A151" s="13">
        <v>2009</v>
      </c>
      <c r="B151" s="3" t="s">
        <v>43</v>
      </c>
      <c r="C151" s="32">
        <v>39891</v>
      </c>
      <c r="D151" s="3" t="s">
        <v>45</v>
      </c>
      <c r="E151" s="3" t="s">
        <v>543</v>
      </c>
      <c r="F151" s="32">
        <v>39895</v>
      </c>
      <c r="G151" s="3" t="s">
        <v>35</v>
      </c>
      <c r="H151" s="3" t="s">
        <v>543</v>
      </c>
      <c r="I151" s="3" t="s">
        <v>15</v>
      </c>
      <c r="J151" s="3">
        <v>1</v>
      </c>
      <c r="K151" s="3" t="s">
        <v>39</v>
      </c>
      <c r="L151" s="5" t="s">
        <v>40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.6">
      <c r="A152" s="13">
        <v>2009</v>
      </c>
      <c r="B152" s="3" t="s">
        <v>46</v>
      </c>
      <c r="C152" s="32">
        <v>39912</v>
      </c>
      <c r="D152" s="3" t="s">
        <v>45</v>
      </c>
      <c r="E152" s="3" t="s">
        <v>542</v>
      </c>
      <c r="F152" s="32">
        <v>39912</v>
      </c>
      <c r="G152" s="3" t="s">
        <v>45</v>
      </c>
      <c r="H152" s="3" t="s">
        <v>542</v>
      </c>
      <c r="I152" s="3" t="s">
        <v>17</v>
      </c>
      <c r="J152" s="3">
        <v>1</v>
      </c>
      <c r="K152" s="3" t="s">
        <v>39</v>
      </c>
      <c r="L152" s="5" t="s">
        <v>40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.6">
      <c r="A153" s="13">
        <v>2009</v>
      </c>
      <c r="B153" s="3" t="s">
        <v>49</v>
      </c>
      <c r="C153" s="32">
        <v>39913</v>
      </c>
      <c r="D153" s="3" t="s">
        <v>48</v>
      </c>
      <c r="E153" s="3" t="s">
        <v>542</v>
      </c>
      <c r="F153" s="32">
        <v>39913</v>
      </c>
      <c r="G153" s="3" t="s">
        <v>48</v>
      </c>
      <c r="H153" s="3" t="s">
        <v>542</v>
      </c>
      <c r="I153" s="3" t="s">
        <v>17</v>
      </c>
      <c r="J153" s="3">
        <v>1</v>
      </c>
      <c r="K153" s="3" t="s">
        <v>39</v>
      </c>
      <c r="L153" s="5" t="s">
        <v>40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.6">
      <c r="A154" s="13">
        <v>2009</v>
      </c>
      <c r="B154" s="3" t="s">
        <v>52</v>
      </c>
      <c r="C154" s="32">
        <v>39934</v>
      </c>
      <c r="D154" s="3" t="s">
        <v>48</v>
      </c>
      <c r="E154" s="3" t="s">
        <v>542</v>
      </c>
      <c r="F154" s="32">
        <v>39934</v>
      </c>
      <c r="G154" s="3" t="s">
        <v>48</v>
      </c>
      <c r="H154" s="3" t="s">
        <v>542</v>
      </c>
      <c r="I154" s="3" t="s">
        <v>17</v>
      </c>
      <c r="J154" s="3">
        <v>1</v>
      </c>
      <c r="K154" s="3" t="s">
        <v>39</v>
      </c>
      <c r="L154" s="5" t="s">
        <v>40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.6">
      <c r="A155" s="13">
        <v>2009</v>
      </c>
      <c r="B155" s="3" t="s">
        <v>54</v>
      </c>
      <c r="C155" s="32">
        <v>39954</v>
      </c>
      <c r="D155" s="3" t="s">
        <v>45</v>
      </c>
      <c r="E155" s="3" t="s">
        <v>543</v>
      </c>
      <c r="F155" s="32">
        <v>39958</v>
      </c>
      <c r="G155" s="3" t="s">
        <v>35</v>
      </c>
      <c r="H155" s="3" t="s">
        <v>543</v>
      </c>
      <c r="I155" s="3" t="s">
        <v>17</v>
      </c>
      <c r="J155" s="3">
        <v>1</v>
      </c>
      <c r="K155" s="3" t="s">
        <v>39</v>
      </c>
      <c r="L155" s="5" t="s">
        <v>40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.6">
      <c r="A156" s="13">
        <v>2009</v>
      </c>
      <c r="B156" s="3" t="s">
        <v>56</v>
      </c>
      <c r="C156" s="32">
        <v>39975</v>
      </c>
      <c r="D156" s="3" t="s">
        <v>45</v>
      </c>
      <c r="E156" s="3" t="s">
        <v>543</v>
      </c>
      <c r="F156" s="32">
        <v>39979</v>
      </c>
      <c r="G156" s="3" t="s">
        <v>35</v>
      </c>
      <c r="H156" s="3" t="s">
        <v>543</v>
      </c>
      <c r="I156" s="3" t="s">
        <v>17</v>
      </c>
      <c r="J156" s="3">
        <v>1</v>
      </c>
      <c r="K156" s="3" t="s">
        <v>39</v>
      </c>
      <c r="L156" s="5" t="s">
        <v>40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.6">
      <c r="A157" s="13">
        <v>2009</v>
      </c>
      <c r="B157" s="3" t="s">
        <v>58</v>
      </c>
      <c r="C157" s="32">
        <v>39983</v>
      </c>
      <c r="D157" s="3" t="s">
        <v>48</v>
      </c>
      <c r="E157" s="3" t="s">
        <v>543</v>
      </c>
      <c r="F157" s="32">
        <v>39986</v>
      </c>
      <c r="G157" s="3" t="s">
        <v>35</v>
      </c>
      <c r="H157" s="3" t="s">
        <v>543</v>
      </c>
      <c r="I157" s="3" t="s">
        <v>17</v>
      </c>
      <c r="J157" s="3">
        <v>1</v>
      </c>
      <c r="K157" s="3" t="s">
        <v>39</v>
      </c>
      <c r="L157" s="5" t="s">
        <v>40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.6">
      <c r="A158" s="13">
        <v>2009</v>
      </c>
      <c r="B158" s="3" t="s">
        <v>60</v>
      </c>
      <c r="C158" s="32">
        <v>39993</v>
      </c>
      <c r="D158" s="3" t="s">
        <v>35</v>
      </c>
      <c r="E158" s="3" t="s">
        <v>543</v>
      </c>
      <c r="F158" s="32">
        <v>39993</v>
      </c>
      <c r="G158" s="3" t="s">
        <v>35</v>
      </c>
      <c r="H158" s="3" t="s">
        <v>542</v>
      </c>
      <c r="I158" s="3" t="s">
        <v>17</v>
      </c>
      <c r="J158" s="3">
        <v>1</v>
      </c>
      <c r="K158" s="3" t="s">
        <v>39</v>
      </c>
      <c r="L158" s="5" t="s">
        <v>40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.6">
      <c r="A159" s="13">
        <v>2009</v>
      </c>
      <c r="B159" s="3" t="s">
        <v>62</v>
      </c>
      <c r="C159" s="32">
        <v>40014</v>
      </c>
      <c r="D159" s="3" t="s">
        <v>35</v>
      </c>
      <c r="E159" s="3" t="s">
        <v>542</v>
      </c>
      <c r="F159" s="32">
        <v>40014</v>
      </c>
      <c r="G159" s="3" t="s">
        <v>35</v>
      </c>
      <c r="H159" s="3" t="s">
        <v>542</v>
      </c>
      <c r="I159" s="3" t="s">
        <v>19</v>
      </c>
      <c r="J159" s="3">
        <v>1</v>
      </c>
      <c r="K159" s="3" t="s">
        <v>39</v>
      </c>
      <c r="L159" s="5" t="s">
        <v>40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.6">
      <c r="A160" s="13">
        <v>2009</v>
      </c>
      <c r="B160" s="3" t="s">
        <v>64</v>
      </c>
      <c r="C160" s="32">
        <v>40032</v>
      </c>
      <c r="D160" s="3" t="s">
        <v>48</v>
      </c>
      <c r="E160" s="3" t="s">
        <v>542</v>
      </c>
      <c r="F160" s="32">
        <v>40032</v>
      </c>
      <c r="G160" s="3" t="s">
        <v>48</v>
      </c>
      <c r="H160" s="3" t="s">
        <v>542</v>
      </c>
      <c r="I160" s="3" t="s">
        <v>19</v>
      </c>
      <c r="J160" s="3">
        <v>1</v>
      </c>
      <c r="K160" s="3" t="s">
        <v>39</v>
      </c>
      <c r="L160" s="5" t="s">
        <v>40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.6">
      <c r="A161" s="13">
        <v>2009</v>
      </c>
      <c r="B161" s="3" t="s">
        <v>66</v>
      </c>
      <c r="C161" s="32">
        <v>40040</v>
      </c>
      <c r="D161" s="3" t="s">
        <v>74</v>
      </c>
      <c r="E161" s="3" t="s">
        <v>543</v>
      </c>
      <c r="F161" s="32">
        <v>40042</v>
      </c>
      <c r="G161" s="3" t="s">
        <v>35</v>
      </c>
      <c r="H161" s="3" t="s">
        <v>543</v>
      </c>
      <c r="I161" s="3" t="s">
        <v>19</v>
      </c>
      <c r="J161" s="3">
        <v>1</v>
      </c>
      <c r="K161" s="3" t="s">
        <v>39</v>
      </c>
      <c r="L161" s="5" t="s">
        <v>40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.6">
      <c r="A162" s="13">
        <v>2009</v>
      </c>
      <c r="B162" s="3" t="s">
        <v>68</v>
      </c>
      <c r="C162" s="32">
        <v>40098</v>
      </c>
      <c r="D162" s="3" t="s">
        <v>35</v>
      </c>
      <c r="E162" s="3" t="s">
        <v>543</v>
      </c>
      <c r="F162" s="32">
        <v>40098</v>
      </c>
      <c r="G162" s="3" t="s">
        <v>35</v>
      </c>
      <c r="H162" s="3" t="s">
        <v>542</v>
      </c>
      <c r="I162" s="3" t="s">
        <v>20</v>
      </c>
      <c r="J162" s="3">
        <v>1</v>
      </c>
      <c r="K162" s="3" t="s">
        <v>39</v>
      </c>
      <c r="L162" s="5" t="s">
        <v>40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.6">
      <c r="A163" s="13">
        <v>2009</v>
      </c>
      <c r="B163" s="3" t="s">
        <v>70</v>
      </c>
      <c r="C163" s="32">
        <v>40118</v>
      </c>
      <c r="D163" s="3" t="s">
        <v>96</v>
      </c>
      <c r="E163" s="3" t="s">
        <v>543</v>
      </c>
      <c r="F163" s="32">
        <v>40119</v>
      </c>
      <c r="G163" s="3" t="s">
        <v>35</v>
      </c>
      <c r="H163" s="3" t="s">
        <v>543</v>
      </c>
      <c r="I163" s="3" t="s">
        <v>20</v>
      </c>
      <c r="J163" s="3">
        <v>1</v>
      </c>
      <c r="K163" s="3" t="s">
        <v>39</v>
      </c>
      <c r="L163" s="5" t="s">
        <v>40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.6">
      <c r="A164" s="13">
        <v>2009</v>
      </c>
      <c r="B164" s="3" t="s">
        <v>72</v>
      </c>
      <c r="C164" s="32">
        <v>40128</v>
      </c>
      <c r="D164" s="3" t="s">
        <v>84</v>
      </c>
      <c r="E164" s="3" t="s">
        <v>543</v>
      </c>
      <c r="F164" s="32">
        <v>40133</v>
      </c>
      <c r="G164" s="3" t="s">
        <v>35</v>
      </c>
      <c r="H164" s="3" t="s">
        <v>543</v>
      </c>
      <c r="I164" s="3" t="s">
        <v>20</v>
      </c>
      <c r="J164" s="3">
        <v>1</v>
      </c>
      <c r="K164" s="3" t="s">
        <v>39</v>
      </c>
      <c r="L164" s="5" t="s">
        <v>40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.6">
      <c r="A165" s="13">
        <v>2009</v>
      </c>
      <c r="B165" s="3" t="s">
        <v>75</v>
      </c>
      <c r="C165" s="32">
        <v>40155</v>
      </c>
      <c r="D165" s="3" t="s">
        <v>51</v>
      </c>
      <c r="E165" s="3" t="s">
        <v>542</v>
      </c>
      <c r="F165" s="32">
        <v>40155</v>
      </c>
      <c r="G165" s="3" t="s">
        <v>51</v>
      </c>
      <c r="H165" s="3" t="s">
        <v>542</v>
      </c>
      <c r="I165" s="3" t="s">
        <v>20</v>
      </c>
      <c r="J165" s="3">
        <v>1</v>
      </c>
      <c r="K165" s="3" t="s">
        <v>39</v>
      </c>
      <c r="L165" s="5" t="s">
        <v>40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.6">
      <c r="A166" s="13">
        <v>2009</v>
      </c>
      <c r="B166" s="3" t="s">
        <v>77</v>
      </c>
      <c r="C166" s="32">
        <v>40172</v>
      </c>
      <c r="D166" s="3" t="s">
        <v>48</v>
      </c>
      <c r="E166" s="3" t="s">
        <v>542</v>
      </c>
      <c r="F166" s="32">
        <v>40172</v>
      </c>
      <c r="G166" s="3" t="s">
        <v>48</v>
      </c>
      <c r="H166" s="3" t="s">
        <v>542</v>
      </c>
      <c r="I166" s="3" t="s">
        <v>20</v>
      </c>
      <c r="J166" s="3">
        <v>1</v>
      </c>
      <c r="K166" s="3" t="s">
        <v>39</v>
      </c>
      <c r="L166" s="5" t="s">
        <v>40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.6">
      <c r="A167" s="13">
        <v>2010</v>
      </c>
      <c r="B167" s="3" t="s">
        <v>36</v>
      </c>
      <c r="C167" s="32">
        <v>40179</v>
      </c>
      <c r="D167" s="3" t="s">
        <v>48</v>
      </c>
      <c r="E167" s="3" t="s">
        <v>542</v>
      </c>
      <c r="F167" s="32">
        <v>40179</v>
      </c>
      <c r="G167" s="3" t="s">
        <v>48</v>
      </c>
      <c r="H167" s="3" t="s">
        <v>542</v>
      </c>
      <c r="I167" s="3" t="s">
        <v>15</v>
      </c>
      <c r="J167" s="3">
        <v>1</v>
      </c>
      <c r="K167" s="3" t="s">
        <v>39</v>
      </c>
      <c r="L167" s="5" t="s">
        <v>40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.6">
      <c r="A168" s="13">
        <v>2010</v>
      </c>
      <c r="B168" s="3" t="s">
        <v>41</v>
      </c>
      <c r="C168" s="32">
        <v>40184</v>
      </c>
      <c r="D168" s="3" t="s">
        <v>84</v>
      </c>
      <c r="E168" s="3" t="s">
        <v>543</v>
      </c>
      <c r="F168" s="32">
        <v>40189</v>
      </c>
      <c r="G168" s="3" t="s">
        <v>35</v>
      </c>
      <c r="H168" s="3" t="s">
        <v>543</v>
      </c>
      <c r="I168" s="3" t="s">
        <v>15</v>
      </c>
      <c r="J168" s="3">
        <v>1</v>
      </c>
      <c r="K168" s="3" t="s">
        <v>39</v>
      </c>
      <c r="L168" s="5" t="s">
        <v>40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.6">
      <c r="A169" s="13">
        <v>2010</v>
      </c>
      <c r="B169" s="3" t="s">
        <v>43</v>
      </c>
      <c r="C169" s="32">
        <v>40256</v>
      </c>
      <c r="D169" s="3" t="s">
        <v>48</v>
      </c>
      <c r="E169" s="3" t="s">
        <v>543</v>
      </c>
      <c r="F169" s="32">
        <v>40259</v>
      </c>
      <c r="G169" s="3" t="s">
        <v>35</v>
      </c>
      <c r="H169" s="3" t="s">
        <v>543</v>
      </c>
      <c r="I169" s="3" t="s">
        <v>15</v>
      </c>
      <c r="J169" s="3">
        <v>1</v>
      </c>
      <c r="K169" s="3" t="s">
        <v>39</v>
      </c>
      <c r="L169" s="5" t="s">
        <v>40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.6">
      <c r="A170" s="13">
        <v>2010</v>
      </c>
      <c r="B170" s="3" t="s">
        <v>46</v>
      </c>
      <c r="C170" s="32">
        <v>40269</v>
      </c>
      <c r="D170" s="3" t="s">
        <v>45</v>
      </c>
      <c r="E170" s="3" t="s">
        <v>542</v>
      </c>
      <c r="F170" s="32">
        <v>40269</v>
      </c>
      <c r="G170" s="3" t="s">
        <v>45</v>
      </c>
      <c r="H170" s="3" t="s">
        <v>542</v>
      </c>
      <c r="I170" s="3" t="s">
        <v>17</v>
      </c>
      <c r="J170" s="3">
        <v>1</v>
      </c>
      <c r="K170" s="3" t="s">
        <v>39</v>
      </c>
      <c r="L170" s="5" t="s">
        <v>40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.6">
      <c r="A171" s="13">
        <v>2010</v>
      </c>
      <c r="B171" s="3" t="s">
        <v>49</v>
      </c>
      <c r="C171" s="32">
        <v>40270</v>
      </c>
      <c r="D171" s="3" t="s">
        <v>48</v>
      </c>
      <c r="E171" s="3" t="s">
        <v>542</v>
      </c>
      <c r="F171" s="32">
        <v>40270</v>
      </c>
      <c r="G171" s="3" t="s">
        <v>48</v>
      </c>
      <c r="H171" s="3" t="s">
        <v>542</v>
      </c>
      <c r="I171" s="3" t="s">
        <v>17</v>
      </c>
      <c r="J171" s="3">
        <v>1</v>
      </c>
      <c r="K171" s="3" t="s">
        <v>39</v>
      </c>
      <c r="L171" s="5" t="s">
        <v>40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.6">
      <c r="A172" s="13">
        <v>2010</v>
      </c>
      <c r="B172" s="3" t="s">
        <v>52</v>
      </c>
      <c r="C172" s="32">
        <v>40299</v>
      </c>
      <c r="D172" s="3" t="s">
        <v>74</v>
      </c>
      <c r="E172" s="3" t="s">
        <v>542</v>
      </c>
      <c r="F172" s="32">
        <v>40299</v>
      </c>
      <c r="G172" s="3" t="s">
        <v>74</v>
      </c>
      <c r="H172" s="3" t="s">
        <v>542</v>
      </c>
      <c r="I172" s="3" t="s">
        <v>17</v>
      </c>
      <c r="J172" s="3">
        <v>1</v>
      </c>
      <c r="K172" s="3" t="s">
        <v>39</v>
      </c>
      <c r="L172" s="5" t="s">
        <v>40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.6">
      <c r="A173" s="13">
        <v>2010</v>
      </c>
      <c r="B173" s="3" t="s">
        <v>54</v>
      </c>
      <c r="C173" s="32">
        <v>40311</v>
      </c>
      <c r="D173" s="3" t="s">
        <v>45</v>
      </c>
      <c r="E173" s="3" t="s">
        <v>543</v>
      </c>
      <c r="F173" s="32">
        <v>40315</v>
      </c>
      <c r="G173" s="3" t="s">
        <v>35</v>
      </c>
      <c r="H173" s="3" t="s">
        <v>543</v>
      </c>
      <c r="I173" s="3" t="s">
        <v>17</v>
      </c>
      <c r="J173" s="3">
        <v>1</v>
      </c>
      <c r="K173" s="3" t="s">
        <v>39</v>
      </c>
      <c r="L173" s="5" t="s">
        <v>40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.6">
      <c r="A174" s="13">
        <v>2010</v>
      </c>
      <c r="B174" s="3" t="s">
        <v>56</v>
      </c>
      <c r="C174" s="32">
        <v>40332</v>
      </c>
      <c r="D174" s="3" t="s">
        <v>45</v>
      </c>
      <c r="E174" s="3" t="s">
        <v>543</v>
      </c>
      <c r="F174" s="32">
        <v>40336</v>
      </c>
      <c r="G174" s="3" t="s">
        <v>35</v>
      </c>
      <c r="H174" s="3" t="s">
        <v>543</v>
      </c>
      <c r="I174" s="3" t="s">
        <v>17</v>
      </c>
      <c r="J174" s="3">
        <v>1</v>
      </c>
      <c r="K174" s="3" t="s">
        <v>39</v>
      </c>
      <c r="L174" s="5" t="s">
        <v>40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.6">
      <c r="A175" s="13">
        <v>2010</v>
      </c>
      <c r="B175" s="3" t="s">
        <v>58</v>
      </c>
      <c r="C175" s="32">
        <v>40340</v>
      </c>
      <c r="D175" s="3" t="s">
        <v>48</v>
      </c>
      <c r="E175" s="3" t="s">
        <v>543</v>
      </c>
      <c r="F175" s="32">
        <v>40343</v>
      </c>
      <c r="G175" s="3" t="s">
        <v>35</v>
      </c>
      <c r="H175" s="3" t="s">
        <v>543</v>
      </c>
      <c r="I175" s="3" t="s">
        <v>17</v>
      </c>
      <c r="J175" s="3">
        <v>1</v>
      </c>
      <c r="K175" s="3" t="s">
        <v>39</v>
      </c>
      <c r="L175" s="5" t="s">
        <v>40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.6">
      <c r="A176" s="13">
        <v>2010</v>
      </c>
      <c r="B176" s="3" t="s">
        <v>60</v>
      </c>
      <c r="C176" s="32">
        <v>40358</v>
      </c>
      <c r="D176" s="3" t="s">
        <v>51</v>
      </c>
      <c r="E176" s="3" t="s">
        <v>543</v>
      </c>
      <c r="F176" s="32">
        <v>40364</v>
      </c>
      <c r="G176" s="3" t="s">
        <v>35</v>
      </c>
      <c r="H176" s="3" t="s">
        <v>543</v>
      </c>
      <c r="I176" s="3" t="s">
        <v>19</v>
      </c>
      <c r="J176" s="3">
        <v>1</v>
      </c>
      <c r="K176" s="3" t="s">
        <v>39</v>
      </c>
      <c r="L176" s="5" t="s">
        <v>40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.6">
      <c r="A177" s="13">
        <v>2010</v>
      </c>
      <c r="B177" s="3" t="s">
        <v>62</v>
      </c>
      <c r="C177" s="32">
        <v>40379</v>
      </c>
      <c r="D177" s="3" t="s">
        <v>51</v>
      </c>
      <c r="E177" s="3" t="s">
        <v>542</v>
      </c>
      <c r="F177" s="32">
        <v>40379</v>
      </c>
      <c r="G177" s="3" t="s">
        <v>51</v>
      </c>
      <c r="H177" s="3" t="s">
        <v>542</v>
      </c>
      <c r="I177" s="3" t="s">
        <v>19</v>
      </c>
      <c r="J177" s="3">
        <v>1</v>
      </c>
      <c r="K177" s="3" t="s">
        <v>39</v>
      </c>
      <c r="L177" s="5" t="s">
        <v>40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.6">
      <c r="A178" s="13">
        <v>2010</v>
      </c>
      <c r="B178" s="3" t="s">
        <v>64</v>
      </c>
      <c r="C178" s="32">
        <v>40397</v>
      </c>
      <c r="D178" s="3" t="s">
        <v>74</v>
      </c>
      <c r="E178" s="3" t="s">
        <v>542</v>
      </c>
      <c r="F178" s="32">
        <v>40397</v>
      </c>
      <c r="G178" s="3" t="s">
        <v>74</v>
      </c>
      <c r="H178" s="3" t="s">
        <v>542</v>
      </c>
      <c r="I178" s="3" t="s">
        <v>19</v>
      </c>
      <c r="J178" s="3">
        <v>1</v>
      </c>
      <c r="K178" s="3" t="s">
        <v>39</v>
      </c>
      <c r="L178" s="5" t="s">
        <v>40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.6">
      <c r="A179" s="13">
        <v>2010</v>
      </c>
      <c r="B179" s="3" t="s">
        <v>66</v>
      </c>
      <c r="C179" s="32">
        <v>40405</v>
      </c>
      <c r="D179" s="3" t="s">
        <v>96</v>
      </c>
      <c r="E179" s="3" t="s">
        <v>543</v>
      </c>
      <c r="F179" s="32">
        <v>40406</v>
      </c>
      <c r="G179" s="3" t="s">
        <v>35</v>
      </c>
      <c r="H179" s="3" t="s">
        <v>543</v>
      </c>
      <c r="I179" s="3" t="s">
        <v>19</v>
      </c>
      <c r="J179" s="3">
        <v>1</v>
      </c>
      <c r="K179" s="3" t="s">
        <v>39</v>
      </c>
      <c r="L179" s="5" t="s">
        <v>40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.6">
      <c r="A180" s="13">
        <v>2010</v>
      </c>
      <c r="B180" s="3" t="s">
        <v>68</v>
      </c>
      <c r="C180" s="32">
        <v>40463</v>
      </c>
      <c r="D180" s="3" t="s">
        <v>51</v>
      </c>
      <c r="E180" s="3" t="s">
        <v>543</v>
      </c>
      <c r="F180" s="32">
        <v>40469</v>
      </c>
      <c r="G180" s="3" t="s">
        <v>35</v>
      </c>
      <c r="H180" s="3" t="s">
        <v>543</v>
      </c>
      <c r="I180" s="3" t="s">
        <v>20</v>
      </c>
      <c r="J180" s="3">
        <v>1</v>
      </c>
      <c r="K180" s="3" t="s">
        <v>39</v>
      </c>
      <c r="L180" s="5" t="s">
        <v>40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.6">
      <c r="A181" s="13">
        <v>2010</v>
      </c>
      <c r="B181" s="3" t="s">
        <v>70</v>
      </c>
      <c r="C181" s="32">
        <v>40483</v>
      </c>
      <c r="D181" s="3" t="s">
        <v>35</v>
      </c>
      <c r="E181" s="3" t="s">
        <v>543</v>
      </c>
      <c r="F181" s="32">
        <v>40483</v>
      </c>
      <c r="G181" s="3" t="s">
        <v>35</v>
      </c>
      <c r="H181" s="3" t="s">
        <v>542</v>
      </c>
      <c r="I181" s="3" t="s">
        <v>20</v>
      </c>
      <c r="J181" s="3">
        <v>1</v>
      </c>
      <c r="K181" s="3" t="s">
        <v>39</v>
      </c>
      <c r="L181" s="5" t="s">
        <v>40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.6">
      <c r="A182" s="13">
        <v>2010</v>
      </c>
      <c r="B182" s="3" t="s">
        <v>72</v>
      </c>
      <c r="C182" s="32">
        <v>40493</v>
      </c>
      <c r="D182" s="3" t="s">
        <v>45</v>
      </c>
      <c r="E182" s="3" t="s">
        <v>543</v>
      </c>
      <c r="F182" s="32">
        <v>40497</v>
      </c>
      <c r="G182" s="3" t="s">
        <v>35</v>
      </c>
      <c r="H182" s="3" t="s">
        <v>543</v>
      </c>
      <c r="I182" s="3" t="s">
        <v>20</v>
      </c>
      <c r="J182" s="3">
        <v>1</v>
      </c>
      <c r="K182" s="3" t="s">
        <v>39</v>
      </c>
      <c r="L182" s="5" t="s">
        <v>40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.6">
      <c r="A183" s="13">
        <v>2010</v>
      </c>
      <c r="B183" s="3" t="s">
        <v>75</v>
      </c>
      <c r="C183" s="32">
        <v>40520</v>
      </c>
      <c r="D183" s="3" t="s">
        <v>84</v>
      </c>
      <c r="E183" s="3" t="s">
        <v>542</v>
      </c>
      <c r="F183" s="32">
        <v>40520</v>
      </c>
      <c r="G183" s="3" t="s">
        <v>84</v>
      </c>
      <c r="H183" s="3" t="s">
        <v>542</v>
      </c>
      <c r="I183" s="3" t="s">
        <v>20</v>
      </c>
      <c r="J183" s="3">
        <v>1</v>
      </c>
      <c r="K183" s="3" t="s">
        <v>39</v>
      </c>
      <c r="L183" s="5" t="s">
        <v>40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.6">
      <c r="A184" s="13">
        <v>2010</v>
      </c>
      <c r="B184" s="3" t="s">
        <v>77</v>
      </c>
      <c r="C184" s="32">
        <v>40537</v>
      </c>
      <c r="D184" s="3" t="s">
        <v>74</v>
      </c>
      <c r="E184" s="3" t="s">
        <v>542</v>
      </c>
      <c r="F184" s="32">
        <v>40537</v>
      </c>
      <c r="G184" s="3" t="s">
        <v>74</v>
      </c>
      <c r="H184" s="3" t="s">
        <v>542</v>
      </c>
      <c r="I184" s="3" t="s">
        <v>20</v>
      </c>
      <c r="J184" s="3">
        <v>1</v>
      </c>
      <c r="K184" s="3" t="s">
        <v>39</v>
      </c>
      <c r="L184" s="5" t="s">
        <v>40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.6">
      <c r="A185" s="13">
        <v>2011</v>
      </c>
      <c r="B185" s="3" t="s">
        <v>36</v>
      </c>
      <c r="C185" s="32">
        <v>40544</v>
      </c>
      <c r="D185" s="3" t="s">
        <v>74</v>
      </c>
      <c r="E185" s="3" t="s">
        <v>542</v>
      </c>
      <c r="F185" s="32">
        <v>40544</v>
      </c>
      <c r="G185" s="3" t="s">
        <v>74</v>
      </c>
      <c r="H185" s="3" t="s">
        <v>542</v>
      </c>
      <c r="I185" s="3" t="s">
        <v>15</v>
      </c>
      <c r="J185" s="3">
        <v>1</v>
      </c>
      <c r="K185" s="3" t="s">
        <v>39</v>
      </c>
      <c r="L185" s="5" t="s">
        <v>40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.6">
      <c r="A186" s="13">
        <v>2011</v>
      </c>
      <c r="B186" s="3" t="s">
        <v>41</v>
      </c>
      <c r="C186" s="32">
        <v>40549</v>
      </c>
      <c r="D186" s="3" t="s">
        <v>45</v>
      </c>
      <c r="E186" s="3" t="s">
        <v>543</v>
      </c>
      <c r="F186" s="32">
        <v>40553</v>
      </c>
      <c r="G186" s="3" t="s">
        <v>35</v>
      </c>
      <c r="H186" s="3" t="s">
        <v>543</v>
      </c>
      <c r="I186" s="3" t="s">
        <v>15</v>
      </c>
      <c r="J186" s="3">
        <v>1</v>
      </c>
      <c r="K186" s="3" t="s">
        <v>39</v>
      </c>
      <c r="L186" s="5" t="s">
        <v>40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.6">
      <c r="A187" s="13">
        <v>2011</v>
      </c>
      <c r="B187" s="3" t="s">
        <v>43</v>
      </c>
      <c r="C187" s="32">
        <v>40621</v>
      </c>
      <c r="D187" s="3" t="s">
        <v>74</v>
      </c>
      <c r="E187" s="3" t="s">
        <v>543</v>
      </c>
      <c r="F187" s="32">
        <v>40623</v>
      </c>
      <c r="G187" s="3" t="s">
        <v>35</v>
      </c>
      <c r="H187" s="3" t="s">
        <v>543</v>
      </c>
      <c r="I187" s="3" t="s">
        <v>15</v>
      </c>
      <c r="J187" s="3">
        <v>1</v>
      </c>
      <c r="K187" s="3" t="s">
        <v>39</v>
      </c>
      <c r="L187" s="5" t="s">
        <v>40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.6">
      <c r="A188" s="13">
        <v>2011</v>
      </c>
      <c r="B188" s="3" t="s">
        <v>46</v>
      </c>
      <c r="C188" s="32">
        <v>40654</v>
      </c>
      <c r="D188" s="3" t="s">
        <v>45</v>
      </c>
      <c r="E188" s="3" t="s">
        <v>542</v>
      </c>
      <c r="F188" s="32">
        <v>40654</v>
      </c>
      <c r="G188" s="3" t="s">
        <v>45</v>
      </c>
      <c r="H188" s="3" t="s">
        <v>542</v>
      </c>
      <c r="I188" s="3" t="s">
        <v>17</v>
      </c>
      <c r="J188" s="3">
        <v>1</v>
      </c>
      <c r="K188" s="3" t="s">
        <v>39</v>
      </c>
      <c r="L188" s="5" t="s">
        <v>40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.6">
      <c r="A189" s="13">
        <v>2011</v>
      </c>
      <c r="B189" s="3" t="s">
        <v>49</v>
      </c>
      <c r="C189" s="32">
        <v>40655</v>
      </c>
      <c r="D189" s="3" t="s">
        <v>48</v>
      </c>
      <c r="E189" s="3" t="s">
        <v>542</v>
      </c>
      <c r="F189" s="32">
        <v>40655</v>
      </c>
      <c r="G189" s="3" t="s">
        <v>48</v>
      </c>
      <c r="H189" s="3" t="s">
        <v>542</v>
      </c>
      <c r="I189" s="3" t="s">
        <v>17</v>
      </c>
      <c r="J189" s="3">
        <v>1</v>
      </c>
      <c r="K189" s="3" t="s">
        <v>39</v>
      </c>
      <c r="L189" s="5" t="s">
        <v>40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.6">
      <c r="A190" s="13">
        <v>2011</v>
      </c>
      <c r="B190" s="3" t="s">
        <v>52</v>
      </c>
      <c r="C190" s="32">
        <v>40664</v>
      </c>
      <c r="D190" s="3" t="s">
        <v>96</v>
      </c>
      <c r="E190" s="3" t="s">
        <v>542</v>
      </c>
      <c r="F190" s="32">
        <v>40664</v>
      </c>
      <c r="G190" s="3" t="s">
        <v>96</v>
      </c>
      <c r="H190" s="3" t="s">
        <v>542</v>
      </c>
      <c r="I190" s="3" t="s">
        <v>17</v>
      </c>
      <c r="J190" s="3">
        <v>0</v>
      </c>
      <c r="K190" s="3" t="s">
        <v>39</v>
      </c>
      <c r="L190" s="5" t="s">
        <v>40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.6">
      <c r="A191" s="13">
        <v>2011</v>
      </c>
      <c r="B191" s="3" t="s">
        <v>54</v>
      </c>
      <c r="C191" s="32">
        <v>40696</v>
      </c>
      <c r="D191" s="3" t="s">
        <v>45</v>
      </c>
      <c r="E191" s="3" t="s">
        <v>543</v>
      </c>
      <c r="F191" s="32">
        <v>40700</v>
      </c>
      <c r="G191" s="3" t="s">
        <v>35</v>
      </c>
      <c r="H191" s="3" t="s">
        <v>543</v>
      </c>
      <c r="I191" s="3" t="s">
        <v>17</v>
      </c>
      <c r="J191" s="3">
        <v>1</v>
      </c>
      <c r="K191" s="3" t="s">
        <v>39</v>
      </c>
      <c r="L191" s="5" t="s">
        <v>40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.6">
      <c r="A192" s="13">
        <v>2011</v>
      </c>
      <c r="B192" s="3" t="s">
        <v>56</v>
      </c>
      <c r="C192" s="32">
        <v>40717</v>
      </c>
      <c r="D192" s="3" t="s">
        <v>45</v>
      </c>
      <c r="E192" s="3" t="s">
        <v>543</v>
      </c>
      <c r="F192" s="32">
        <v>40721</v>
      </c>
      <c r="G192" s="3" t="s">
        <v>35</v>
      </c>
      <c r="H192" s="3" t="s">
        <v>543</v>
      </c>
      <c r="I192" s="3" t="s">
        <v>17</v>
      </c>
      <c r="J192" s="3">
        <v>1</v>
      </c>
      <c r="K192" s="3" t="s">
        <v>39</v>
      </c>
      <c r="L192" s="5" t="s">
        <v>40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.6">
      <c r="A193" s="13">
        <v>2011</v>
      </c>
      <c r="B193" s="3" t="s">
        <v>58</v>
      </c>
      <c r="C193" s="32">
        <v>40725</v>
      </c>
      <c r="D193" s="3" t="s">
        <v>48</v>
      </c>
      <c r="E193" s="3" t="s">
        <v>543</v>
      </c>
      <c r="F193" s="32">
        <v>40728</v>
      </c>
      <c r="G193" s="3" t="s">
        <v>35</v>
      </c>
      <c r="H193" s="3" t="s">
        <v>543</v>
      </c>
      <c r="I193" s="3" t="s">
        <v>19</v>
      </c>
      <c r="J193" s="3">
        <v>1</v>
      </c>
      <c r="K193" s="3" t="s">
        <v>39</v>
      </c>
      <c r="L193" s="5" t="s">
        <v>40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.6">
      <c r="A194" s="13">
        <v>2011</v>
      </c>
      <c r="B194" s="3" t="s">
        <v>60</v>
      </c>
      <c r="C194" s="32">
        <v>40723</v>
      </c>
      <c r="D194" s="3" t="s">
        <v>84</v>
      </c>
      <c r="E194" s="3" t="s">
        <v>543</v>
      </c>
      <c r="F194" s="32">
        <v>40728</v>
      </c>
      <c r="G194" s="3" t="s">
        <v>35</v>
      </c>
      <c r="H194" s="3" t="s">
        <v>543</v>
      </c>
      <c r="I194" s="3" t="s">
        <v>19</v>
      </c>
      <c r="J194" s="3">
        <v>1</v>
      </c>
      <c r="K194" s="3" t="s">
        <v>39</v>
      </c>
      <c r="L194" s="5" t="s">
        <v>40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.6">
      <c r="A195" s="13">
        <v>2011</v>
      </c>
      <c r="B195" s="3" t="s">
        <v>62</v>
      </c>
      <c r="C195" s="32">
        <v>40744</v>
      </c>
      <c r="D195" s="3" t="s">
        <v>84</v>
      </c>
      <c r="E195" s="3" t="s">
        <v>542</v>
      </c>
      <c r="F195" s="32">
        <v>40744</v>
      </c>
      <c r="G195" s="3" t="s">
        <v>84</v>
      </c>
      <c r="H195" s="3" t="s">
        <v>542</v>
      </c>
      <c r="I195" s="3" t="s">
        <v>19</v>
      </c>
      <c r="J195" s="3">
        <v>1</v>
      </c>
      <c r="K195" s="3" t="s">
        <v>39</v>
      </c>
      <c r="L195" s="5" t="s">
        <v>40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.6">
      <c r="A196" s="13">
        <v>2011</v>
      </c>
      <c r="B196" s="3" t="s">
        <v>64</v>
      </c>
      <c r="C196" s="32">
        <v>40762</v>
      </c>
      <c r="D196" s="3" t="s">
        <v>96</v>
      </c>
      <c r="E196" s="3" t="s">
        <v>542</v>
      </c>
      <c r="F196" s="32">
        <v>40762</v>
      </c>
      <c r="G196" s="3" t="s">
        <v>96</v>
      </c>
      <c r="H196" s="3" t="s">
        <v>542</v>
      </c>
      <c r="I196" s="3" t="s">
        <v>19</v>
      </c>
      <c r="J196" s="3">
        <v>0</v>
      </c>
      <c r="K196" s="3" t="s">
        <v>39</v>
      </c>
      <c r="L196" s="5" t="s">
        <v>40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.6">
      <c r="A197" s="13">
        <v>2011</v>
      </c>
      <c r="B197" s="3" t="s">
        <v>66</v>
      </c>
      <c r="C197" s="32">
        <v>40770</v>
      </c>
      <c r="D197" s="3" t="s">
        <v>35</v>
      </c>
      <c r="E197" s="3" t="s">
        <v>543</v>
      </c>
      <c r="F197" s="32">
        <v>40770</v>
      </c>
      <c r="G197" s="3" t="s">
        <v>35</v>
      </c>
      <c r="H197" s="3" t="s">
        <v>542</v>
      </c>
      <c r="I197" s="3" t="s">
        <v>19</v>
      </c>
      <c r="J197" s="3">
        <v>1</v>
      </c>
      <c r="K197" s="3" t="s">
        <v>39</v>
      </c>
      <c r="L197" s="5" t="s">
        <v>40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.6">
      <c r="A198" s="13">
        <v>2011</v>
      </c>
      <c r="B198" s="3" t="s">
        <v>68</v>
      </c>
      <c r="C198" s="32">
        <v>40828</v>
      </c>
      <c r="D198" s="3" t="s">
        <v>84</v>
      </c>
      <c r="E198" s="3" t="s">
        <v>543</v>
      </c>
      <c r="F198" s="32">
        <v>40833</v>
      </c>
      <c r="G198" s="3" t="s">
        <v>35</v>
      </c>
      <c r="H198" s="3" t="s">
        <v>543</v>
      </c>
      <c r="I198" s="3" t="s">
        <v>20</v>
      </c>
      <c r="J198" s="3">
        <v>1</v>
      </c>
      <c r="K198" s="3" t="s">
        <v>39</v>
      </c>
      <c r="L198" s="5" t="s">
        <v>40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.6">
      <c r="A199" s="13">
        <v>2011</v>
      </c>
      <c r="B199" s="3" t="s">
        <v>70</v>
      </c>
      <c r="C199" s="32">
        <v>40848</v>
      </c>
      <c r="D199" s="3" t="s">
        <v>51</v>
      </c>
      <c r="E199" s="3" t="s">
        <v>543</v>
      </c>
      <c r="F199" s="32">
        <v>40854</v>
      </c>
      <c r="G199" s="3" t="s">
        <v>35</v>
      </c>
      <c r="H199" s="3" t="s">
        <v>543</v>
      </c>
      <c r="I199" s="3" t="s">
        <v>20</v>
      </c>
      <c r="J199" s="3">
        <v>1</v>
      </c>
      <c r="K199" s="3" t="s">
        <v>39</v>
      </c>
      <c r="L199" s="5" t="s">
        <v>40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.6">
      <c r="A200" s="13">
        <v>2011</v>
      </c>
      <c r="B200" s="3" t="s">
        <v>72</v>
      </c>
      <c r="C200" s="32">
        <v>40858</v>
      </c>
      <c r="D200" s="3" t="s">
        <v>48</v>
      </c>
      <c r="E200" s="3" t="s">
        <v>543</v>
      </c>
      <c r="F200" s="32">
        <v>40861</v>
      </c>
      <c r="G200" s="3" t="s">
        <v>35</v>
      </c>
      <c r="H200" s="3" t="s">
        <v>543</v>
      </c>
      <c r="I200" s="3" t="s">
        <v>20</v>
      </c>
      <c r="J200" s="3">
        <v>1</v>
      </c>
      <c r="K200" s="3" t="s">
        <v>39</v>
      </c>
      <c r="L200" s="5" t="s">
        <v>40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.6">
      <c r="A201" s="13">
        <v>2011</v>
      </c>
      <c r="B201" s="3" t="s">
        <v>75</v>
      </c>
      <c r="C201" s="32">
        <v>40885</v>
      </c>
      <c r="D201" s="3" t="s">
        <v>45</v>
      </c>
      <c r="E201" s="3" t="s">
        <v>542</v>
      </c>
      <c r="F201" s="32">
        <v>40885</v>
      </c>
      <c r="G201" s="3" t="s">
        <v>45</v>
      </c>
      <c r="H201" s="3" t="s">
        <v>542</v>
      </c>
      <c r="I201" s="3" t="s">
        <v>20</v>
      </c>
      <c r="J201" s="3">
        <v>1</v>
      </c>
      <c r="K201" s="3" t="s">
        <v>39</v>
      </c>
      <c r="L201" s="5" t="s">
        <v>40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.6">
      <c r="A202" s="13">
        <v>2011</v>
      </c>
      <c r="B202" s="3" t="s">
        <v>77</v>
      </c>
      <c r="C202" s="32">
        <v>40902</v>
      </c>
      <c r="D202" s="3" t="s">
        <v>96</v>
      </c>
      <c r="E202" s="3" t="s">
        <v>542</v>
      </c>
      <c r="F202" s="32">
        <v>40902</v>
      </c>
      <c r="G202" s="3" t="s">
        <v>96</v>
      </c>
      <c r="H202" s="3" t="s">
        <v>542</v>
      </c>
      <c r="I202" s="3" t="s">
        <v>20</v>
      </c>
      <c r="J202" s="3">
        <v>0</v>
      </c>
      <c r="K202" s="3" t="s">
        <v>39</v>
      </c>
      <c r="L202" s="5" t="s">
        <v>40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.6">
      <c r="A203" s="13">
        <v>2012</v>
      </c>
      <c r="B203" s="3" t="s">
        <v>36</v>
      </c>
      <c r="C203" s="32">
        <v>40909</v>
      </c>
      <c r="D203" s="3" t="s">
        <v>96</v>
      </c>
      <c r="E203" s="3" t="s">
        <v>542</v>
      </c>
      <c r="F203" s="32">
        <v>40909</v>
      </c>
      <c r="G203" s="3" t="s">
        <v>96</v>
      </c>
      <c r="H203" s="3" t="s">
        <v>542</v>
      </c>
      <c r="I203" s="3" t="s">
        <v>15</v>
      </c>
      <c r="J203" s="3">
        <v>0</v>
      </c>
      <c r="K203" s="3" t="s">
        <v>39</v>
      </c>
      <c r="L203" s="5" t="s">
        <v>40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.6">
      <c r="A204" s="13">
        <v>2012</v>
      </c>
      <c r="B204" s="3" t="s">
        <v>41</v>
      </c>
      <c r="C204" s="32">
        <v>40914</v>
      </c>
      <c r="D204" s="3" t="s">
        <v>48</v>
      </c>
      <c r="E204" s="3" t="s">
        <v>543</v>
      </c>
      <c r="F204" s="32">
        <v>40917</v>
      </c>
      <c r="G204" s="3" t="s">
        <v>35</v>
      </c>
      <c r="H204" s="3" t="s">
        <v>543</v>
      </c>
      <c r="I204" s="3" t="s">
        <v>15</v>
      </c>
      <c r="J204" s="3">
        <v>1</v>
      </c>
      <c r="K204" s="3" t="s">
        <v>39</v>
      </c>
      <c r="L204" s="5" t="s">
        <v>40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.6">
      <c r="A205" s="13">
        <v>2012</v>
      </c>
      <c r="B205" s="3" t="s">
        <v>43</v>
      </c>
      <c r="C205" s="32">
        <v>40987</v>
      </c>
      <c r="D205" s="3" t="s">
        <v>35</v>
      </c>
      <c r="E205" s="3" t="s">
        <v>543</v>
      </c>
      <c r="F205" s="32">
        <v>40987</v>
      </c>
      <c r="G205" s="3" t="s">
        <v>35</v>
      </c>
      <c r="H205" s="3" t="s">
        <v>542</v>
      </c>
      <c r="I205" s="3" t="s">
        <v>15</v>
      </c>
      <c r="J205" s="3">
        <v>1</v>
      </c>
      <c r="K205" s="3" t="s">
        <v>39</v>
      </c>
      <c r="L205" s="5" t="s">
        <v>40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.6">
      <c r="A206" s="13">
        <v>2012</v>
      </c>
      <c r="B206" s="3" t="s">
        <v>46</v>
      </c>
      <c r="C206" s="32">
        <v>41004</v>
      </c>
      <c r="D206" s="3" t="s">
        <v>45</v>
      </c>
      <c r="E206" s="3" t="s">
        <v>542</v>
      </c>
      <c r="F206" s="32">
        <v>41004</v>
      </c>
      <c r="G206" s="3" t="s">
        <v>45</v>
      </c>
      <c r="H206" s="3" t="s">
        <v>542</v>
      </c>
      <c r="I206" s="3" t="s">
        <v>17</v>
      </c>
      <c r="J206" s="3">
        <v>1</v>
      </c>
      <c r="K206" s="3" t="s">
        <v>39</v>
      </c>
      <c r="L206" s="5" t="s">
        <v>40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.6">
      <c r="A207" s="13">
        <v>2012</v>
      </c>
      <c r="B207" s="3" t="s">
        <v>49</v>
      </c>
      <c r="C207" s="32">
        <v>41005</v>
      </c>
      <c r="D207" s="3" t="s">
        <v>48</v>
      </c>
      <c r="E207" s="3" t="s">
        <v>542</v>
      </c>
      <c r="F207" s="32">
        <v>41005</v>
      </c>
      <c r="G207" s="3" t="s">
        <v>48</v>
      </c>
      <c r="H207" s="3" t="s">
        <v>542</v>
      </c>
      <c r="I207" s="3" t="s">
        <v>17</v>
      </c>
      <c r="J207" s="3">
        <v>1</v>
      </c>
      <c r="K207" s="3" t="s">
        <v>39</v>
      </c>
      <c r="L207" s="5" t="s">
        <v>40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.6">
      <c r="A208" s="13">
        <v>2012</v>
      </c>
      <c r="B208" s="3" t="s">
        <v>52</v>
      </c>
      <c r="C208" s="32">
        <v>41030</v>
      </c>
      <c r="D208" s="3" t="s">
        <v>51</v>
      </c>
      <c r="E208" s="3" t="s">
        <v>542</v>
      </c>
      <c r="F208" s="32">
        <v>41030</v>
      </c>
      <c r="G208" s="3" t="s">
        <v>51</v>
      </c>
      <c r="H208" s="3" t="s">
        <v>542</v>
      </c>
      <c r="I208" s="3" t="s">
        <v>17</v>
      </c>
      <c r="J208" s="3">
        <v>1</v>
      </c>
      <c r="K208" s="3" t="s">
        <v>39</v>
      </c>
      <c r="L208" s="5" t="s">
        <v>40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.6">
      <c r="A209" s="13">
        <v>2012</v>
      </c>
      <c r="B209" s="3" t="s">
        <v>54</v>
      </c>
      <c r="C209" s="32">
        <v>41046</v>
      </c>
      <c r="D209" s="3" t="s">
        <v>45</v>
      </c>
      <c r="E209" s="3" t="s">
        <v>543</v>
      </c>
      <c r="F209" s="32">
        <v>41050</v>
      </c>
      <c r="G209" s="3" t="s">
        <v>35</v>
      </c>
      <c r="H209" s="3" t="s">
        <v>543</v>
      </c>
      <c r="I209" s="3" t="s">
        <v>17</v>
      </c>
      <c r="J209" s="3">
        <v>1</v>
      </c>
      <c r="K209" s="3" t="s">
        <v>39</v>
      </c>
      <c r="L209" s="5" t="s">
        <v>40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.6">
      <c r="A210" s="13">
        <v>2012</v>
      </c>
      <c r="B210" s="3" t="s">
        <v>56</v>
      </c>
      <c r="C210" s="32">
        <v>41067</v>
      </c>
      <c r="D210" s="3" t="s">
        <v>45</v>
      </c>
      <c r="E210" s="3" t="s">
        <v>543</v>
      </c>
      <c r="F210" s="32">
        <v>41071</v>
      </c>
      <c r="G210" s="3" t="s">
        <v>35</v>
      </c>
      <c r="H210" s="3" t="s">
        <v>543</v>
      </c>
      <c r="I210" s="3" t="s">
        <v>17</v>
      </c>
      <c r="J210" s="3">
        <v>1</v>
      </c>
      <c r="K210" s="3" t="s">
        <v>39</v>
      </c>
      <c r="L210" s="5" t="s">
        <v>40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.6">
      <c r="A211" s="13">
        <v>2012</v>
      </c>
      <c r="B211" s="3" t="s">
        <v>58</v>
      </c>
      <c r="C211" s="32">
        <v>41075</v>
      </c>
      <c r="D211" s="3" t="s">
        <v>48</v>
      </c>
      <c r="E211" s="3" t="s">
        <v>543</v>
      </c>
      <c r="F211" s="32">
        <v>41078</v>
      </c>
      <c r="G211" s="3" t="s">
        <v>35</v>
      </c>
      <c r="H211" s="3" t="s">
        <v>543</v>
      </c>
      <c r="I211" s="3" t="s">
        <v>17</v>
      </c>
      <c r="J211" s="3">
        <v>1</v>
      </c>
      <c r="K211" s="3" t="s">
        <v>39</v>
      </c>
      <c r="L211" s="5" t="s">
        <v>40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.6">
      <c r="A212" s="13">
        <v>2012</v>
      </c>
      <c r="B212" s="3" t="s">
        <v>60</v>
      </c>
      <c r="C212" s="32">
        <v>41089</v>
      </c>
      <c r="D212" s="3" t="s">
        <v>48</v>
      </c>
      <c r="E212" s="3" t="s">
        <v>543</v>
      </c>
      <c r="F212" s="32">
        <v>41092</v>
      </c>
      <c r="G212" s="3" t="s">
        <v>35</v>
      </c>
      <c r="H212" s="3" t="s">
        <v>543</v>
      </c>
      <c r="I212" s="3" t="s">
        <v>19</v>
      </c>
      <c r="J212" s="3">
        <v>1</v>
      </c>
      <c r="K212" s="3" t="s">
        <v>39</v>
      </c>
      <c r="L212" s="5" t="s">
        <v>40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.6">
      <c r="A213" s="13">
        <v>2012</v>
      </c>
      <c r="B213" s="3" t="s">
        <v>62</v>
      </c>
      <c r="C213" s="32">
        <v>41110</v>
      </c>
      <c r="D213" s="3" t="s">
        <v>48</v>
      </c>
      <c r="E213" s="3" t="s">
        <v>542</v>
      </c>
      <c r="F213" s="32">
        <v>41110</v>
      </c>
      <c r="G213" s="3" t="s">
        <v>48</v>
      </c>
      <c r="H213" s="3" t="s">
        <v>542</v>
      </c>
      <c r="I213" s="3" t="s">
        <v>19</v>
      </c>
      <c r="J213" s="3">
        <v>1</v>
      </c>
      <c r="K213" s="3" t="s">
        <v>39</v>
      </c>
      <c r="L213" s="5" t="s">
        <v>40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.6">
      <c r="A214" s="13">
        <v>2012</v>
      </c>
      <c r="B214" s="3" t="s">
        <v>64</v>
      </c>
      <c r="C214" s="32">
        <v>41128</v>
      </c>
      <c r="D214" s="3" t="s">
        <v>51</v>
      </c>
      <c r="E214" s="3" t="s">
        <v>542</v>
      </c>
      <c r="F214" s="32">
        <v>41128</v>
      </c>
      <c r="G214" s="3" t="s">
        <v>51</v>
      </c>
      <c r="H214" s="3" t="s">
        <v>542</v>
      </c>
      <c r="I214" s="3" t="s">
        <v>19</v>
      </c>
      <c r="J214" s="3">
        <v>1</v>
      </c>
      <c r="K214" s="3" t="s">
        <v>39</v>
      </c>
      <c r="L214" s="5" t="s">
        <v>40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.6">
      <c r="A215" s="13">
        <v>2012</v>
      </c>
      <c r="B215" s="3" t="s">
        <v>66</v>
      </c>
      <c r="C215" s="32">
        <v>41136</v>
      </c>
      <c r="D215" s="3" t="s">
        <v>84</v>
      </c>
      <c r="E215" s="3" t="s">
        <v>543</v>
      </c>
      <c r="F215" s="32">
        <v>41141</v>
      </c>
      <c r="G215" s="3" t="s">
        <v>35</v>
      </c>
      <c r="H215" s="3" t="s">
        <v>543</v>
      </c>
      <c r="I215" s="3" t="s">
        <v>19</v>
      </c>
      <c r="J215" s="3">
        <v>1</v>
      </c>
      <c r="K215" s="3" t="s">
        <v>39</v>
      </c>
      <c r="L215" s="5" t="s">
        <v>40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.6">
      <c r="A216" s="13">
        <v>2012</v>
      </c>
      <c r="B216" s="3" t="s">
        <v>68</v>
      </c>
      <c r="C216" s="32">
        <v>41194</v>
      </c>
      <c r="D216" s="3" t="s">
        <v>48</v>
      </c>
      <c r="E216" s="3" t="s">
        <v>543</v>
      </c>
      <c r="F216" s="32">
        <v>41197</v>
      </c>
      <c r="G216" s="3" t="s">
        <v>35</v>
      </c>
      <c r="H216" s="3" t="s">
        <v>543</v>
      </c>
      <c r="I216" s="3" t="s">
        <v>20</v>
      </c>
      <c r="J216" s="3">
        <v>1</v>
      </c>
      <c r="K216" s="3" t="s">
        <v>39</v>
      </c>
      <c r="L216" s="5" t="s">
        <v>40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.6">
      <c r="A217" s="13">
        <v>2012</v>
      </c>
      <c r="B217" s="3" t="s">
        <v>70</v>
      </c>
      <c r="C217" s="32">
        <v>41214</v>
      </c>
      <c r="D217" s="3" t="s">
        <v>45</v>
      </c>
      <c r="E217" s="3" t="s">
        <v>543</v>
      </c>
      <c r="F217" s="32">
        <v>41218</v>
      </c>
      <c r="G217" s="3" t="s">
        <v>35</v>
      </c>
      <c r="H217" s="3" t="s">
        <v>543</v>
      </c>
      <c r="I217" s="3" t="s">
        <v>20</v>
      </c>
      <c r="J217" s="3">
        <v>1</v>
      </c>
      <c r="K217" s="3" t="s">
        <v>39</v>
      </c>
      <c r="L217" s="5" t="s">
        <v>40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.6">
      <c r="A218" s="13">
        <v>2012</v>
      </c>
      <c r="B218" s="3" t="s">
        <v>72</v>
      </c>
      <c r="C218" s="32">
        <v>41224</v>
      </c>
      <c r="D218" s="3" t="s">
        <v>96</v>
      </c>
      <c r="E218" s="3" t="s">
        <v>543</v>
      </c>
      <c r="F218" s="32">
        <v>41225</v>
      </c>
      <c r="G218" s="3" t="s">
        <v>35</v>
      </c>
      <c r="H218" s="3" t="s">
        <v>543</v>
      </c>
      <c r="I218" s="3" t="s">
        <v>20</v>
      </c>
      <c r="J218" s="3">
        <v>1</v>
      </c>
      <c r="K218" s="3" t="s">
        <v>39</v>
      </c>
      <c r="L218" s="5" t="s">
        <v>40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.6">
      <c r="A219" s="13">
        <v>2012</v>
      </c>
      <c r="B219" s="3" t="s">
        <v>75</v>
      </c>
      <c r="C219" s="32">
        <v>41251</v>
      </c>
      <c r="D219" s="3" t="s">
        <v>74</v>
      </c>
      <c r="E219" s="3" t="s">
        <v>542</v>
      </c>
      <c r="F219" s="32">
        <v>41251</v>
      </c>
      <c r="G219" s="3" t="s">
        <v>74</v>
      </c>
      <c r="H219" s="3" t="s">
        <v>542</v>
      </c>
      <c r="I219" s="3" t="s">
        <v>20</v>
      </c>
      <c r="J219" s="3">
        <v>1</v>
      </c>
      <c r="K219" s="3" t="s">
        <v>39</v>
      </c>
      <c r="L219" s="5" t="s">
        <v>40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.6">
      <c r="A220" s="13">
        <v>2012</v>
      </c>
      <c r="B220" s="3" t="s">
        <v>77</v>
      </c>
      <c r="C220" s="32">
        <v>41268</v>
      </c>
      <c r="D220" s="3" t="s">
        <v>51</v>
      </c>
      <c r="E220" s="3" t="s">
        <v>542</v>
      </c>
      <c r="F220" s="32">
        <v>41268</v>
      </c>
      <c r="G220" s="3" t="s">
        <v>51</v>
      </c>
      <c r="H220" s="3" t="s">
        <v>542</v>
      </c>
      <c r="I220" s="3" t="s">
        <v>20</v>
      </c>
      <c r="J220" s="3">
        <v>1</v>
      </c>
      <c r="K220" s="3" t="s">
        <v>39</v>
      </c>
      <c r="L220" s="5" t="s">
        <v>40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.6">
      <c r="A221" s="13">
        <v>2013</v>
      </c>
      <c r="B221" s="3" t="s">
        <v>36</v>
      </c>
      <c r="C221" s="32">
        <v>41275</v>
      </c>
      <c r="D221" s="3" t="s">
        <v>51</v>
      </c>
      <c r="E221" s="3" t="s">
        <v>542</v>
      </c>
      <c r="F221" s="32">
        <v>41275</v>
      </c>
      <c r="G221" s="3" t="s">
        <v>51</v>
      </c>
      <c r="H221" s="3" t="s">
        <v>542</v>
      </c>
      <c r="I221" s="3" t="s">
        <v>15</v>
      </c>
      <c r="J221" s="3">
        <v>1</v>
      </c>
      <c r="K221" s="3" t="s">
        <v>39</v>
      </c>
      <c r="L221" s="5" t="s">
        <v>40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.6">
      <c r="A222" s="13">
        <v>2013</v>
      </c>
      <c r="B222" s="3" t="s">
        <v>41</v>
      </c>
      <c r="C222" s="32">
        <v>41280</v>
      </c>
      <c r="D222" s="3" t="s">
        <v>96</v>
      </c>
      <c r="E222" s="3" t="s">
        <v>543</v>
      </c>
      <c r="F222" s="32">
        <v>41281</v>
      </c>
      <c r="G222" s="3" t="s">
        <v>35</v>
      </c>
      <c r="H222" s="3" t="s">
        <v>543</v>
      </c>
      <c r="I222" s="3" t="s">
        <v>15</v>
      </c>
      <c r="J222" s="3">
        <v>1</v>
      </c>
      <c r="K222" s="3" t="s">
        <v>39</v>
      </c>
      <c r="L222" s="5" t="s">
        <v>40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.6">
      <c r="A223" s="13">
        <v>2013</v>
      </c>
      <c r="B223" s="3" t="s">
        <v>43</v>
      </c>
      <c r="C223" s="32">
        <v>41352</v>
      </c>
      <c r="D223" s="3" t="s">
        <v>51</v>
      </c>
      <c r="E223" s="3" t="s">
        <v>543</v>
      </c>
      <c r="F223" s="32">
        <v>41358</v>
      </c>
      <c r="G223" s="3" t="s">
        <v>35</v>
      </c>
      <c r="H223" s="3" t="s">
        <v>543</v>
      </c>
      <c r="I223" s="3" t="s">
        <v>15</v>
      </c>
      <c r="J223" s="3">
        <v>1</v>
      </c>
      <c r="K223" s="3" t="s">
        <v>39</v>
      </c>
      <c r="L223" s="5" t="s">
        <v>40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.6">
      <c r="A224" s="13">
        <v>2013</v>
      </c>
      <c r="B224" s="3" t="s">
        <v>46</v>
      </c>
      <c r="C224" s="32">
        <v>41361</v>
      </c>
      <c r="D224" s="3" t="s">
        <v>45</v>
      </c>
      <c r="E224" s="3" t="s">
        <v>542</v>
      </c>
      <c r="F224" s="32">
        <v>41361</v>
      </c>
      <c r="G224" s="3" t="s">
        <v>45</v>
      </c>
      <c r="H224" s="3" t="s">
        <v>542</v>
      </c>
      <c r="I224" s="3" t="s">
        <v>15</v>
      </c>
      <c r="J224" s="3">
        <v>1</v>
      </c>
      <c r="K224" s="3" t="s">
        <v>39</v>
      </c>
      <c r="L224" s="5" t="s">
        <v>40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.6">
      <c r="A225" s="13">
        <v>2013</v>
      </c>
      <c r="B225" s="3" t="s">
        <v>49</v>
      </c>
      <c r="C225" s="32">
        <v>41362</v>
      </c>
      <c r="D225" s="3" t="s">
        <v>48</v>
      </c>
      <c r="E225" s="3" t="s">
        <v>542</v>
      </c>
      <c r="F225" s="32">
        <v>41362</v>
      </c>
      <c r="G225" s="3" t="s">
        <v>48</v>
      </c>
      <c r="H225" s="3" t="s">
        <v>542</v>
      </c>
      <c r="I225" s="3" t="s">
        <v>15</v>
      </c>
      <c r="J225" s="3">
        <v>1</v>
      </c>
      <c r="K225" s="3" t="s">
        <v>39</v>
      </c>
      <c r="L225" s="5" t="s">
        <v>40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.6">
      <c r="A226" s="13">
        <v>2013</v>
      </c>
      <c r="B226" s="3" t="s">
        <v>52</v>
      </c>
      <c r="C226" s="32">
        <v>41395</v>
      </c>
      <c r="D226" s="3" t="s">
        <v>84</v>
      </c>
      <c r="E226" s="3" t="s">
        <v>542</v>
      </c>
      <c r="F226" s="32">
        <v>41395</v>
      </c>
      <c r="G226" s="3" t="s">
        <v>84</v>
      </c>
      <c r="H226" s="3" t="s">
        <v>542</v>
      </c>
      <c r="I226" s="3" t="s">
        <v>17</v>
      </c>
      <c r="J226" s="3">
        <v>1</v>
      </c>
      <c r="K226" s="3" t="s">
        <v>39</v>
      </c>
      <c r="L226" s="5" t="s">
        <v>40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.6">
      <c r="A227" s="13">
        <v>2013</v>
      </c>
      <c r="B227" s="3" t="s">
        <v>54</v>
      </c>
      <c r="C227" s="32">
        <v>41403</v>
      </c>
      <c r="D227" s="3" t="s">
        <v>45</v>
      </c>
      <c r="E227" s="3" t="s">
        <v>543</v>
      </c>
      <c r="F227" s="32">
        <v>41407</v>
      </c>
      <c r="G227" s="3" t="s">
        <v>35</v>
      </c>
      <c r="H227" s="3" t="s">
        <v>543</v>
      </c>
      <c r="I227" s="3" t="s">
        <v>17</v>
      </c>
      <c r="J227" s="3">
        <v>1</v>
      </c>
      <c r="K227" s="3" t="s">
        <v>39</v>
      </c>
      <c r="L227" s="5" t="s">
        <v>40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.6">
      <c r="A228" s="13">
        <v>2013</v>
      </c>
      <c r="B228" s="3" t="s">
        <v>56</v>
      </c>
      <c r="C228" s="32">
        <v>41424</v>
      </c>
      <c r="D228" s="3" t="s">
        <v>45</v>
      </c>
      <c r="E228" s="3" t="s">
        <v>543</v>
      </c>
      <c r="F228" s="32">
        <v>41428</v>
      </c>
      <c r="G228" s="3" t="s">
        <v>35</v>
      </c>
      <c r="H228" s="3" t="s">
        <v>543</v>
      </c>
      <c r="I228" s="3" t="s">
        <v>17</v>
      </c>
      <c r="J228" s="3">
        <v>1</v>
      </c>
      <c r="K228" s="3" t="s">
        <v>39</v>
      </c>
      <c r="L228" s="5" t="s">
        <v>40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.6">
      <c r="A229" s="13">
        <v>2013</v>
      </c>
      <c r="B229" s="3" t="s">
        <v>58</v>
      </c>
      <c r="C229" s="32">
        <v>41432</v>
      </c>
      <c r="D229" s="3" t="s">
        <v>48</v>
      </c>
      <c r="E229" s="3" t="s">
        <v>543</v>
      </c>
      <c r="F229" s="32">
        <v>41435</v>
      </c>
      <c r="G229" s="3" t="s">
        <v>35</v>
      </c>
      <c r="H229" s="3" t="s">
        <v>543</v>
      </c>
      <c r="I229" s="3" t="s">
        <v>17</v>
      </c>
      <c r="J229" s="3">
        <v>1</v>
      </c>
      <c r="K229" s="3" t="s">
        <v>39</v>
      </c>
      <c r="L229" s="5" t="s">
        <v>40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.6">
      <c r="A230" s="13">
        <v>2013</v>
      </c>
      <c r="B230" s="3" t="s">
        <v>60</v>
      </c>
      <c r="C230" s="32">
        <v>41454</v>
      </c>
      <c r="D230" s="3" t="s">
        <v>74</v>
      </c>
      <c r="E230" s="3" t="s">
        <v>543</v>
      </c>
      <c r="F230" s="32">
        <v>41456</v>
      </c>
      <c r="G230" s="3" t="s">
        <v>35</v>
      </c>
      <c r="H230" s="3" t="s">
        <v>543</v>
      </c>
      <c r="I230" s="3" t="s">
        <v>19</v>
      </c>
      <c r="J230" s="3">
        <v>1</v>
      </c>
      <c r="K230" s="3" t="s">
        <v>39</v>
      </c>
      <c r="L230" s="5" t="s">
        <v>40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.6">
      <c r="A231" s="13">
        <v>2013</v>
      </c>
      <c r="B231" s="3" t="s">
        <v>62</v>
      </c>
      <c r="C231" s="32">
        <v>41475</v>
      </c>
      <c r="D231" s="3" t="s">
        <v>74</v>
      </c>
      <c r="E231" s="3" t="s">
        <v>542</v>
      </c>
      <c r="F231" s="32">
        <v>41475</v>
      </c>
      <c r="G231" s="3" t="s">
        <v>74</v>
      </c>
      <c r="H231" s="3" t="s">
        <v>542</v>
      </c>
      <c r="I231" s="3" t="s">
        <v>19</v>
      </c>
      <c r="J231" s="3">
        <v>1</v>
      </c>
      <c r="K231" s="3" t="s">
        <v>39</v>
      </c>
      <c r="L231" s="5" t="s">
        <v>40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.6">
      <c r="A232" s="13">
        <v>2013</v>
      </c>
      <c r="B232" s="3" t="s">
        <v>64</v>
      </c>
      <c r="C232" s="32">
        <v>41493</v>
      </c>
      <c r="D232" s="3" t="s">
        <v>84</v>
      </c>
      <c r="E232" s="3" t="s">
        <v>542</v>
      </c>
      <c r="F232" s="32">
        <v>41493</v>
      </c>
      <c r="G232" s="3" t="s">
        <v>84</v>
      </c>
      <c r="H232" s="3" t="s">
        <v>542</v>
      </c>
      <c r="I232" s="3" t="s">
        <v>19</v>
      </c>
      <c r="J232" s="3">
        <v>1</v>
      </c>
      <c r="K232" s="3" t="s">
        <v>39</v>
      </c>
      <c r="L232" s="5" t="s">
        <v>40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.6">
      <c r="A233" s="13">
        <v>2013</v>
      </c>
      <c r="B233" s="3" t="s">
        <v>66</v>
      </c>
      <c r="C233" s="32">
        <v>41501</v>
      </c>
      <c r="D233" s="3" t="s">
        <v>45</v>
      </c>
      <c r="E233" s="3" t="s">
        <v>543</v>
      </c>
      <c r="F233" s="32">
        <v>41505</v>
      </c>
      <c r="G233" s="3" t="s">
        <v>35</v>
      </c>
      <c r="H233" s="3" t="s">
        <v>543</v>
      </c>
      <c r="I233" s="3" t="s">
        <v>19</v>
      </c>
      <c r="J233" s="3">
        <v>1</v>
      </c>
      <c r="K233" s="3" t="s">
        <v>39</v>
      </c>
      <c r="L233" s="5" t="s">
        <v>40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.6">
      <c r="A234" s="13">
        <v>2013</v>
      </c>
      <c r="B234" s="3" t="s">
        <v>68</v>
      </c>
      <c r="C234" s="32">
        <v>41559</v>
      </c>
      <c r="D234" s="3" t="s">
        <v>74</v>
      </c>
      <c r="E234" s="3" t="s">
        <v>543</v>
      </c>
      <c r="F234" s="32">
        <v>41561</v>
      </c>
      <c r="G234" s="3" t="s">
        <v>35</v>
      </c>
      <c r="H234" s="3" t="s">
        <v>543</v>
      </c>
      <c r="I234" s="3" t="s">
        <v>20</v>
      </c>
      <c r="J234" s="3">
        <v>1</v>
      </c>
      <c r="K234" s="3" t="s">
        <v>39</v>
      </c>
      <c r="L234" s="5" t="s">
        <v>40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.6">
      <c r="A235" s="13">
        <v>2013</v>
      </c>
      <c r="B235" s="3" t="s">
        <v>70</v>
      </c>
      <c r="C235" s="32">
        <v>41579</v>
      </c>
      <c r="D235" s="3" t="s">
        <v>48</v>
      </c>
      <c r="E235" s="3" t="s">
        <v>543</v>
      </c>
      <c r="F235" s="32">
        <v>41582</v>
      </c>
      <c r="G235" s="3" t="s">
        <v>35</v>
      </c>
      <c r="H235" s="3" t="s">
        <v>543</v>
      </c>
      <c r="I235" s="3" t="s">
        <v>20</v>
      </c>
      <c r="J235" s="3">
        <v>1</v>
      </c>
      <c r="K235" s="3" t="s">
        <v>39</v>
      </c>
      <c r="L235" s="5" t="s">
        <v>40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.6">
      <c r="A236" s="13">
        <v>2013</v>
      </c>
      <c r="B236" s="3" t="s">
        <v>72</v>
      </c>
      <c r="C236" s="32">
        <v>41589</v>
      </c>
      <c r="D236" s="3" t="s">
        <v>35</v>
      </c>
      <c r="E236" s="3" t="s">
        <v>543</v>
      </c>
      <c r="F236" s="32">
        <v>41589</v>
      </c>
      <c r="G236" s="3" t="s">
        <v>35</v>
      </c>
      <c r="H236" s="3" t="s">
        <v>542</v>
      </c>
      <c r="I236" s="3" t="s">
        <v>20</v>
      </c>
      <c r="J236" s="3">
        <v>1</v>
      </c>
      <c r="K236" s="3" t="s">
        <v>39</v>
      </c>
      <c r="L236" s="5" t="s">
        <v>40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.6">
      <c r="A237" s="13">
        <v>2013</v>
      </c>
      <c r="B237" s="3" t="s">
        <v>75</v>
      </c>
      <c r="C237" s="32">
        <v>41616</v>
      </c>
      <c r="D237" s="3" t="s">
        <v>96</v>
      </c>
      <c r="E237" s="3" t="s">
        <v>542</v>
      </c>
      <c r="F237" s="32">
        <v>41616</v>
      </c>
      <c r="G237" s="3" t="s">
        <v>96</v>
      </c>
      <c r="H237" s="3" t="s">
        <v>542</v>
      </c>
      <c r="I237" s="3" t="s">
        <v>20</v>
      </c>
      <c r="J237" s="3">
        <v>0</v>
      </c>
      <c r="K237" s="3" t="s">
        <v>39</v>
      </c>
      <c r="L237" s="5" t="s">
        <v>40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.6">
      <c r="A238" s="13">
        <v>2013</v>
      </c>
      <c r="B238" s="3" t="s">
        <v>77</v>
      </c>
      <c r="C238" s="32">
        <v>41633</v>
      </c>
      <c r="D238" s="3" t="s">
        <v>84</v>
      </c>
      <c r="E238" s="3" t="s">
        <v>542</v>
      </c>
      <c r="F238" s="32">
        <v>41633</v>
      </c>
      <c r="G238" s="3" t="s">
        <v>84</v>
      </c>
      <c r="H238" s="3" t="s">
        <v>542</v>
      </c>
      <c r="I238" s="3" t="s">
        <v>20</v>
      </c>
      <c r="J238" s="3">
        <v>1</v>
      </c>
      <c r="K238" s="3" t="s">
        <v>39</v>
      </c>
      <c r="L238" s="5" t="s">
        <v>40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.6">
      <c r="A239" s="13">
        <v>2014</v>
      </c>
      <c r="B239" s="3" t="s">
        <v>36</v>
      </c>
      <c r="C239" s="32">
        <v>41640</v>
      </c>
      <c r="D239" s="3" t="s">
        <v>84</v>
      </c>
      <c r="E239" s="3" t="s">
        <v>542</v>
      </c>
      <c r="F239" s="32">
        <v>41640</v>
      </c>
      <c r="G239" s="3" t="s">
        <v>84</v>
      </c>
      <c r="H239" s="3" t="s">
        <v>542</v>
      </c>
      <c r="I239" s="3" t="s">
        <v>15</v>
      </c>
      <c r="J239" s="3">
        <v>1</v>
      </c>
      <c r="K239" s="3" t="s">
        <v>39</v>
      </c>
      <c r="L239" s="5" t="s">
        <v>40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.6">
      <c r="A240" s="13">
        <v>2014</v>
      </c>
      <c r="B240" s="3" t="s">
        <v>41</v>
      </c>
      <c r="C240" s="32">
        <v>41645</v>
      </c>
      <c r="D240" s="3" t="s">
        <v>35</v>
      </c>
      <c r="E240" s="3" t="s">
        <v>543</v>
      </c>
      <c r="F240" s="32">
        <v>41645</v>
      </c>
      <c r="G240" s="3" t="s">
        <v>35</v>
      </c>
      <c r="H240" s="3" t="s">
        <v>542</v>
      </c>
      <c r="I240" s="3" t="s">
        <v>15</v>
      </c>
      <c r="J240" s="3">
        <v>1</v>
      </c>
      <c r="K240" s="3" t="s">
        <v>39</v>
      </c>
      <c r="L240" s="5" t="s">
        <v>40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.6">
      <c r="A241" s="13">
        <v>2014</v>
      </c>
      <c r="B241" s="3" t="s">
        <v>43</v>
      </c>
      <c r="C241" s="32">
        <v>41717</v>
      </c>
      <c r="D241" s="3" t="s">
        <v>84</v>
      </c>
      <c r="E241" s="3" t="s">
        <v>543</v>
      </c>
      <c r="F241" s="32">
        <v>41722</v>
      </c>
      <c r="G241" s="3" t="s">
        <v>35</v>
      </c>
      <c r="H241" s="3" t="s">
        <v>543</v>
      </c>
      <c r="I241" s="3" t="s">
        <v>15</v>
      </c>
      <c r="J241" s="3">
        <v>1</v>
      </c>
      <c r="K241" s="3" t="s">
        <v>39</v>
      </c>
      <c r="L241" s="5" t="s">
        <v>40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.6">
      <c r="A242" s="13">
        <v>2014</v>
      </c>
      <c r="B242" s="3" t="s">
        <v>46</v>
      </c>
      <c r="C242" s="32">
        <v>41746</v>
      </c>
      <c r="D242" s="3" t="s">
        <v>45</v>
      </c>
      <c r="E242" s="3" t="s">
        <v>542</v>
      </c>
      <c r="F242" s="32">
        <v>41746</v>
      </c>
      <c r="G242" s="3" t="s">
        <v>45</v>
      </c>
      <c r="H242" s="3" t="s">
        <v>542</v>
      </c>
      <c r="I242" s="3" t="s">
        <v>17</v>
      </c>
      <c r="J242" s="3">
        <v>1</v>
      </c>
      <c r="K242" s="3" t="s">
        <v>39</v>
      </c>
      <c r="L242" s="5" t="s">
        <v>40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.6">
      <c r="A243" s="13">
        <v>2014</v>
      </c>
      <c r="B243" s="3" t="s">
        <v>49</v>
      </c>
      <c r="C243" s="32">
        <v>41747</v>
      </c>
      <c r="D243" s="3" t="s">
        <v>48</v>
      </c>
      <c r="E243" s="3" t="s">
        <v>542</v>
      </c>
      <c r="F243" s="32">
        <v>41747</v>
      </c>
      <c r="G243" s="3" t="s">
        <v>48</v>
      </c>
      <c r="H243" s="3" t="s">
        <v>542</v>
      </c>
      <c r="I243" s="3" t="s">
        <v>17</v>
      </c>
      <c r="J243" s="3">
        <v>1</v>
      </c>
      <c r="K243" s="3" t="s">
        <v>39</v>
      </c>
      <c r="L243" s="5" t="s">
        <v>40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.6">
      <c r="A244" s="13">
        <v>2014</v>
      </c>
      <c r="B244" s="3" t="s">
        <v>52</v>
      </c>
      <c r="C244" s="32">
        <v>41760</v>
      </c>
      <c r="D244" s="3" t="s">
        <v>45</v>
      </c>
      <c r="E244" s="3" t="s">
        <v>542</v>
      </c>
      <c r="F244" s="32">
        <v>41760</v>
      </c>
      <c r="G244" s="3" t="s">
        <v>45</v>
      </c>
      <c r="H244" s="3" t="s">
        <v>542</v>
      </c>
      <c r="I244" s="3" t="s">
        <v>17</v>
      </c>
      <c r="J244" s="3">
        <v>1</v>
      </c>
      <c r="K244" s="3" t="s">
        <v>39</v>
      </c>
      <c r="L244" s="5" t="s">
        <v>40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.6">
      <c r="A245" s="13">
        <v>2014</v>
      </c>
      <c r="B245" s="3" t="s">
        <v>54</v>
      </c>
      <c r="C245" s="32">
        <v>41788</v>
      </c>
      <c r="D245" s="3" t="s">
        <v>45</v>
      </c>
      <c r="E245" s="3" t="s">
        <v>543</v>
      </c>
      <c r="F245" s="32">
        <v>41792</v>
      </c>
      <c r="G245" s="3" t="s">
        <v>35</v>
      </c>
      <c r="H245" s="3" t="s">
        <v>543</v>
      </c>
      <c r="I245" s="3" t="s">
        <v>17</v>
      </c>
      <c r="J245" s="3">
        <v>1</v>
      </c>
      <c r="K245" s="3" t="s">
        <v>39</v>
      </c>
      <c r="L245" s="5" t="s">
        <v>40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.6">
      <c r="A246" s="13">
        <v>2014</v>
      </c>
      <c r="B246" s="3" t="s">
        <v>56</v>
      </c>
      <c r="C246" s="32">
        <v>41809</v>
      </c>
      <c r="D246" s="3" t="s">
        <v>45</v>
      </c>
      <c r="E246" s="3" t="s">
        <v>543</v>
      </c>
      <c r="F246" s="32">
        <v>41813</v>
      </c>
      <c r="G246" s="3" t="s">
        <v>35</v>
      </c>
      <c r="H246" s="3" t="s">
        <v>543</v>
      </c>
      <c r="I246" s="3" t="s">
        <v>17</v>
      </c>
      <c r="J246" s="3">
        <v>1</v>
      </c>
      <c r="K246" s="3" t="s">
        <v>39</v>
      </c>
      <c r="L246" s="5" t="s">
        <v>40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.6">
      <c r="A247" s="13">
        <v>2014</v>
      </c>
      <c r="B247" s="3" t="s">
        <v>58</v>
      </c>
      <c r="C247" s="32">
        <v>41817</v>
      </c>
      <c r="D247" s="3" t="s">
        <v>48</v>
      </c>
      <c r="E247" s="3" t="s">
        <v>543</v>
      </c>
      <c r="F247" s="32">
        <v>41820</v>
      </c>
      <c r="G247" s="3" t="s">
        <v>35</v>
      </c>
      <c r="H247" s="3" t="s">
        <v>543</v>
      </c>
      <c r="I247" s="3" t="s">
        <v>17</v>
      </c>
      <c r="J247" s="3">
        <v>1</v>
      </c>
      <c r="K247" s="3" t="s">
        <v>39</v>
      </c>
      <c r="L247" s="5" t="s">
        <v>40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.6">
      <c r="A248" s="13">
        <v>2014</v>
      </c>
      <c r="B248" s="3" t="s">
        <v>60</v>
      </c>
      <c r="C248" s="32">
        <v>41819</v>
      </c>
      <c r="D248" s="3" t="s">
        <v>96</v>
      </c>
      <c r="E248" s="3" t="s">
        <v>543</v>
      </c>
      <c r="F248" s="32">
        <v>41820</v>
      </c>
      <c r="G248" s="3" t="s">
        <v>35</v>
      </c>
      <c r="H248" s="3" t="s">
        <v>543</v>
      </c>
      <c r="I248" s="3" t="s">
        <v>17</v>
      </c>
      <c r="J248" s="3">
        <v>1</v>
      </c>
      <c r="K248" s="3" t="s">
        <v>39</v>
      </c>
      <c r="L248" s="5" t="s">
        <v>40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.6">
      <c r="A249" s="13">
        <v>2014</v>
      </c>
      <c r="B249" s="3" t="s">
        <v>62</v>
      </c>
      <c r="C249" s="32">
        <v>41840</v>
      </c>
      <c r="D249" s="3" t="s">
        <v>96</v>
      </c>
      <c r="E249" s="3" t="s">
        <v>542</v>
      </c>
      <c r="F249" s="32">
        <v>41840</v>
      </c>
      <c r="G249" s="3" t="s">
        <v>96</v>
      </c>
      <c r="H249" s="3" t="s">
        <v>542</v>
      </c>
      <c r="I249" s="3" t="s">
        <v>19</v>
      </c>
      <c r="J249" s="3">
        <v>0</v>
      </c>
      <c r="K249" s="3" t="s">
        <v>39</v>
      </c>
      <c r="L249" s="5" t="s">
        <v>40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.6">
      <c r="A250" s="13">
        <v>2014</v>
      </c>
      <c r="B250" s="3" t="s">
        <v>64</v>
      </c>
      <c r="C250" s="32">
        <v>41858</v>
      </c>
      <c r="D250" s="3" t="s">
        <v>45</v>
      </c>
      <c r="E250" s="3" t="s">
        <v>542</v>
      </c>
      <c r="F250" s="32">
        <v>41858</v>
      </c>
      <c r="G250" s="3" t="s">
        <v>45</v>
      </c>
      <c r="H250" s="3" t="s">
        <v>542</v>
      </c>
      <c r="I250" s="3" t="s">
        <v>19</v>
      </c>
      <c r="J250" s="3">
        <v>1</v>
      </c>
      <c r="K250" s="3" t="s">
        <v>39</v>
      </c>
      <c r="L250" s="5" t="s">
        <v>40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.6">
      <c r="A251" s="13">
        <v>2014</v>
      </c>
      <c r="B251" s="3" t="s">
        <v>66</v>
      </c>
      <c r="C251" s="32">
        <v>41866</v>
      </c>
      <c r="D251" s="3" t="s">
        <v>48</v>
      </c>
      <c r="E251" s="3" t="s">
        <v>543</v>
      </c>
      <c r="F251" s="32">
        <v>41869</v>
      </c>
      <c r="G251" s="3" t="s">
        <v>35</v>
      </c>
      <c r="H251" s="3" t="s">
        <v>543</v>
      </c>
      <c r="I251" s="3" t="s">
        <v>19</v>
      </c>
      <c r="J251" s="3">
        <v>1</v>
      </c>
      <c r="K251" s="3" t="s">
        <v>39</v>
      </c>
      <c r="L251" s="5" t="s">
        <v>40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.6">
      <c r="A252" s="13">
        <v>2014</v>
      </c>
      <c r="B252" s="3" t="s">
        <v>68</v>
      </c>
      <c r="C252" s="32">
        <v>41924</v>
      </c>
      <c r="D252" s="3" t="s">
        <v>96</v>
      </c>
      <c r="E252" s="3" t="s">
        <v>543</v>
      </c>
      <c r="F252" s="32">
        <v>41925</v>
      </c>
      <c r="G252" s="3" t="s">
        <v>35</v>
      </c>
      <c r="H252" s="3" t="s">
        <v>543</v>
      </c>
      <c r="I252" s="3" t="s">
        <v>20</v>
      </c>
      <c r="J252" s="3">
        <v>1</v>
      </c>
      <c r="K252" s="3" t="s">
        <v>39</v>
      </c>
      <c r="L252" s="5" t="s">
        <v>40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.6">
      <c r="A253" s="13">
        <v>2014</v>
      </c>
      <c r="B253" s="3" t="s">
        <v>70</v>
      </c>
      <c r="C253" s="32">
        <v>41944</v>
      </c>
      <c r="D253" s="3" t="s">
        <v>74</v>
      </c>
      <c r="E253" s="3" t="s">
        <v>543</v>
      </c>
      <c r="F253" s="32">
        <v>41946</v>
      </c>
      <c r="G253" s="3" t="s">
        <v>35</v>
      </c>
      <c r="H253" s="3" t="s">
        <v>543</v>
      </c>
      <c r="I253" s="3" t="s">
        <v>20</v>
      </c>
      <c r="J253" s="3">
        <v>1</v>
      </c>
      <c r="K253" s="3" t="s">
        <v>39</v>
      </c>
      <c r="L253" s="5" t="s">
        <v>40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.6">
      <c r="A254" s="13">
        <v>2014</v>
      </c>
      <c r="B254" s="3" t="s">
        <v>72</v>
      </c>
      <c r="C254" s="32">
        <v>41954</v>
      </c>
      <c r="D254" s="3" t="s">
        <v>51</v>
      </c>
      <c r="E254" s="3" t="s">
        <v>543</v>
      </c>
      <c r="F254" s="32">
        <v>41960</v>
      </c>
      <c r="G254" s="3" t="s">
        <v>35</v>
      </c>
      <c r="H254" s="3" t="s">
        <v>543</v>
      </c>
      <c r="I254" s="3" t="s">
        <v>20</v>
      </c>
      <c r="J254" s="3">
        <v>1</v>
      </c>
      <c r="K254" s="3" t="s">
        <v>39</v>
      </c>
      <c r="L254" s="5" t="s">
        <v>40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.6">
      <c r="A255" s="13">
        <v>2014</v>
      </c>
      <c r="B255" s="3" t="s">
        <v>75</v>
      </c>
      <c r="C255" s="32">
        <v>41981</v>
      </c>
      <c r="D255" s="3" t="s">
        <v>35</v>
      </c>
      <c r="E255" s="3" t="s">
        <v>542</v>
      </c>
      <c r="F255" s="32">
        <v>41981</v>
      </c>
      <c r="G255" s="3" t="s">
        <v>35</v>
      </c>
      <c r="H255" s="3" t="s">
        <v>542</v>
      </c>
      <c r="I255" s="3" t="s">
        <v>20</v>
      </c>
      <c r="J255" s="3">
        <v>1</v>
      </c>
      <c r="K255" s="3" t="s">
        <v>39</v>
      </c>
      <c r="L255" s="5" t="s">
        <v>40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.6">
      <c r="A256" s="13">
        <v>2014</v>
      </c>
      <c r="B256" s="3" t="s">
        <v>77</v>
      </c>
      <c r="C256" s="32">
        <v>41998</v>
      </c>
      <c r="D256" s="3" t="s">
        <v>45</v>
      </c>
      <c r="E256" s="3" t="s">
        <v>542</v>
      </c>
      <c r="F256" s="32">
        <v>41998</v>
      </c>
      <c r="G256" s="3" t="s">
        <v>45</v>
      </c>
      <c r="H256" s="3" t="s">
        <v>542</v>
      </c>
      <c r="I256" s="3" t="s">
        <v>20</v>
      </c>
      <c r="J256" s="3">
        <v>1</v>
      </c>
      <c r="K256" s="3" t="s">
        <v>39</v>
      </c>
      <c r="L256" s="5" t="s">
        <v>40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.6">
      <c r="A257" s="13">
        <v>2015</v>
      </c>
      <c r="B257" s="3" t="s">
        <v>36</v>
      </c>
      <c r="C257" s="32">
        <v>42005</v>
      </c>
      <c r="D257" s="3" t="s">
        <v>45</v>
      </c>
      <c r="E257" s="3" t="s">
        <v>542</v>
      </c>
      <c r="F257" s="32">
        <v>42005</v>
      </c>
      <c r="G257" s="3" t="s">
        <v>45</v>
      </c>
      <c r="H257" s="3" t="s">
        <v>542</v>
      </c>
      <c r="I257" s="3" t="s">
        <v>15</v>
      </c>
      <c r="J257" s="3">
        <v>1</v>
      </c>
      <c r="K257" s="3" t="s">
        <v>39</v>
      </c>
      <c r="L257" s="5" t="s">
        <v>40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.6">
      <c r="A258" s="13">
        <v>2015</v>
      </c>
      <c r="B258" s="3" t="s">
        <v>41</v>
      </c>
      <c r="C258" s="32">
        <v>42010</v>
      </c>
      <c r="D258" s="3" t="s">
        <v>51</v>
      </c>
      <c r="E258" s="3" t="s">
        <v>543</v>
      </c>
      <c r="F258" s="32">
        <v>42016</v>
      </c>
      <c r="G258" s="3" t="s">
        <v>35</v>
      </c>
      <c r="H258" s="3" t="s">
        <v>543</v>
      </c>
      <c r="I258" s="3" t="s">
        <v>15</v>
      </c>
      <c r="J258" s="3">
        <v>1</v>
      </c>
      <c r="K258" s="3" t="s">
        <v>39</v>
      </c>
      <c r="L258" s="5" t="s">
        <v>40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.6">
      <c r="A259" s="13">
        <v>2015</v>
      </c>
      <c r="B259" s="3" t="s">
        <v>43</v>
      </c>
      <c r="C259" s="32">
        <v>42082</v>
      </c>
      <c r="D259" s="3" t="s">
        <v>45</v>
      </c>
      <c r="E259" s="3" t="s">
        <v>543</v>
      </c>
      <c r="F259" s="32">
        <v>42086</v>
      </c>
      <c r="G259" s="3" t="s">
        <v>35</v>
      </c>
      <c r="H259" s="3" t="s">
        <v>543</v>
      </c>
      <c r="I259" s="3" t="s">
        <v>15</v>
      </c>
      <c r="J259" s="3">
        <v>1</v>
      </c>
      <c r="K259" s="3" t="s">
        <v>39</v>
      </c>
      <c r="L259" s="5" t="s">
        <v>40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.6">
      <c r="A260" s="13">
        <v>2015</v>
      </c>
      <c r="B260" s="3" t="s">
        <v>46</v>
      </c>
      <c r="C260" s="32">
        <v>42096</v>
      </c>
      <c r="D260" s="3" t="s">
        <v>45</v>
      </c>
      <c r="E260" s="3" t="s">
        <v>542</v>
      </c>
      <c r="F260" s="32">
        <v>42096</v>
      </c>
      <c r="G260" s="3" t="s">
        <v>45</v>
      </c>
      <c r="H260" s="3" t="s">
        <v>542</v>
      </c>
      <c r="I260" s="3" t="s">
        <v>17</v>
      </c>
      <c r="J260" s="3">
        <v>1</v>
      </c>
      <c r="K260" s="3" t="s">
        <v>39</v>
      </c>
      <c r="L260" s="5" t="s">
        <v>40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.6">
      <c r="A261" s="13">
        <v>2015</v>
      </c>
      <c r="B261" s="3" t="s">
        <v>49</v>
      </c>
      <c r="C261" s="32">
        <v>42097</v>
      </c>
      <c r="D261" s="3" t="s">
        <v>48</v>
      </c>
      <c r="E261" s="3" t="s">
        <v>542</v>
      </c>
      <c r="F261" s="32">
        <v>42097</v>
      </c>
      <c r="G261" s="3" t="s">
        <v>48</v>
      </c>
      <c r="H261" s="3" t="s">
        <v>542</v>
      </c>
      <c r="I261" s="3" t="s">
        <v>17</v>
      </c>
      <c r="J261" s="3">
        <v>1</v>
      </c>
      <c r="K261" s="3" t="s">
        <v>39</v>
      </c>
      <c r="L261" s="5" t="s">
        <v>40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.6">
      <c r="A262" s="13">
        <v>2015</v>
      </c>
      <c r="B262" s="3" t="s">
        <v>52</v>
      </c>
      <c r="C262" s="32">
        <v>42125</v>
      </c>
      <c r="D262" s="3" t="s">
        <v>48</v>
      </c>
      <c r="E262" s="3" t="s">
        <v>542</v>
      </c>
      <c r="F262" s="32">
        <v>42125</v>
      </c>
      <c r="G262" s="3" t="s">
        <v>48</v>
      </c>
      <c r="H262" s="3" t="s">
        <v>542</v>
      </c>
      <c r="I262" s="3" t="s">
        <v>17</v>
      </c>
      <c r="J262" s="3">
        <v>1</v>
      </c>
      <c r="K262" s="3" t="s">
        <v>39</v>
      </c>
      <c r="L262" s="5" t="s">
        <v>40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.6">
      <c r="A263" s="13">
        <v>2015</v>
      </c>
      <c r="B263" s="3" t="s">
        <v>54</v>
      </c>
      <c r="C263" s="32">
        <v>42138</v>
      </c>
      <c r="D263" s="3" t="s">
        <v>45</v>
      </c>
      <c r="E263" s="3" t="s">
        <v>543</v>
      </c>
      <c r="F263" s="32">
        <v>42142</v>
      </c>
      <c r="G263" s="3" t="s">
        <v>35</v>
      </c>
      <c r="H263" s="3" t="s">
        <v>543</v>
      </c>
      <c r="I263" s="3" t="s">
        <v>17</v>
      </c>
      <c r="J263" s="3">
        <v>1</v>
      </c>
      <c r="K263" s="3" t="s">
        <v>39</v>
      </c>
      <c r="L263" s="5" t="s">
        <v>40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.6">
      <c r="A264" s="13">
        <v>2015</v>
      </c>
      <c r="B264" s="3" t="s">
        <v>56</v>
      </c>
      <c r="C264" s="32">
        <v>42159</v>
      </c>
      <c r="D264" s="3" t="s">
        <v>45</v>
      </c>
      <c r="E264" s="3" t="s">
        <v>543</v>
      </c>
      <c r="F264" s="32">
        <v>42163</v>
      </c>
      <c r="G264" s="3" t="s">
        <v>35</v>
      </c>
      <c r="H264" s="3" t="s">
        <v>543</v>
      </c>
      <c r="I264" s="3" t="s">
        <v>17</v>
      </c>
      <c r="J264" s="3">
        <v>1</v>
      </c>
      <c r="K264" s="3" t="s">
        <v>39</v>
      </c>
      <c r="L264" s="5" t="s">
        <v>40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.6">
      <c r="A265" s="13">
        <v>2015</v>
      </c>
      <c r="B265" s="3" t="s">
        <v>58</v>
      </c>
      <c r="C265" s="32">
        <v>42167</v>
      </c>
      <c r="D265" s="3" t="s">
        <v>48</v>
      </c>
      <c r="E265" s="3" t="s">
        <v>543</v>
      </c>
      <c r="F265" s="32">
        <v>42170</v>
      </c>
      <c r="G265" s="3" t="s">
        <v>35</v>
      </c>
      <c r="H265" s="3" t="s">
        <v>543</v>
      </c>
      <c r="I265" s="3" t="s">
        <v>17</v>
      </c>
      <c r="J265" s="3">
        <v>1</v>
      </c>
      <c r="K265" s="3" t="s">
        <v>39</v>
      </c>
      <c r="L265" s="5" t="s">
        <v>40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.6">
      <c r="A266" s="13">
        <v>2015</v>
      </c>
      <c r="B266" s="3" t="s">
        <v>60</v>
      </c>
      <c r="C266" s="32">
        <v>42184</v>
      </c>
      <c r="D266" s="3" t="s">
        <v>35</v>
      </c>
      <c r="E266" s="3" t="s">
        <v>543</v>
      </c>
      <c r="F266" s="32">
        <v>42184</v>
      </c>
      <c r="G266" s="3" t="s">
        <v>35</v>
      </c>
      <c r="H266" s="3" t="s">
        <v>542</v>
      </c>
      <c r="I266" s="3" t="s">
        <v>17</v>
      </c>
      <c r="J266" s="3">
        <v>1</v>
      </c>
      <c r="K266" s="3" t="s">
        <v>39</v>
      </c>
      <c r="L266" s="5" t="s">
        <v>40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.6">
      <c r="A267" s="13">
        <v>2015</v>
      </c>
      <c r="B267" s="3" t="s">
        <v>62</v>
      </c>
      <c r="C267" s="32">
        <v>42205</v>
      </c>
      <c r="D267" s="3" t="s">
        <v>35</v>
      </c>
      <c r="E267" s="3" t="s">
        <v>542</v>
      </c>
      <c r="F267" s="32">
        <v>42205</v>
      </c>
      <c r="G267" s="3" t="s">
        <v>35</v>
      </c>
      <c r="H267" s="3" t="s">
        <v>542</v>
      </c>
      <c r="I267" s="3" t="s">
        <v>19</v>
      </c>
      <c r="J267" s="3">
        <v>1</v>
      </c>
      <c r="K267" s="3" t="s">
        <v>39</v>
      </c>
      <c r="L267" s="5" t="s">
        <v>40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.6">
      <c r="A268" s="13">
        <v>2015</v>
      </c>
      <c r="B268" s="3" t="s">
        <v>64</v>
      </c>
      <c r="C268" s="32">
        <v>42223</v>
      </c>
      <c r="D268" s="3" t="s">
        <v>48</v>
      </c>
      <c r="E268" s="3" t="s">
        <v>542</v>
      </c>
      <c r="F268" s="32">
        <v>42223</v>
      </c>
      <c r="G268" s="3" t="s">
        <v>48</v>
      </c>
      <c r="H268" s="3" t="s">
        <v>542</v>
      </c>
      <c r="I268" s="3" t="s">
        <v>19</v>
      </c>
      <c r="J268" s="3">
        <v>1</v>
      </c>
      <c r="K268" s="3" t="s">
        <v>39</v>
      </c>
      <c r="L268" s="5" t="s">
        <v>40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.6">
      <c r="A269" s="13">
        <v>2015</v>
      </c>
      <c r="B269" s="3" t="s">
        <v>66</v>
      </c>
      <c r="C269" s="32">
        <v>42231</v>
      </c>
      <c r="D269" s="3" t="s">
        <v>74</v>
      </c>
      <c r="E269" s="3" t="s">
        <v>543</v>
      </c>
      <c r="F269" s="32">
        <v>42233</v>
      </c>
      <c r="G269" s="3" t="s">
        <v>35</v>
      </c>
      <c r="H269" s="3" t="s">
        <v>543</v>
      </c>
      <c r="I269" s="3" t="s">
        <v>19</v>
      </c>
      <c r="J269" s="3">
        <v>1</v>
      </c>
      <c r="K269" s="3" t="s">
        <v>39</v>
      </c>
      <c r="L269" s="5" t="s">
        <v>40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.6">
      <c r="A270" s="13">
        <v>2015</v>
      </c>
      <c r="B270" s="3" t="s">
        <v>68</v>
      </c>
      <c r="C270" s="32">
        <v>42289</v>
      </c>
      <c r="D270" s="3" t="s">
        <v>35</v>
      </c>
      <c r="E270" s="3" t="s">
        <v>543</v>
      </c>
      <c r="F270" s="32">
        <v>42289</v>
      </c>
      <c r="G270" s="3" t="s">
        <v>35</v>
      </c>
      <c r="H270" s="3" t="s">
        <v>542</v>
      </c>
      <c r="I270" s="3" t="s">
        <v>20</v>
      </c>
      <c r="J270" s="3">
        <v>1</v>
      </c>
      <c r="K270" s="3" t="s">
        <v>39</v>
      </c>
      <c r="L270" s="5" t="s">
        <v>40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.6">
      <c r="A271" s="13">
        <v>2015</v>
      </c>
      <c r="B271" s="3" t="s">
        <v>70</v>
      </c>
      <c r="C271" s="32">
        <v>42309</v>
      </c>
      <c r="D271" s="3" t="s">
        <v>96</v>
      </c>
      <c r="E271" s="3" t="s">
        <v>543</v>
      </c>
      <c r="F271" s="32">
        <v>42310</v>
      </c>
      <c r="G271" s="3" t="s">
        <v>35</v>
      </c>
      <c r="H271" s="3" t="s">
        <v>543</v>
      </c>
      <c r="I271" s="3" t="s">
        <v>20</v>
      </c>
      <c r="J271" s="3">
        <v>1</v>
      </c>
      <c r="K271" s="3" t="s">
        <v>39</v>
      </c>
      <c r="L271" s="5" t="s">
        <v>40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.6">
      <c r="A272" s="13">
        <v>2015</v>
      </c>
      <c r="B272" s="3" t="s">
        <v>72</v>
      </c>
      <c r="C272" s="32">
        <v>42319</v>
      </c>
      <c r="D272" s="3" t="s">
        <v>84</v>
      </c>
      <c r="E272" s="3" t="s">
        <v>543</v>
      </c>
      <c r="F272" s="32">
        <v>42324</v>
      </c>
      <c r="G272" s="3" t="s">
        <v>35</v>
      </c>
      <c r="H272" s="3" t="s">
        <v>543</v>
      </c>
      <c r="I272" s="3" t="s">
        <v>20</v>
      </c>
      <c r="J272" s="3">
        <v>1</v>
      </c>
      <c r="K272" s="3" t="s">
        <v>39</v>
      </c>
      <c r="L272" s="5" t="s">
        <v>40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.6">
      <c r="A273" s="13">
        <v>2015</v>
      </c>
      <c r="B273" s="3" t="s">
        <v>75</v>
      </c>
      <c r="C273" s="32">
        <v>42346</v>
      </c>
      <c r="D273" s="3" t="s">
        <v>51</v>
      </c>
      <c r="E273" s="3" t="s">
        <v>542</v>
      </c>
      <c r="F273" s="32">
        <v>42346</v>
      </c>
      <c r="G273" s="3" t="s">
        <v>51</v>
      </c>
      <c r="H273" s="3" t="s">
        <v>542</v>
      </c>
      <c r="I273" s="3" t="s">
        <v>20</v>
      </c>
      <c r="J273" s="3">
        <v>1</v>
      </c>
      <c r="K273" s="3" t="s">
        <v>39</v>
      </c>
      <c r="L273" s="5" t="s">
        <v>40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.6">
      <c r="A274" s="13">
        <v>2015</v>
      </c>
      <c r="B274" s="3" t="s">
        <v>77</v>
      </c>
      <c r="C274" s="32">
        <v>42363</v>
      </c>
      <c r="D274" s="3" t="s">
        <v>48</v>
      </c>
      <c r="E274" s="3" t="s">
        <v>542</v>
      </c>
      <c r="F274" s="32">
        <v>42363</v>
      </c>
      <c r="G274" s="3" t="s">
        <v>48</v>
      </c>
      <c r="H274" s="3" t="s">
        <v>542</v>
      </c>
      <c r="I274" s="3" t="s">
        <v>20</v>
      </c>
      <c r="J274" s="3">
        <v>1</v>
      </c>
      <c r="K274" s="3" t="s">
        <v>39</v>
      </c>
      <c r="L274" s="5" t="s">
        <v>40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.6">
      <c r="A275" s="13">
        <v>2016</v>
      </c>
      <c r="B275" s="3" t="s">
        <v>36</v>
      </c>
      <c r="C275" s="32">
        <v>42370</v>
      </c>
      <c r="D275" s="3" t="s">
        <v>48</v>
      </c>
      <c r="E275" s="3" t="s">
        <v>542</v>
      </c>
      <c r="F275" s="32">
        <v>42370</v>
      </c>
      <c r="G275" s="3" t="s">
        <v>48</v>
      </c>
      <c r="H275" s="3" t="s">
        <v>542</v>
      </c>
      <c r="I275" s="3" t="s">
        <v>15</v>
      </c>
      <c r="J275" s="3">
        <v>1</v>
      </c>
      <c r="K275" s="3" t="s">
        <v>39</v>
      </c>
      <c r="L275" s="5" t="s">
        <v>40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.6">
      <c r="A276" s="13">
        <v>2016</v>
      </c>
      <c r="B276" s="3" t="s">
        <v>41</v>
      </c>
      <c r="C276" s="32">
        <v>42375</v>
      </c>
      <c r="D276" s="3" t="s">
        <v>84</v>
      </c>
      <c r="E276" s="3" t="s">
        <v>543</v>
      </c>
      <c r="F276" s="32">
        <v>42380</v>
      </c>
      <c r="G276" s="3" t="s">
        <v>35</v>
      </c>
      <c r="H276" s="3" t="s">
        <v>543</v>
      </c>
      <c r="I276" s="3" t="s">
        <v>15</v>
      </c>
      <c r="J276" s="3">
        <v>1</v>
      </c>
      <c r="K276" s="3" t="s">
        <v>39</v>
      </c>
      <c r="L276" s="5" t="s">
        <v>40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.6">
      <c r="A277" s="13">
        <v>2016</v>
      </c>
      <c r="B277" s="3" t="s">
        <v>43</v>
      </c>
      <c r="C277" s="32">
        <v>42448</v>
      </c>
      <c r="D277" s="3" t="s">
        <v>74</v>
      </c>
      <c r="E277" s="3" t="s">
        <v>543</v>
      </c>
      <c r="F277" s="32">
        <v>42450</v>
      </c>
      <c r="G277" s="3" t="s">
        <v>35</v>
      </c>
      <c r="H277" s="3" t="s">
        <v>543</v>
      </c>
      <c r="I277" s="3" t="s">
        <v>15</v>
      </c>
      <c r="J277" s="3">
        <v>1</v>
      </c>
      <c r="K277" s="3" t="s">
        <v>39</v>
      </c>
      <c r="L277" s="5" t="s">
        <v>40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.6">
      <c r="A278" s="13">
        <v>2016</v>
      </c>
      <c r="B278" s="3" t="s">
        <v>46</v>
      </c>
      <c r="C278" s="32">
        <v>42453</v>
      </c>
      <c r="D278" s="3" t="s">
        <v>45</v>
      </c>
      <c r="E278" s="3" t="s">
        <v>542</v>
      </c>
      <c r="F278" s="32">
        <v>42453</v>
      </c>
      <c r="G278" s="3" t="s">
        <v>45</v>
      </c>
      <c r="H278" s="3" t="s">
        <v>542</v>
      </c>
      <c r="I278" s="3" t="s">
        <v>15</v>
      </c>
      <c r="J278" s="3">
        <v>1</v>
      </c>
      <c r="K278" s="3" t="s">
        <v>39</v>
      </c>
      <c r="L278" s="5" t="s">
        <v>40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.6">
      <c r="A279" s="13">
        <v>2016</v>
      </c>
      <c r="B279" s="3" t="s">
        <v>49</v>
      </c>
      <c r="C279" s="32">
        <v>42454</v>
      </c>
      <c r="D279" s="3" t="s">
        <v>48</v>
      </c>
      <c r="E279" s="3" t="s">
        <v>542</v>
      </c>
      <c r="F279" s="32">
        <v>42454</v>
      </c>
      <c r="G279" s="3" t="s">
        <v>48</v>
      </c>
      <c r="H279" s="3" t="s">
        <v>542</v>
      </c>
      <c r="I279" s="3" t="s">
        <v>15</v>
      </c>
      <c r="J279" s="3">
        <v>1</v>
      </c>
      <c r="K279" s="3" t="s">
        <v>39</v>
      </c>
      <c r="L279" s="5" t="s">
        <v>40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.6">
      <c r="A280" s="13">
        <v>2016</v>
      </c>
      <c r="B280" s="3" t="s">
        <v>52</v>
      </c>
      <c r="C280" s="32">
        <v>42491</v>
      </c>
      <c r="D280" s="3" t="s">
        <v>96</v>
      </c>
      <c r="E280" s="3" t="s">
        <v>542</v>
      </c>
      <c r="F280" s="32">
        <v>42491</v>
      </c>
      <c r="G280" s="3" t="s">
        <v>96</v>
      </c>
      <c r="H280" s="3" t="s">
        <v>542</v>
      </c>
      <c r="I280" s="3" t="s">
        <v>17</v>
      </c>
      <c r="J280" s="3">
        <v>0</v>
      </c>
      <c r="K280" s="3" t="s">
        <v>39</v>
      </c>
      <c r="L280" s="5" t="s">
        <v>40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.6">
      <c r="A281" s="13">
        <v>2016</v>
      </c>
      <c r="B281" s="3" t="s">
        <v>54</v>
      </c>
      <c r="C281" s="32">
        <v>42495</v>
      </c>
      <c r="D281" s="3" t="s">
        <v>45</v>
      </c>
      <c r="E281" s="3" t="s">
        <v>543</v>
      </c>
      <c r="F281" s="32">
        <v>42499</v>
      </c>
      <c r="G281" s="3" t="s">
        <v>35</v>
      </c>
      <c r="H281" s="3" t="s">
        <v>543</v>
      </c>
      <c r="I281" s="3" t="s">
        <v>17</v>
      </c>
      <c r="J281" s="3">
        <v>1</v>
      </c>
      <c r="K281" s="3" t="s">
        <v>39</v>
      </c>
      <c r="L281" s="5" t="s">
        <v>40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.6">
      <c r="A282" s="13">
        <v>2016</v>
      </c>
      <c r="B282" s="3" t="s">
        <v>56</v>
      </c>
      <c r="C282" s="32">
        <v>42516</v>
      </c>
      <c r="D282" s="3" t="s">
        <v>45</v>
      </c>
      <c r="E282" s="3" t="s">
        <v>543</v>
      </c>
      <c r="F282" s="32">
        <v>42520</v>
      </c>
      <c r="G282" s="3" t="s">
        <v>35</v>
      </c>
      <c r="H282" s="3" t="s">
        <v>543</v>
      </c>
      <c r="I282" s="3" t="s">
        <v>17</v>
      </c>
      <c r="J282" s="3">
        <v>1</v>
      </c>
      <c r="K282" s="3" t="s">
        <v>39</v>
      </c>
      <c r="L282" s="5" t="s">
        <v>40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.6">
      <c r="A283" s="13">
        <v>2016</v>
      </c>
      <c r="B283" s="3" t="s">
        <v>58</v>
      </c>
      <c r="C283" s="32">
        <v>42524</v>
      </c>
      <c r="D283" s="3" t="s">
        <v>48</v>
      </c>
      <c r="E283" s="3" t="s">
        <v>543</v>
      </c>
      <c r="F283" s="32">
        <v>42527</v>
      </c>
      <c r="G283" s="3" t="s">
        <v>35</v>
      </c>
      <c r="H283" s="3" t="s">
        <v>543</v>
      </c>
      <c r="I283" s="3" t="s">
        <v>17</v>
      </c>
      <c r="J283" s="3">
        <v>1</v>
      </c>
      <c r="K283" s="3" t="s">
        <v>39</v>
      </c>
      <c r="L283" s="5" t="s">
        <v>40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.6">
      <c r="A284" s="13">
        <v>2016</v>
      </c>
      <c r="B284" s="3" t="s">
        <v>60</v>
      </c>
      <c r="C284" s="32">
        <v>42550</v>
      </c>
      <c r="D284" s="3" t="s">
        <v>84</v>
      </c>
      <c r="E284" s="3" t="s">
        <v>543</v>
      </c>
      <c r="F284" s="32">
        <v>42555</v>
      </c>
      <c r="G284" s="3" t="s">
        <v>35</v>
      </c>
      <c r="H284" s="3" t="s">
        <v>543</v>
      </c>
      <c r="I284" s="3" t="s">
        <v>19</v>
      </c>
      <c r="J284" s="3">
        <v>1</v>
      </c>
      <c r="K284" s="3" t="s">
        <v>39</v>
      </c>
      <c r="L284" s="5" t="s">
        <v>40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.6">
      <c r="A285" s="13">
        <v>2016</v>
      </c>
      <c r="B285" s="3" t="s">
        <v>62</v>
      </c>
      <c r="C285" s="32">
        <v>42571</v>
      </c>
      <c r="D285" s="3" t="s">
        <v>84</v>
      </c>
      <c r="E285" s="3" t="s">
        <v>542</v>
      </c>
      <c r="F285" s="32">
        <v>42571</v>
      </c>
      <c r="G285" s="3" t="s">
        <v>84</v>
      </c>
      <c r="H285" s="3" t="s">
        <v>542</v>
      </c>
      <c r="I285" s="3" t="s">
        <v>19</v>
      </c>
      <c r="J285" s="3">
        <v>1</v>
      </c>
      <c r="K285" s="3" t="s">
        <v>39</v>
      </c>
      <c r="L285" s="5" t="s">
        <v>40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.6">
      <c r="A286" s="13">
        <v>2016</v>
      </c>
      <c r="B286" s="3" t="s">
        <v>64</v>
      </c>
      <c r="C286" s="32">
        <v>42589</v>
      </c>
      <c r="D286" s="3" t="s">
        <v>96</v>
      </c>
      <c r="E286" s="3" t="s">
        <v>542</v>
      </c>
      <c r="F286" s="32">
        <v>42589</v>
      </c>
      <c r="G286" s="3" t="s">
        <v>96</v>
      </c>
      <c r="H286" s="3" t="s">
        <v>542</v>
      </c>
      <c r="I286" s="3" t="s">
        <v>19</v>
      </c>
      <c r="J286" s="3">
        <v>0</v>
      </c>
      <c r="K286" s="3" t="s">
        <v>39</v>
      </c>
      <c r="L286" s="5" t="s">
        <v>40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.6">
      <c r="A287" s="13">
        <v>2016</v>
      </c>
      <c r="B287" s="3" t="s">
        <v>66</v>
      </c>
      <c r="C287" s="32">
        <v>42597</v>
      </c>
      <c r="D287" s="3" t="s">
        <v>35</v>
      </c>
      <c r="E287" s="3" t="s">
        <v>543</v>
      </c>
      <c r="F287" s="32">
        <v>42597</v>
      </c>
      <c r="G287" s="3" t="s">
        <v>35</v>
      </c>
      <c r="H287" s="3" t="s">
        <v>542</v>
      </c>
      <c r="I287" s="3" t="s">
        <v>19</v>
      </c>
      <c r="J287" s="3">
        <v>1</v>
      </c>
      <c r="K287" s="3" t="s">
        <v>39</v>
      </c>
      <c r="L287" s="5" t="s">
        <v>40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.6">
      <c r="A288" s="13">
        <v>2016</v>
      </c>
      <c r="B288" s="3" t="s">
        <v>68</v>
      </c>
      <c r="C288" s="32">
        <v>42655</v>
      </c>
      <c r="D288" s="3" t="s">
        <v>84</v>
      </c>
      <c r="E288" s="3" t="s">
        <v>543</v>
      </c>
      <c r="F288" s="32">
        <v>42660</v>
      </c>
      <c r="G288" s="3" t="s">
        <v>35</v>
      </c>
      <c r="H288" s="3" t="s">
        <v>543</v>
      </c>
      <c r="I288" s="3" t="s">
        <v>20</v>
      </c>
      <c r="J288" s="3">
        <v>1</v>
      </c>
      <c r="K288" s="3" t="s">
        <v>39</v>
      </c>
      <c r="L288" s="5" t="s">
        <v>40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.6">
      <c r="A289" s="13">
        <v>2016</v>
      </c>
      <c r="B289" s="3" t="s">
        <v>70</v>
      </c>
      <c r="C289" s="32">
        <v>42675</v>
      </c>
      <c r="D289" s="3" t="s">
        <v>51</v>
      </c>
      <c r="E289" s="3" t="s">
        <v>543</v>
      </c>
      <c r="F289" s="32">
        <v>42681</v>
      </c>
      <c r="G289" s="3" t="s">
        <v>35</v>
      </c>
      <c r="H289" s="3" t="s">
        <v>543</v>
      </c>
      <c r="I289" s="3" t="s">
        <v>20</v>
      </c>
      <c r="J289" s="3">
        <v>1</v>
      </c>
      <c r="K289" s="3" t="s">
        <v>39</v>
      </c>
      <c r="L289" s="5" t="s">
        <v>40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.6">
      <c r="A290" s="13">
        <v>2016</v>
      </c>
      <c r="B290" s="3" t="s">
        <v>72</v>
      </c>
      <c r="C290" s="32">
        <v>42685</v>
      </c>
      <c r="D290" s="3" t="s">
        <v>48</v>
      </c>
      <c r="E290" s="3" t="s">
        <v>543</v>
      </c>
      <c r="F290" s="32">
        <v>42688</v>
      </c>
      <c r="G290" s="3" t="s">
        <v>35</v>
      </c>
      <c r="H290" s="3" t="s">
        <v>543</v>
      </c>
      <c r="I290" s="3" t="s">
        <v>20</v>
      </c>
      <c r="J290" s="3">
        <v>1</v>
      </c>
      <c r="K290" s="3" t="s">
        <v>39</v>
      </c>
      <c r="L290" s="5" t="s">
        <v>40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.6">
      <c r="A291" s="13">
        <v>2016</v>
      </c>
      <c r="B291" s="3" t="s">
        <v>75</v>
      </c>
      <c r="C291" s="32">
        <v>42712</v>
      </c>
      <c r="D291" s="3" t="s">
        <v>45</v>
      </c>
      <c r="E291" s="3" t="s">
        <v>542</v>
      </c>
      <c r="F291" s="32">
        <v>42712</v>
      </c>
      <c r="G291" s="3" t="s">
        <v>45</v>
      </c>
      <c r="H291" s="3" t="s">
        <v>542</v>
      </c>
      <c r="I291" s="3" t="s">
        <v>20</v>
      </c>
      <c r="J291" s="3">
        <v>1</v>
      </c>
      <c r="K291" s="3" t="s">
        <v>39</v>
      </c>
      <c r="L291" s="5" t="s">
        <v>40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.6">
      <c r="A292" s="13">
        <v>2016</v>
      </c>
      <c r="B292" s="3" t="s">
        <v>77</v>
      </c>
      <c r="C292" s="32">
        <v>42729</v>
      </c>
      <c r="D292" s="3" t="s">
        <v>96</v>
      </c>
      <c r="E292" s="3" t="s">
        <v>542</v>
      </c>
      <c r="F292" s="32">
        <v>42729</v>
      </c>
      <c r="G292" s="3" t="s">
        <v>96</v>
      </c>
      <c r="H292" s="3" t="s">
        <v>542</v>
      </c>
      <c r="I292" s="3" t="s">
        <v>20</v>
      </c>
      <c r="J292" s="3">
        <v>0</v>
      </c>
      <c r="K292" s="3" t="s">
        <v>39</v>
      </c>
      <c r="L292" s="5" t="s">
        <v>40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.6">
      <c r="A293" s="13">
        <v>2017</v>
      </c>
      <c r="B293" s="3" t="s">
        <v>36</v>
      </c>
      <c r="C293" s="32">
        <v>42736</v>
      </c>
      <c r="D293" s="3" t="s">
        <v>96</v>
      </c>
      <c r="E293" s="3" t="s">
        <v>542</v>
      </c>
      <c r="F293" s="32">
        <v>42736</v>
      </c>
      <c r="G293" s="3" t="s">
        <v>96</v>
      </c>
      <c r="H293" s="3" t="s">
        <v>542</v>
      </c>
      <c r="I293" s="3" t="s">
        <v>15</v>
      </c>
      <c r="J293" s="3">
        <v>0</v>
      </c>
      <c r="K293" s="3" t="s">
        <v>39</v>
      </c>
      <c r="L293" s="5" t="s">
        <v>40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.6">
      <c r="A294" s="13">
        <v>2017</v>
      </c>
      <c r="B294" s="3" t="s">
        <v>41</v>
      </c>
      <c r="C294" s="32">
        <v>42741</v>
      </c>
      <c r="D294" s="3" t="s">
        <v>48</v>
      </c>
      <c r="E294" s="3" t="s">
        <v>543</v>
      </c>
      <c r="F294" s="32">
        <v>42744</v>
      </c>
      <c r="G294" s="3" t="s">
        <v>35</v>
      </c>
      <c r="H294" s="3" t="s">
        <v>543</v>
      </c>
      <c r="I294" s="3" t="s">
        <v>15</v>
      </c>
      <c r="J294" s="3">
        <v>1</v>
      </c>
      <c r="K294" s="3" t="s">
        <v>39</v>
      </c>
      <c r="L294" s="5" t="s">
        <v>40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.6">
      <c r="A295" s="13">
        <v>2017</v>
      </c>
      <c r="B295" s="3" t="s">
        <v>43</v>
      </c>
      <c r="C295" s="32">
        <v>42813</v>
      </c>
      <c r="D295" s="3" t="s">
        <v>96</v>
      </c>
      <c r="E295" s="3" t="s">
        <v>543</v>
      </c>
      <c r="F295" s="32">
        <v>42814</v>
      </c>
      <c r="G295" s="3" t="s">
        <v>35</v>
      </c>
      <c r="H295" s="3" t="s">
        <v>543</v>
      </c>
      <c r="I295" s="3" t="s">
        <v>15</v>
      </c>
      <c r="J295" s="3">
        <v>1</v>
      </c>
      <c r="K295" s="3" t="s">
        <v>39</v>
      </c>
      <c r="L295" s="5" t="s">
        <v>40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.6">
      <c r="A296" s="13">
        <v>2017</v>
      </c>
      <c r="B296" s="3" t="s">
        <v>46</v>
      </c>
      <c r="C296" s="32">
        <v>42838</v>
      </c>
      <c r="D296" s="3" t="s">
        <v>45</v>
      </c>
      <c r="E296" s="3" t="s">
        <v>542</v>
      </c>
      <c r="F296" s="32">
        <v>42838</v>
      </c>
      <c r="G296" s="3" t="s">
        <v>45</v>
      </c>
      <c r="H296" s="3" t="s">
        <v>542</v>
      </c>
      <c r="I296" s="3" t="s">
        <v>17</v>
      </c>
      <c r="J296" s="3">
        <v>1</v>
      </c>
      <c r="K296" s="3" t="s">
        <v>39</v>
      </c>
      <c r="L296" s="5" t="s">
        <v>40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.6">
      <c r="A297" s="13">
        <v>2017</v>
      </c>
      <c r="B297" s="3" t="s">
        <v>49</v>
      </c>
      <c r="C297" s="32">
        <v>42839</v>
      </c>
      <c r="D297" s="3" t="s">
        <v>48</v>
      </c>
      <c r="E297" s="3" t="s">
        <v>542</v>
      </c>
      <c r="F297" s="32">
        <v>42839</v>
      </c>
      <c r="G297" s="3" t="s">
        <v>48</v>
      </c>
      <c r="H297" s="3" t="s">
        <v>542</v>
      </c>
      <c r="I297" s="3" t="s">
        <v>17</v>
      </c>
      <c r="J297" s="3">
        <v>1</v>
      </c>
      <c r="K297" s="3" t="s">
        <v>39</v>
      </c>
      <c r="L297" s="5" t="s">
        <v>40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.6">
      <c r="A298" s="13">
        <v>2017</v>
      </c>
      <c r="B298" s="3" t="s">
        <v>52</v>
      </c>
      <c r="C298" s="32">
        <v>42856</v>
      </c>
      <c r="D298" s="3" t="s">
        <v>35</v>
      </c>
      <c r="E298" s="3" t="s">
        <v>542</v>
      </c>
      <c r="F298" s="32">
        <v>42856</v>
      </c>
      <c r="G298" s="3" t="s">
        <v>35</v>
      </c>
      <c r="H298" s="3" t="s">
        <v>542</v>
      </c>
      <c r="I298" s="3" t="s">
        <v>17</v>
      </c>
      <c r="J298" s="3">
        <v>1</v>
      </c>
      <c r="K298" s="3" t="s">
        <v>39</v>
      </c>
      <c r="L298" s="5" t="s">
        <v>40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.6">
      <c r="A299" s="13">
        <v>2017</v>
      </c>
      <c r="B299" s="3" t="s">
        <v>54</v>
      </c>
      <c r="C299" s="32">
        <v>42880</v>
      </c>
      <c r="D299" s="3" t="s">
        <v>45</v>
      </c>
      <c r="E299" s="3" t="s">
        <v>543</v>
      </c>
      <c r="F299" s="32">
        <v>42884</v>
      </c>
      <c r="G299" s="3" t="s">
        <v>35</v>
      </c>
      <c r="H299" s="3" t="s">
        <v>543</v>
      </c>
      <c r="I299" s="3" t="s">
        <v>17</v>
      </c>
      <c r="J299" s="3">
        <v>1</v>
      </c>
      <c r="K299" s="3" t="s">
        <v>39</v>
      </c>
      <c r="L299" s="5" t="s">
        <v>40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.6">
      <c r="A300" s="13">
        <v>2017</v>
      </c>
      <c r="B300" s="3" t="s">
        <v>56</v>
      </c>
      <c r="C300" s="32">
        <v>42901</v>
      </c>
      <c r="D300" s="3" t="s">
        <v>45</v>
      </c>
      <c r="E300" s="3" t="s">
        <v>543</v>
      </c>
      <c r="F300" s="32">
        <v>42905</v>
      </c>
      <c r="G300" s="3" t="s">
        <v>35</v>
      </c>
      <c r="H300" s="3" t="s">
        <v>543</v>
      </c>
      <c r="I300" s="3" t="s">
        <v>17</v>
      </c>
      <c r="J300" s="3">
        <v>1</v>
      </c>
      <c r="K300" s="3" t="s">
        <v>39</v>
      </c>
      <c r="L300" s="5" t="s">
        <v>40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.6">
      <c r="A301" s="13">
        <v>2017</v>
      </c>
      <c r="B301" s="3" t="s">
        <v>58</v>
      </c>
      <c r="C301" s="32">
        <v>42909</v>
      </c>
      <c r="D301" s="3" t="s">
        <v>48</v>
      </c>
      <c r="E301" s="3" t="s">
        <v>543</v>
      </c>
      <c r="F301" s="32">
        <v>42912</v>
      </c>
      <c r="G301" s="3" t="s">
        <v>35</v>
      </c>
      <c r="H301" s="3" t="s">
        <v>543</v>
      </c>
      <c r="I301" s="3" t="s">
        <v>17</v>
      </c>
      <c r="J301" s="3">
        <v>1</v>
      </c>
      <c r="K301" s="3" t="s">
        <v>39</v>
      </c>
      <c r="L301" s="5" t="s">
        <v>40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.6">
      <c r="A302" s="13">
        <v>2017</v>
      </c>
      <c r="B302" s="3" t="s">
        <v>60</v>
      </c>
      <c r="C302" s="32">
        <v>42915</v>
      </c>
      <c r="D302" s="3" t="s">
        <v>45</v>
      </c>
      <c r="E302" s="3" t="s">
        <v>543</v>
      </c>
      <c r="F302" s="32">
        <v>42919</v>
      </c>
      <c r="G302" s="3" t="s">
        <v>35</v>
      </c>
      <c r="H302" s="3" t="s">
        <v>543</v>
      </c>
      <c r="I302" s="3" t="s">
        <v>19</v>
      </c>
      <c r="J302" s="3">
        <v>1</v>
      </c>
      <c r="K302" s="3" t="s">
        <v>39</v>
      </c>
      <c r="L302" s="5" t="s">
        <v>40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.6">
      <c r="A303" s="13">
        <v>2017</v>
      </c>
      <c r="B303" s="3" t="s">
        <v>62</v>
      </c>
      <c r="C303" s="32">
        <v>42936</v>
      </c>
      <c r="D303" s="3" t="s">
        <v>45</v>
      </c>
      <c r="E303" s="3" t="s">
        <v>542</v>
      </c>
      <c r="F303" s="32">
        <v>42936</v>
      </c>
      <c r="G303" s="3" t="s">
        <v>45</v>
      </c>
      <c r="H303" s="3" t="s">
        <v>542</v>
      </c>
      <c r="I303" s="3" t="s">
        <v>19</v>
      </c>
      <c r="J303" s="3">
        <v>1</v>
      </c>
      <c r="K303" s="3" t="s">
        <v>39</v>
      </c>
      <c r="L303" s="5" t="s">
        <v>40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.6">
      <c r="A304" s="13">
        <v>2017</v>
      </c>
      <c r="B304" s="3" t="s">
        <v>64</v>
      </c>
      <c r="C304" s="32">
        <v>42954</v>
      </c>
      <c r="D304" s="3" t="s">
        <v>35</v>
      </c>
      <c r="E304" s="3" t="s">
        <v>542</v>
      </c>
      <c r="F304" s="32">
        <v>42954</v>
      </c>
      <c r="G304" s="3" t="s">
        <v>35</v>
      </c>
      <c r="H304" s="3" t="s">
        <v>542</v>
      </c>
      <c r="I304" s="3" t="s">
        <v>19</v>
      </c>
      <c r="J304" s="3">
        <v>1</v>
      </c>
      <c r="K304" s="3" t="s">
        <v>39</v>
      </c>
      <c r="L304" s="5" t="s">
        <v>40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.6">
      <c r="A305" s="13">
        <v>2017</v>
      </c>
      <c r="B305" s="3" t="s">
        <v>66</v>
      </c>
      <c r="C305" s="32">
        <v>42962</v>
      </c>
      <c r="D305" s="3" t="s">
        <v>51</v>
      </c>
      <c r="E305" s="3" t="s">
        <v>543</v>
      </c>
      <c r="F305" s="32">
        <v>42968</v>
      </c>
      <c r="G305" s="3" t="s">
        <v>35</v>
      </c>
      <c r="H305" s="3" t="s">
        <v>543</v>
      </c>
      <c r="I305" s="3" t="s">
        <v>19</v>
      </c>
      <c r="J305" s="3">
        <v>1</v>
      </c>
      <c r="K305" s="3" t="s">
        <v>39</v>
      </c>
      <c r="L305" s="5" t="s">
        <v>40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.6">
      <c r="A306" s="13">
        <v>2017</v>
      </c>
      <c r="B306" s="3" t="s">
        <v>68</v>
      </c>
      <c r="C306" s="32">
        <v>43020</v>
      </c>
      <c r="D306" s="3" t="s">
        <v>45</v>
      </c>
      <c r="E306" s="3" t="s">
        <v>543</v>
      </c>
      <c r="F306" s="32">
        <v>43024</v>
      </c>
      <c r="G306" s="3" t="s">
        <v>35</v>
      </c>
      <c r="H306" s="3" t="s">
        <v>543</v>
      </c>
      <c r="I306" s="3" t="s">
        <v>20</v>
      </c>
      <c r="J306" s="3">
        <v>1</v>
      </c>
      <c r="K306" s="3" t="s">
        <v>39</v>
      </c>
      <c r="L306" s="5" t="s">
        <v>40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.6">
      <c r="A307" s="13">
        <v>2017</v>
      </c>
      <c r="B307" s="3" t="s">
        <v>70</v>
      </c>
      <c r="C307" s="32">
        <v>43040</v>
      </c>
      <c r="D307" s="3" t="s">
        <v>84</v>
      </c>
      <c r="E307" s="3" t="s">
        <v>543</v>
      </c>
      <c r="F307" s="32">
        <v>43045</v>
      </c>
      <c r="G307" s="3" t="s">
        <v>35</v>
      </c>
      <c r="H307" s="3" t="s">
        <v>543</v>
      </c>
      <c r="I307" s="3" t="s">
        <v>20</v>
      </c>
      <c r="J307" s="3">
        <v>1</v>
      </c>
      <c r="K307" s="3" t="s">
        <v>39</v>
      </c>
      <c r="L307" s="5" t="s">
        <v>40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.6">
      <c r="A308" s="13">
        <v>2017</v>
      </c>
      <c r="B308" s="3" t="s">
        <v>72</v>
      </c>
      <c r="C308" s="32">
        <v>43050</v>
      </c>
      <c r="D308" s="3" t="s">
        <v>74</v>
      </c>
      <c r="E308" s="3" t="s">
        <v>543</v>
      </c>
      <c r="F308" s="32">
        <v>43052</v>
      </c>
      <c r="G308" s="3" t="s">
        <v>35</v>
      </c>
      <c r="H308" s="3" t="s">
        <v>543</v>
      </c>
      <c r="I308" s="3" t="s">
        <v>20</v>
      </c>
      <c r="J308" s="3">
        <v>1</v>
      </c>
      <c r="K308" s="3" t="s">
        <v>39</v>
      </c>
      <c r="L308" s="5" t="s">
        <v>40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.6">
      <c r="A309" s="13">
        <v>2017</v>
      </c>
      <c r="B309" s="3" t="s">
        <v>75</v>
      </c>
      <c r="C309" s="32">
        <v>43077</v>
      </c>
      <c r="D309" s="3" t="s">
        <v>48</v>
      </c>
      <c r="E309" s="3" t="s">
        <v>542</v>
      </c>
      <c r="F309" s="32">
        <v>43077</v>
      </c>
      <c r="G309" s="3" t="s">
        <v>48</v>
      </c>
      <c r="H309" s="3" t="s">
        <v>542</v>
      </c>
      <c r="I309" s="3" t="s">
        <v>20</v>
      </c>
      <c r="J309" s="3">
        <v>1</v>
      </c>
      <c r="K309" s="3" t="s">
        <v>39</v>
      </c>
      <c r="L309" s="5" t="s">
        <v>40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.6">
      <c r="A310" s="13">
        <v>2017</v>
      </c>
      <c r="B310" s="3" t="s">
        <v>77</v>
      </c>
      <c r="C310" s="32">
        <v>43094</v>
      </c>
      <c r="D310" s="3" t="s">
        <v>35</v>
      </c>
      <c r="E310" s="3" t="s">
        <v>542</v>
      </c>
      <c r="F310" s="32">
        <v>43094</v>
      </c>
      <c r="G310" s="3" t="s">
        <v>35</v>
      </c>
      <c r="H310" s="3" t="s">
        <v>542</v>
      </c>
      <c r="I310" s="3" t="s">
        <v>20</v>
      </c>
      <c r="J310" s="3">
        <v>1</v>
      </c>
      <c r="K310" s="3" t="s">
        <v>39</v>
      </c>
      <c r="L310" s="5" t="s">
        <v>40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.6">
      <c r="A311" s="13">
        <v>2018</v>
      </c>
      <c r="B311" s="3" t="s">
        <v>36</v>
      </c>
      <c r="C311" s="32">
        <v>43101</v>
      </c>
      <c r="D311" s="3" t="s">
        <v>35</v>
      </c>
      <c r="E311" s="3" t="s">
        <v>542</v>
      </c>
      <c r="F311" s="32">
        <v>43101</v>
      </c>
      <c r="G311" s="3" t="s">
        <v>35</v>
      </c>
      <c r="H311" s="3" t="s">
        <v>542</v>
      </c>
      <c r="I311" s="3" t="s">
        <v>15</v>
      </c>
      <c r="J311" s="3">
        <v>1</v>
      </c>
      <c r="K311" s="3" t="s">
        <v>39</v>
      </c>
      <c r="L311" s="5" t="s">
        <v>40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.6">
      <c r="A312" s="13">
        <v>2018</v>
      </c>
      <c r="B312" s="3" t="s">
        <v>41</v>
      </c>
      <c r="C312" s="32">
        <v>43106</v>
      </c>
      <c r="D312" s="3" t="s">
        <v>74</v>
      </c>
      <c r="E312" s="3" t="s">
        <v>543</v>
      </c>
      <c r="F312" s="32">
        <v>43108</v>
      </c>
      <c r="G312" s="3" t="s">
        <v>35</v>
      </c>
      <c r="H312" s="3" t="s">
        <v>543</v>
      </c>
      <c r="I312" s="3" t="s">
        <v>15</v>
      </c>
      <c r="J312" s="3">
        <v>1</v>
      </c>
      <c r="K312" s="3" t="s">
        <v>39</v>
      </c>
      <c r="L312" s="5" t="s">
        <v>40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.6">
      <c r="A313" s="13">
        <v>2018</v>
      </c>
      <c r="B313" s="3" t="s">
        <v>43</v>
      </c>
      <c r="C313" s="32">
        <v>43178</v>
      </c>
      <c r="D313" s="3" t="s">
        <v>35</v>
      </c>
      <c r="E313" s="3" t="s">
        <v>543</v>
      </c>
      <c r="F313" s="32">
        <v>43178</v>
      </c>
      <c r="G313" s="3" t="s">
        <v>35</v>
      </c>
      <c r="H313" s="3" t="s">
        <v>542</v>
      </c>
      <c r="I313" s="3" t="s">
        <v>15</v>
      </c>
      <c r="J313" s="3">
        <v>1</v>
      </c>
      <c r="K313" s="3" t="s">
        <v>39</v>
      </c>
      <c r="L313" s="5" t="s">
        <v>40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.6">
      <c r="A314" s="13">
        <v>2018</v>
      </c>
      <c r="B314" s="3" t="s">
        <v>46</v>
      </c>
      <c r="C314" s="32">
        <v>43188</v>
      </c>
      <c r="D314" s="3" t="s">
        <v>45</v>
      </c>
      <c r="E314" s="3" t="s">
        <v>542</v>
      </c>
      <c r="F314" s="32">
        <v>43188</v>
      </c>
      <c r="G314" s="3" t="s">
        <v>45</v>
      </c>
      <c r="H314" s="3" t="s">
        <v>542</v>
      </c>
      <c r="I314" s="3" t="s">
        <v>15</v>
      </c>
      <c r="J314" s="3">
        <v>1</v>
      </c>
      <c r="K314" s="3" t="s">
        <v>39</v>
      </c>
      <c r="L314" s="5" t="s">
        <v>40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.6">
      <c r="A315" s="13">
        <v>2018</v>
      </c>
      <c r="B315" s="3" t="s">
        <v>49</v>
      </c>
      <c r="C315" s="32">
        <v>43189</v>
      </c>
      <c r="D315" s="3" t="s">
        <v>48</v>
      </c>
      <c r="E315" s="3" t="s">
        <v>542</v>
      </c>
      <c r="F315" s="32">
        <v>43189</v>
      </c>
      <c r="G315" s="3" t="s">
        <v>48</v>
      </c>
      <c r="H315" s="3" t="s">
        <v>542</v>
      </c>
      <c r="I315" s="3" t="s">
        <v>15</v>
      </c>
      <c r="J315" s="3">
        <v>1</v>
      </c>
      <c r="K315" s="3" t="s">
        <v>39</v>
      </c>
      <c r="L315" s="5" t="s">
        <v>40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.6">
      <c r="A316" s="13">
        <v>2018</v>
      </c>
      <c r="B316" s="3" t="s">
        <v>52</v>
      </c>
      <c r="C316" s="32">
        <v>43221</v>
      </c>
      <c r="D316" s="3" t="s">
        <v>51</v>
      </c>
      <c r="E316" s="3" t="s">
        <v>542</v>
      </c>
      <c r="F316" s="32">
        <v>43221</v>
      </c>
      <c r="G316" s="3" t="s">
        <v>51</v>
      </c>
      <c r="H316" s="3" t="s">
        <v>542</v>
      </c>
      <c r="I316" s="3" t="s">
        <v>17</v>
      </c>
      <c r="J316" s="3">
        <v>1</v>
      </c>
      <c r="K316" s="3" t="s">
        <v>39</v>
      </c>
      <c r="L316" s="5" t="s">
        <v>40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.6">
      <c r="A317" s="13">
        <v>2018</v>
      </c>
      <c r="B317" s="3" t="s">
        <v>54</v>
      </c>
      <c r="C317" s="32">
        <v>43230</v>
      </c>
      <c r="D317" s="3" t="s">
        <v>45</v>
      </c>
      <c r="E317" s="3" t="s">
        <v>543</v>
      </c>
      <c r="F317" s="32">
        <v>43234</v>
      </c>
      <c r="G317" s="3" t="s">
        <v>35</v>
      </c>
      <c r="H317" s="3" t="s">
        <v>543</v>
      </c>
      <c r="I317" s="3" t="s">
        <v>17</v>
      </c>
      <c r="J317" s="3">
        <v>1</v>
      </c>
      <c r="K317" s="3" t="s">
        <v>39</v>
      </c>
      <c r="L317" s="5" t="s">
        <v>40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.6">
      <c r="A318" s="13">
        <v>2018</v>
      </c>
      <c r="B318" s="3" t="s">
        <v>56</v>
      </c>
      <c r="C318" s="32">
        <v>43251</v>
      </c>
      <c r="D318" s="3" t="s">
        <v>45</v>
      </c>
      <c r="E318" s="3" t="s">
        <v>543</v>
      </c>
      <c r="F318" s="32">
        <v>43255</v>
      </c>
      <c r="G318" s="3" t="s">
        <v>35</v>
      </c>
      <c r="H318" s="3" t="s">
        <v>543</v>
      </c>
      <c r="I318" s="3" t="s">
        <v>17</v>
      </c>
      <c r="J318" s="3">
        <v>1</v>
      </c>
      <c r="K318" s="3" t="s">
        <v>39</v>
      </c>
      <c r="L318" s="5" t="s">
        <v>40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.6">
      <c r="A319" s="13">
        <v>2018</v>
      </c>
      <c r="B319" s="3" t="s">
        <v>58</v>
      </c>
      <c r="C319" s="32">
        <v>43259</v>
      </c>
      <c r="D319" s="3" t="s">
        <v>48</v>
      </c>
      <c r="E319" s="3" t="s">
        <v>543</v>
      </c>
      <c r="F319" s="32">
        <v>43262</v>
      </c>
      <c r="G319" s="3" t="s">
        <v>35</v>
      </c>
      <c r="H319" s="3" t="s">
        <v>543</v>
      </c>
      <c r="I319" s="3" t="s">
        <v>17</v>
      </c>
      <c r="J319" s="3">
        <v>1</v>
      </c>
      <c r="K319" s="3" t="s">
        <v>39</v>
      </c>
      <c r="L319" s="5" t="s">
        <v>40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.6">
      <c r="A320" s="13">
        <v>2018</v>
      </c>
      <c r="B320" s="3" t="s">
        <v>60</v>
      </c>
      <c r="C320" s="32">
        <v>43280</v>
      </c>
      <c r="D320" s="3" t="s">
        <v>48</v>
      </c>
      <c r="E320" s="3" t="s">
        <v>543</v>
      </c>
      <c r="F320" s="32">
        <v>43283</v>
      </c>
      <c r="G320" s="3" t="s">
        <v>35</v>
      </c>
      <c r="H320" s="3" t="s">
        <v>543</v>
      </c>
      <c r="I320" s="3" t="s">
        <v>19</v>
      </c>
      <c r="J320" s="3">
        <v>1</v>
      </c>
      <c r="K320" s="3" t="s">
        <v>39</v>
      </c>
      <c r="L320" s="5" t="s">
        <v>40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.6">
      <c r="A321" s="13">
        <v>2018</v>
      </c>
      <c r="B321" s="3" t="s">
        <v>62</v>
      </c>
      <c r="C321" s="32">
        <v>43301</v>
      </c>
      <c r="D321" s="3" t="s">
        <v>48</v>
      </c>
      <c r="E321" s="3" t="s">
        <v>542</v>
      </c>
      <c r="F321" s="32">
        <v>43301</v>
      </c>
      <c r="G321" s="3" t="s">
        <v>48</v>
      </c>
      <c r="H321" s="3" t="s">
        <v>542</v>
      </c>
      <c r="I321" s="3" t="s">
        <v>19</v>
      </c>
      <c r="J321" s="3">
        <v>1</v>
      </c>
      <c r="K321" s="3" t="s">
        <v>39</v>
      </c>
      <c r="L321" s="5" t="s">
        <v>40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.6">
      <c r="A322" s="13">
        <v>2018</v>
      </c>
      <c r="B322" s="3" t="s">
        <v>64</v>
      </c>
      <c r="C322" s="32">
        <v>43319</v>
      </c>
      <c r="D322" s="3" t="s">
        <v>51</v>
      </c>
      <c r="E322" s="3" t="s">
        <v>542</v>
      </c>
      <c r="F322" s="32">
        <v>43319</v>
      </c>
      <c r="G322" s="3" t="s">
        <v>51</v>
      </c>
      <c r="H322" s="3" t="s">
        <v>542</v>
      </c>
      <c r="I322" s="3" t="s">
        <v>19</v>
      </c>
      <c r="J322" s="3">
        <v>1</v>
      </c>
      <c r="K322" s="3" t="s">
        <v>39</v>
      </c>
      <c r="L322" s="5" t="s">
        <v>40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.6">
      <c r="A323" s="13">
        <v>2018</v>
      </c>
      <c r="B323" s="3" t="s">
        <v>66</v>
      </c>
      <c r="C323" s="32">
        <v>43327</v>
      </c>
      <c r="D323" s="3" t="s">
        <v>84</v>
      </c>
      <c r="E323" s="3" t="s">
        <v>543</v>
      </c>
      <c r="F323" s="32">
        <v>43332</v>
      </c>
      <c r="G323" s="3" t="s">
        <v>35</v>
      </c>
      <c r="H323" s="3" t="s">
        <v>543</v>
      </c>
      <c r="I323" s="3" t="s">
        <v>19</v>
      </c>
      <c r="J323" s="3">
        <v>1</v>
      </c>
      <c r="K323" s="3" t="s">
        <v>39</v>
      </c>
      <c r="L323" s="5" t="s">
        <v>40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.6">
      <c r="A324" s="13">
        <v>2018</v>
      </c>
      <c r="B324" s="3" t="s">
        <v>68</v>
      </c>
      <c r="C324" s="32">
        <v>43385</v>
      </c>
      <c r="D324" s="3" t="s">
        <v>48</v>
      </c>
      <c r="E324" s="3" t="s">
        <v>543</v>
      </c>
      <c r="F324" s="32">
        <v>43388</v>
      </c>
      <c r="G324" s="3" t="s">
        <v>35</v>
      </c>
      <c r="H324" s="3" t="s">
        <v>543</v>
      </c>
      <c r="I324" s="3" t="s">
        <v>20</v>
      </c>
      <c r="J324" s="3">
        <v>1</v>
      </c>
      <c r="K324" s="3" t="s">
        <v>39</v>
      </c>
      <c r="L324" s="5" t="s">
        <v>40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.6">
      <c r="A325" s="13">
        <v>2018</v>
      </c>
      <c r="B325" s="3" t="s">
        <v>70</v>
      </c>
      <c r="C325" s="32">
        <v>43405</v>
      </c>
      <c r="D325" s="3" t="s">
        <v>45</v>
      </c>
      <c r="E325" s="3" t="s">
        <v>543</v>
      </c>
      <c r="F325" s="32">
        <v>43409</v>
      </c>
      <c r="G325" s="3" t="s">
        <v>35</v>
      </c>
      <c r="H325" s="3" t="s">
        <v>543</v>
      </c>
      <c r="I325" s="3" t="s">
        <v>20</v>
      </c>
      <c r="J325" s="3">
        <v>1</v>
      </c>
      <c r="K325" s="3" t="s">
        <v>39</v>
      </c>
      <c r="L325" s="5" t="s">
        <v>40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.6">
      <c r="A326" s="13">
        <v>2018</v>
      </c>
      <c r="B326" s="3" t="s">
        <v>72</v>
      </c>
      <c r="C326" s="32">
        <v>43415</v>
      </c>
      <c r="D326" s="3" t="s">
        <v>96</v>
      </c>
      <c r="E326" s="3" t="s">
        <v>543</v>
      </c>
      <c r="F326" s="32">
        <v>43416</v>
      </c>
      <c r="G326" s="3" t="s">
        <v>35</v>
      </c>
      <c r="H326" s="3" t="s">
        <v>543</v>
      </c>
      <c r="I326" s="3" t="s">
        <v>20</v>
      </c>
      <c r="J326" s="3">
        <v>1</v>
      </c>
      <c r="K326" s="3" t="s">
        <v>39</v>
      </c>
      <c r="L326" s="5" t="s">
        <v>40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.6">
      <c r="A327" s="13">
        <v>2018</v>
      </c>
      <c r="B327" s="3" t="s">
        <v>75</v>
      </c>
      <c r="C327" s="32">
        <v>43442</v>
      </c>
      <c r="D327" s="3" t="s">
        <v>74</v>
      </c>
      <c r="E327" s="3" t="s">
        <v>542</v>
      </c>
      <c r="F327" s="32">
        <v>43442</v>
      </c>
      <c r="G327" s="3" t="s">
        <v>74</v>
      </c>
      <c r="H327" s="3" t="s">
        <v>542</v>
      </c>
      <c r="I327" s="3" t="s">
        <v>20</v>
      </c>
      <c r="J327" s="3">
        <v>1</v>
      </c>
      <c r="K327" s="3" t="s">
        <v>39</v>
      </c>
      <c r="L327" s="5" t="s">
        <v>40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.6">
      <c r="A328" s="13">
        <v>2018</v>
      </c>
      <c r="B328" s="3" t="s">
        <v>77</v>
      </c>
      <c r="C328" s="32">
        <v>43459</v>
      </c>
      <c r="D328" s="3" t="s">
        <v>51</v>
      </c>
      <c r="E328" s="3" t="s">
        <v>542</v>
      </c>
      <c r="F328" s="32">
        <v>43459</v>
      </c>
      <c r="G328" s="3" t="s">
        <v>51</v>
      </c>
      <c r="H328" s="3" t="s">
        <v>542</v>
      </c>
      <c r="I328" s="3" t="s">
        <v>20</v>
      </c>
      <c r="J328" s="3">
        <v>1</v>
      </c>
      <c r="K328" s="3" t="s">
        <v>39</v>
      </c>
      <c r="L328" s="5" t="s">
        <v>40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.6">
      <c r="A329" s="13">
        <v>2019</v>
      </c>
      <c r="B329" s="3" t="s">
        <v>36</v>
      </c>
      <c r="C329" s="32">
        <v>43466</v>
      </c>
      <c r="D329" s="3" t="s">
        <v>51</v>
      </c>
      <c r="E329" s="3" t="s">
        <v>542</v>
      </c>
      <c r="F329" s="32">
        <v>43466</v>
      </c>
      <c r="G329" s="3" t="s">
        <v>51</v>
      </c>
      <c r="H329" s="3" t="s">
        <v>542</v>
      </c>
      <c r="I329" s="3" t="s">
        <v>15</v>
      </c>
      <c r="J329" s="3">
        <v>1</v>
      </c>
      <c r="K329" s="3" t="s">
        <v>39</v>
      </c>
      <c r="L329" s="5" t="s">
        <v>40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.6">
      <c r="A330" s="13">
        <v>2019</v>
      </c>
      <c r="B330" s="3" t="s">
        <v>41</v>
      </c>
      <c r="C330" s="32">
        <v>43471</v>
      </c>
      <c r="D330" s="3" t="s">
        <v>96</v>
      </c>
      <c r="E330" s="3" t="s">
        <v>543</v>
      </c>
      <c r="F330" s="32">
        <v>43472</v>
      </c>
      <c r="G330" s="3" t="s">
        <v>35</v>
      </c>
      <c r="H330" s="3" t="s">
        <v>543</v>
      </c>
      <c r="I330" s="3" t="s">
        <v>15</v>
      </c>
      <c r="J330" s="3">
        <v>1</v>
      </c>
      <c r="K330" s="3" t="s">
        <v>39</v>
      </c>
      <c r="L330" s="5" t="s">
        <v>40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.6">
      <c r="A331" s="13">
        <v>2019</v>
      </c>
      <c r="B331" s="3" t="s">
        <v>43</v>
      </c>
      <c r="C331" s="32">
        <v>43543</v>
      </c>
      <c r="D331" s="3" t="s">
        <v>51</v>
      </c>
      <c r="E331" s="3" t="s">
        <v>543</v>
      </c>
      <c r="F331" s="32">
        <v>43549</v>
      </c>
      <c r="G331" s="3" t="s">
        <v>35</v>
      </c>
      <c r="H331" s="3" t="s">
        <v>543</v>
      </c>
      <c r="I331" s="3" t="s">
        <v>15</v>
      </c>
      <c r="J331" s="3">
        <v>1</v>
      </c>
      <c r="K331" s="3" t="s">
        <v>39</v>
      </c>
      <c r="L331" s="5" t="s">
        <v>40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.6">
      <c r="A332" s="13">
        <v>2019</v>
      </c>
      <c r="B332" s="3" t="s">
        <v>46</v>
      </c>
      <c r="C332" s="32">
        <v>43573</v>
      </c>
      <c r="D332" s="3" t="s">
        <v>45</v>
      </c>
      <c r="E332" s="3" t="s">
        <v>542</v>
      </c>
      <c r="F332" s="32">
        <v>43573</v>
      </c>
      <c r="G332" s="3" t="s">
        <v>45</v>
      </c>
      <c r="H332" s="3" t="s">
        <v>542</v>
      </c>
      <c r="I332" s="3" t="s">
        <v>17</v>
      </c>
      <c r="J332" s="3">
        <v>1</v>
      </c>
      <c r="K332" s="3" t="s">
        <v>39</v>
      </c>
      <c r="L332" s="5" t="s">
        <v>40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.6">
      <c r="A333" s="13">
        <v>2019</v>
      </c>
      <c r="B333" s="3" t="s">
        <v>49</v>
      </c>
      <c r="C333" s="32">
        <v>43574</v>
      </c>
      <c r="D333" s="3" t="s">
        <v>48</v>
      </c>
      <c r="E333" s="3" t="s">
        <v>542</v>
      </c>
      <c r="F333" s="32">
        <v>43574</v>
      </c>
      <c r="G333" s="3" t="s">
        <v>48</v>
      </c>
      <c r="H333" s="3" t="s">
        <v>542</v>
      </c>
      <c r="I333" s="3" t="s">
        <v>17</v>
      </c>
      <c r="J333" s="3">
        <v>1</v>
      </c>
      <c r="K333" s="3" t="s">
        <v>39</v>
      </c>
      <c r="L333" s="5" t="s">
        <v>40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.6">
      <c r="A334" s="13">
        <v>2019</v>
      </c>
      <c r="B334" s="3" t="s">
        <v>52</v>
      </c>
      <c r="C334" s="32">
        <v>43586</v>
      </c>
      <c r="D334" s="3" t="s">
        <v>84</v>
      </c>
      <c r="E334" s="3" t="s">
        <v>542</v>
      </c>
      <c r="F334" s="32">
        <v>43586</v>
      </c>
      <c r="G334" s="3" t="s">
        <v>84</v>
      </c>
      <c r="H334" s="3" t="s">
        <v>542</v>
      </c>
      <c r="I334" s="3" t="s">
        <v>17</v>
      </c>
      <c r="J334" s="3">
        <v>1</v>
      </c>
      <c r="K334" s="3" t="s">
        <v>39</v>
      </c>
      <c r="L334" s="5" t="s">
        <v>40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.6">
      <c r="A335" s="13">
        <v>2019</v>
      </c>
      <c r="B335" s="3" t="s">
        <v>54</v>
      </c>
      <c r="C335" s="32">
        <v>43615</v>
      </c>
      <c r="D335" s="3" t="s">
        <v>45</v>
      </c>
      <c r="E335" s="3" t="s">
        <v>543</v>
      </c>
      <c r="F335" s="32">
        <v>43619</v>
      </c>
      <c r="G335" s="3" t="s">
        <v>35</v>
      </c>
      <c r="H335" s="3" t="s">
        <v>543</v>
      </c>
      <c r="I335" s="3" t="s">
        <v>17</v>
      </c>
      <c r="J335" s="3">
        <v>1</v>
      </c>
      <c r="K335" s="3" t="s">
        <v>39</v>
      </c>
      <c r="L335" s="5" t="s">
        <v>40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.6">
      <c r="A336" s="13">
        <v>2019</v>
      </c>
      <c r="B336" s="3" t="s">
        <v>56</v>
      </c>
      <c r="C336" s="32">
        <v>43636</v>
      </c>
      <c r="D336" s="3" t="s">
        <v>45</v>
      </c>
      <c r="E336" s="3" t="s">
        <v>543</v>
      </c>
      <c r="F336" s="32">
        <v>43640</v>
      </c>
      <c r="G336" s="3" t="s">
        <v>35</v>
      </c>
      <c r="H336" s="3" t="s">
        <v>543</v>
      </c>
      <c r="I336" s="3" t="s">
        <v>17</v>
      </c>
      <c r="J336" s="3">
        <v>1</v>
      </c>
      <c r="K336" s="3" t="s">
        <v>39</v>
      </c>
      <c r="L336" s="5" t="s">
        <v>40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.6">
      <c r="A337" s="13">
        <v>2019</v>
      </c>
      <c r="B337" s="3" t="s">
        <v>58</v>
      </c>
      <c r="C337" s="32">
        <v>43644</v>
      </c>
      <c r="D337" s="3" t="s">
        <v>48</v>
      </c>
      <c r="E337" s="3" t="s">
        <v>543</v>
      </c>
      <c r="F337" s="32">
        <v>43647</v>
      </c>
      <c r="G337" s="3" t="s">
        <v>35</v>
      </c>
      <c r="H337" s="3" t="s">
        <v>543</v>
      </c>
      <c r="I337" s="3" t="s">
        <v>19</v>
      </c>
      <c r="J337" s="3">
        <v>1</v>
      </c>
      <c r="K337" s="3" t="s">
        <v>39</v>
      </c>
      <c r="L337" s="5" t="s">
        <v>40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.6">
      <c r="A338" s="13">
        <v>2019</v>
      </c>
      <c r="B338" s="3" t="s">
        <v>60</v>
      </c>
      <c r="C338" s="32">
        <v>43645</v>
      </c>
      <c r="D338" s="3" t="s">
        <v>74</v>
      </c>
      <c r="E338" s="3" t="s">
        <v>543</v>
      </c>
      <c r="F338" s="32">
        <v>43647</v>
      </c>
      <c r="G338" s="3" t="s">
        <v>35</v>
      </c>
      <c r="H338" s="3" t="s">
        <v>543</v>
      </c>
      <c r="I338" s="3" t="s">
        <v>19</v>
      </c>
      <c r="J338" s="3">
        <v>1</v>
      </c>
      <c r="K338" s="3" t="s">
        <v>39</v>
      </c>
      <c r="L338" s="5" t="s">
        <v>40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.6">
      <c r="A339" s="13">
        <v>2019</v>
      </c>
      <c r="B339" s="3" t="s">
        <v>62</v>
      </c>
      <c r="C339" s="32">
        <v>43666</v>
      </c>
      <c r="D339" s="3" t="s">
        <v>74</v>
      </c>
      <c r="E339" s="3" t="s">
        <v>542</v>
      </c>
      <c r="F339" s="32">
        <v>43666</v>
      </c>
      <c r="G339" s="3" t="s">
        <v>74</v>
      </c>
      <c r="H339" s="3" t="s">
        <v>542</v>
      </c>
      <c r="I339" s="3" t="s">
        <v>19</v>
      </c>
      <c r="J339" s="3">
        <v>1</v>
      </c>
      <c r="K339" s="3" t="s">
        <v>39</v>
      </c>
      <c r="L339" s="5" t="s">
        <v>40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.6">
      <c r="A340" s="13">
        <v>2019</v>
      </c>
      <c r="B340" s="3" t="s">
        <v>64</v>
      </c>
      <c r="C340" s="32">
        <v>43684</v>
      </c>
      <c r="D340" s="3" t="s">
        <v>84</v>
      </c>
      <c r="E340" s="3" t="s">
        <v>542</v>
      </c>
      <c r="F340" s="32">
        <v>43684</v>
      </c>
      <c r="G340" s="3" t="s">
        <v>84</v>
      </c>
      <c r="H340" s="3" t="s">
        <v>542</v>
      </c>
      <c r="I340" s="3" t="s">
        <v>19</v>
      </c>
      <c r="J340" s="3">
        <v>1</v>
      </c>
      <c r="K340" s="3" t="s">
        <v>39</v>
      </c>
      <c r="L340" s="5" t="s">
        <v>40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.6">
      <c r="A341" s="13">
        <v>2019</v>
      </c>
      <c r="B341" s="3" t="s">
        <v>66</v>
      </c>
      <c r="C341" s="32">
        <v>43692</v>
      </c>
      <c r="D341" s="3" t="s">
        <v>45</v>
      </c>
      <c r="E341" s="3" t="s">
        <v>543</v>
      </c>
      <c r="F341" s="32">
        <v>43696</v>
      </c>
      <c r="G341" s="3" t="s">
        <v>35</v>
      </c>
      <c r="H341" s="3" t="s">
        <v>543</v>
      </c>
      <c r="I341" s="3" t="s">
        <v>19</v>
      </c>
      <c r="J341" s="3">
        <v>1</v>
      </c>
      <c r="K341" s="3" t="s">
        <v>39</v>
      </c>
      <c r="L341" s="5" t="s">
        <v>40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.6">
      <c r="A342" s="13">
        <v>2019</v>
      </c>
      <c r="B342" s="3" t="s">
        <v>68</v>
      </c>
      <c r="C342" s="32">
        <v>43750</v>
      </c>
      <c r="D342" s="3" t="s">
        <v>74</v>
      </c>
      <c r="E342" s="3" t="s">
        <v>543</v>
      </c>
      <c r="F342" s="32">
        <v>43752</v>
      </c>
      <c r="G342" s="3" t="s">
        <v>35</v>
      </c>
      <c r="H342" s="3" t="s">
        <v>543</v>
      </c>
      <c r="I342" s="3" t="s">
        <v>20</v>
      </c>
      <c r="J342" s="3">
        <v>1</v>
      </c>
      <c r="K342" s="3" t="s">
        <v>39</v>
      </c>
      <c r="L342" s="5" t="s">
        <v>40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.6">
      <c r="A343" s="13">
        <v>2019</v>
      </c>
      <c r="B343" s="3" t="s">
        <v>70</v>
      </c>
      <c r="C343" s="32">
        <v>43770</v>
      </c>
      <c r="D343" s="3" t="s">
        <v>48</v>
      </c>
      <c r="E343" s="3" t="s">
        <v>543</v>
      </c>
      <c r="F343" s="32">
        <v>43773</v>
      </c>
      <c r="G343" s="3" t="s">
        <v>35</v>
      </c>
      <c r="H343" s="3" t="s">
        <v>543</v>
      </c>
      <c r="I343" s="3" t="s">
        <v>20</v>
      </c>
      <c r="J343" s="3">
        <v>1</v>
      </c>
      <c r="K343" s="3" t="s">
        <v>39</v>
      </c>
      <c r="L343" s="5" t="s">
        <v>40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.6">
      <c r="A344" s="13">
        <v>2019</v>
      </c>
      <c r="B344" s="3" t="s">
        <v>72</v>
      </c>
      <c r="C344" s="32">
        <v>43780</v>
      </c>
      <c r="D344" s="3" t="s">
        <v>35</v>
      </c>
      <c r="E344" s="3" t="s">
        <v>543</v>
      </c>
      <c r="F344" s="32">
        <v>43780</v>
      </c>
      <c r="G344" s="3" t="s">
        <v>35</v>
      </c>
      <c r="H344" s="3" t="s">
        <v>542</v>
      </c>
      <c r="I344" s="3" t="s">
        <v>20</v>
      </c>
      <c r="J344" s="3">
        <v>1</v>
      </c>
      <c r="K344" s="3" t="s">
        <v>39</v>
      </c>
      <c r="L344" s="5" t="s">
        <v>40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.6">
      <c r="A345" s="13">
        <v>2019</v>
      </c>
      <c r="B345" s="3" t="s">
        <v>75</v>
      </c>
      <c r="C345" s="32">
        <v>43807</v>
      </c>
      <c r="D345" s="3" t="s">
        <v>96</v>
      </c>
      <c r="E345" s="3" t="s">
        <v>542</v>
      </c>
      <c r="F345" s="32">
        <v>43807</v>
      </c>
      <c r="G345" s="3" t="s">
        <v>96</v>
      </c>
      <c r="H345" s="3" t="s">
        <v>542</v>
      </c>
      <c r="I345" s="3" t="s">
        <v>20</v>
      </c>
      <c r="J345" s="3">
        <v>0</v>
      </c>
      <c r="K345" s="3" t="s">
        <v>39</v>
      </c>
      <c r="L345" s="5" t="s">
        <v>40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.6">
      <c r="A346" s="13">
        <v>2019</v>
      </c>
      <c r="B346" s="3" t="s">
        <v>77</v>
      </c>
      <c r="C346" s="32">
        <v>43824</v>
      </c>
      <c r="D346" s="3" t="s">
        <v>84</v>
      </c>
      <c r="E346" s="3" t="s">
        <v>542</v>
      </c>
      <c r="F346" s="32">
        <v>43824</v>
      </c>
      <c r="G346" s="3" t="s">
        <v>84</v>
      </c>
      <c r="H346" s="3" t="s">
        <v>542</v>
      </c>
      <c r="I346" s="3" t="s">
        <v>20</v>
      </c>
      <c r="J346" s="3">
        <v>1</v>
      </c>
      <c r="K346" s="3" t="s">
        <v>39</v>
      </c>
      <c r="L346" s="5" t="s">
        <v>40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.6">
      <c r="A347" s="13">
        <v>2020</v>
      </c>
      <c r="B347" s="3" t="s">
        <v>36</v>
      </c>
      <c r="C347" s="32">
        <v>43831</v>
      </c>
      <c r="D347" s="3" t="s">
        <v>84</v>
      </c>
      <c r="E347" s="3" t="s">
        <v>542</v>
      </c>
      <c r="F347" s="32">
        <v>43831</v>
      </c>
      <c r="G347" s="3" t="s">
        <v>84</v>
      </c>
      <c r="H347" s="3" t="s">
        <v>542</v>
      </c>
      <c r="I347" s="3" t="s">
        <v>15</v>
      </c>
      <c r="J347" s="3">
        <v>1</v>
      </c>
      <c r="K347" s="3" t="s">
        <v>39</v>
      </c>
      <c r="L347" s="5" t="s">
        <v>40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.6">
      <c r="A348" s="13">
        <v>2020</v>
      </c>
      <c r="B348" s="3" t="s">
        <v>41</v>
      </c>
      <c r="C348" s="32">
        <v>43836</v>
      </c>
      <c r="D348" s="3" t="s">
        <v>35</v>
      </c>
      <c r="E348" s="3" t="s">
        <v>543</v>
      </c>
      <c r="F348" s="32">
        <v>43836</v>
      </c>
      <c r="G348" s="3" t="s">
        <v>35</v>
      </c>
      <c r="H348" s="3" t="s">
        <v>542</v>
      </c>
      <c r="I348" s="3" t="s">
        <v>15</v>
      </c>
      <c r="J348" s="3">
        <v>1</v>
      </c>
      <c r="K348" s="3" t="s">
        <v>39</v>
      </c>
      <c r="L348" s="5" t="s">
        <v>40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.6">
      <c r="A349" s="13">
        <v>2020</v>
      </c>
      <c r="B349" s="3" t="s">
        <v>43</v>
      </c>
      <c r="C349" s="32">
        <v>43909</v>
      </c>
      <c r="D349" s="3" t="s">
        <v>45</v>
      </c>
      <c r="E349" s="3" t="s">
        <v>543</v>
      </c>
      <c r="F349" s="32">
        <v>43913</v>
      </c>
      <c r="G349" s="3" t="s">
        <v>35</v>
      </c>
      <c r="H349" s="3" t="s">
        <v>543</v>
      </c>
      <c r="I349" s="3" t="s">
        <v>15</v>
      </c>
      <c r="J349" s="3">
        <v>1</v>
      </c>
      <c r="K349" s="3" t="s">
        <v>39</v>
      </c>
      <c r="L349" s="5" t="s">
        <v>40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.6">
      <c r="A350" s="13">
        <v>2020</v>
      </c>
      <c r="B350" s="3" t="s">
        <v>46</v>
      </c>
      <c r="C350" s="32">
        <v>43930</v>
      </c>
      <c r="D350" s="3" t="s">
        <v>45</v>
      </c>
      <c r="E350" s="3" t="s">
        <v>542</v>
      </c>
      <c r="F350" s="32">
        <v>43930</v>
      </c>
      <c r="G350" s="3" t="s">
        <v>45</v>
      </c>
      <c r="H350" s="3" t="s">
        <v>542</v>
      </c>
      <c r="I350" s="3" t="s">
        <v>17</v>
      </c>
      <c r="J350" s="3">
        <v>1</v>
      </c>
      <c r="K350" s="3" t="s">
        <v>39</v>
      </c>
      <c r="L350" s="5" t="s">
        <v>40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.6">
      <c r="A351" s="13">
        <v>2020</v>
      </c>
      <c r="B351" s="3" t="s">
        <v>49</v>
      </c>
      <c r="C351" s="32">
        <v>43931</v>
      </c>
      <c r="D351" s="3" t="s">
        <v>48</v>
      </c>
      <c r="E351" s="3" t="s">
        <v>542</v>
      </c>
      <c r="F351" s="32">
        <v>43931</v>
      </c>
      <c r="G351" s="3" t="s">
        <v>48</v>
      </c>
      <c r="H351" s="3" t="s">
        <v>542</v>
      </c>
      <c r="I351" s="3" t="s">
        <v>17</v>
      </c>
      <c r="J351" s="3">
        <v>1</v>
      </c>
      <c r="K351" s="3" t="s">
        <v>39</v>
      </c>
      <c r="L351" s="5" t="s">
        <v>40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.6">
      <c r="A352" s="13">
        <v>2020</v>
      </c>
      <c r="B352" s="3" t="s">
        <v>52</v>
      </c>
      <c r="C352" s="32">
        <v>43952</v>
      </c>
      <c r="D352" s="3" t="s">
        <v>48</v>
      </c>
      <c r="E352" s="3" t="s">
        <v>542</v>
      </c>
      <c r="F352" s="32">
        <v>43952</v>
      </c>
      <c r="G352" s="3" t="s">
        <v>48</v>
      </c>
      <c r="H352" s="3" t="s">
        <v>542</v>
      </c>
      <c r="I352" s="3" t="s">
        <v>17</v>
      </c>
      <c r="J352" s="3">
        <v>1</v>
      </c>
      <c r="K352" s="3" t="s">
        <v>39</v>
      </c>
      <c r="L352" s="5" t="s">
        <v>40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.6">
      <c r="A353" s="13">
        <v>2020</v>
      </c>
      <c r="B353" s="3" t="s">
        <v>54</v>
      </c>
      <c r="C353" s="32">
        <v>43972</v>
      </c>
      <c r="D353" s="3" t="s">
        <v>45</v>
      </c>
      <c r="E353" s="3" t="s">
        <v>543</v>
      </c>
      <c r="F353" s="32">
        <v>43976</v>
      </c>
      <c r="G353" s="3" t="s">
        <v>35</v>
      </c>
      <c r="H353" s="3" t="s">
        <v>543</v>
      </c>
      <c r="I353" s="3" t="s">
        <v>17</v>
      </c>
      <c r="J353" s="3">
        <v>1</v>
      </c>
      <c r="K353" s="3" t="s">
        <v>39</v>
      </c>
      <c r="L353" s="5" t="s">
        <v>40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.6">
      <c r="A354" s="13">
        <v>2020</v>
      </c>
      <c r="B354" s="3" t="s">
        <v>56</v>
      </c>
      <c r="C354" s="32">
        <v>43993</v>
      </c>
      <c r="D354" s="3" t="s">
        <v>45</v>
      </c>
      <c r="E354" s="3" t="s">
        <v>543</v>
      </c>
      <c r="F354" s="32">
        <v>43997</v>
      </c>
      <c r="G354" s="3" t="s">
        <v>35</v>
      </c>
      <c r="H354" s="3" t="s">
        <v>543</v>
      </c>
      <c r="I354" s="3" t="s">
        <v>17</v>
      </c>
      <c r="J354" s="3">
        <v>1</v>
      </c>
      <c r="K354" s="3" t="s">
        <v>39</v>
      </c>
      <c r="L354" s="5" t="s">
        <v>40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.6">
      <c r="A355" s="13">
        <v>2020</v>
      </c>
      <c r="B355" s="3" t="s">
        <v>58</v>
      </c>
      <c r="C355" s="32">
        <v>44001</v>
      </c>
      <c r="D355" s="3" t="s">
        <v>48</v>
      </c>
      <c r="E355" s="3" t="s">
        <v>543</v>
      </c>
      <c r="F355" s="32">
        <v>44004</v>
      </c>
      <c r="G355" s="3" t="s">
        <v>35</v>
      </c>
      <c r="H355" s="3" t="s">
        <v>543</v>
      </c>
      <c r="I355" s="3" t="s">
        <v>17</v>
      </c>
      <c r="J355" s="3">
        <v>1</v>
      </c>
      <c r="K355" s="3" t="s">
        <v>39</v>
      </c>
      <c r="L355" s="5" t="s">
        <v>40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.6">
      <c r="A356" s="13">
        <v>2020</v>
      </c>
      <c r="B356" s="3" t="s">
        <v>60</v>
      </c>
      <c r="C356" s="32">
        <v>44011</v>
      </c>
      <c r="D356" s="3" t="s">
        <v>35</v>
      </c>
      <c r="E356" s="3" t="s">
        <v>543</v>
      </c>
      <c r="F356" s="32">
        <v>44011</v>
      </c>
      <c r="G356" s="3" t="s">
        <v>35</v>
      </c>
      <c r="H356" s="3" t="s">
        <v>542</v>
      </c>
      <c r="I356" s="3" t="s">
        <v>17</v>
      </c>
      <c r="J356" s="3">
        <v>1</v>
      </c>
      <c r="K356" s="3" t="s">
        <v>39</v>
      </c>
      <c r="L356" s="5" t="s">
        <v>40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.6">
      <c r="A357" s="13">
        <v>2020</v>
      </c>
      <c r="B357" s="3" t="s">
        <v>62</v>
      </c>
      <c r="C357" s="32">
        <v>44032</v>
      </c>
      <c r="D357" s="3" t="s">
        <v>35</v>
      </c>
      <c r="E357" s="3" t="s">
        <v>542</v>
      </c>
      <c r="F357" s="32">
        <v>44032</v>
      </c>
      <c r="G357" s="3" t="s">
        <v>35</v>
      </c>
      <c r="H357" s="3" t="s">
        <v>542</v>
      </c>
      <c r="I357" s="3" t="s">
        <v>19</v>
      </c>
      <c r="J357" s="3">
        <v>1</v>
      </c>
      <c r="K357" s="3" t="s">
        <v>39</v>
      </c>
      <c r="L357" s="5" t="s">
        <v>40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.6">
      <c r="A358" s="13">
        <v>2020</v>
      </c>
      <c r="B358" s="3" t="s">
        <v>64</v>
      </c>
      <c r="C358" s="32">
        <v>44050</v>
      </c>
      <c r="D358" s="3" t="s">
        <v>48</v>
      </c>
      <c r="E358" s="3" t="s">
        <v>542</v>
      </c>
      <c r="F358" s="32">
        <v>44050</v>
      </c>
      <c r="G358" s="3" t="s">
        <v>48</v>
      </c>
      <c r="H358" s="3" t="s">
        <v>542</v>
      </c>
      <c r="I358" s="3" t="s">
        <v>19</v>
      </c>
      <c r="J358" s="3">
        <v>1</v>
      </c>
      <c r="K358" s="3" t="s">
        <v>39</v>
      </c>
      <c r="L358" s="5" t="s">
        <v>40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.6">
      <c r="A359" s="13">
        <v>2020</v>
      </c>
      <c r="B359" s="3" t="s">
        <v>66</v>
      </c>
      <c r="C359" s="32">
        <v>44058</v>
      </c>
      <c r="D359" s="3" t="s">
        <v>74</v>
      </c>
      <c r="E359" s="3" t="s">
        <v>543</v>
      </c>
      <c r="F359" s="32">
        <v>44060</v>
      </c>
      <c r="G359" s="3" t="s">
        <v>35</v>
      </c>
      <c r="H359" s="3" t="s">
        <v>543</v>
      </c>
      <c r="I359" s="3" t="s">
        <v>19</v>
      </c>
      <c r="J359" s="3">
        <v>1</v>
      </c>
      <c r="K359" s="3" t="s">
        <v>39</v>
      </c>
      <c r="L359" s="5" t="s">
        <v>40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.6">
      <c r="A360" s="13">
        <v>2020</v>
      </c>
      <c r="B360" s="3" t="s">
        <v>68</v>
      </c>
      <c r="C360" s="32">
        <v>44116</v>
      </c>
      <c r="D360" s="3" t="s">
        <v>35</v>
      </c>
      <c r="E360" s="3" t="s">
        <v>543</v>
      </c>
      <c r="F360" s="32">
        <v>44116</v>
      </c>
      <c r="G360" s="3" t="s">
        <v>35</v>
      </c>
      <c r="H360" s="3" t="s">
        <v>542</v>
      </c>
      <c r="I360" s="3" t="s">
        <v>20</v>
      </c>
      <c r="J360" s="3">
        <v>1</v>
      </c>
      <c r="K360" s="3" t="s">
        <v>39</v>
      </c>
      <c r="L360" s="5" t="s">
        <v>40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.6">
      <c r="A361" s="13">
        <v>2020</v>
      </c>
      <c r="B361" s="3" t="s">
        <v>70</v>
      </c>
      <c r="C361" s="32">
        <v>44136</v>
      </c>
      <c r="D361" s="3" t="s">
        <v>96</v>
      </c>
      <c r="E361" s="3" t="s">
        <v>543</v>
      </c>
      <c r="F361" s="32">
        <v>44137</v>
      </c>
      <c r="G361" s="3" t="s">
        <v>35</v>
      </c>
      <c r="H361" s="3" t="s">
        <v>543</v>
      </c>
      <c r="I361" s="3" t="s">
        <v>20</v>
      </c>
      <c r="J361" s="3">
        <v>1</v>
      </c>
      <c r="K361" s="3" t="s">
        <v>39</v>
      </c>
      <c r="L361" s="5" t="s">
        <v>40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.6">
      <c r="A362" s="13">
        <v>2020</v>
      </c>
      <c r="B362" s="3" t="s">
        <v>72</v>
      </c>
      <c r="C362" s="32">
        <v>44146</v>
      </c>
      <c r="D362" s="3" t="s">
        <v>84</v>
      </c>
      <c r="E362" s="3" t="s">
        <v>543</v>
      </c>
      <c r="F362" s="32">
        <v>44151</v>
      </c>
      <c r="G362" s="3" t="s">
        <v>35</v>
      </c>
      <c r="H362" s="3" t="s">
        <v>543</v>
      </c>
      <c r="I362" s="3" t="s">
        <v>20</v>
      </c>
      <c r="J362" s="3">
        <v>1</v>
      </c>
      <c r="K362" s="3" t="s">
        <v>39</v>
      </c>
      <c r="L362" s="5" t="s">
        <v>40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.6">
      <c r="A363" s="13">
        <v>2020</v>
      </c>
      <c r="B363" s="3" t="s">
        <v>75</v>
      </c>
      <c r="C363" s="32">
        <v>44173</v>
      </c>
      <c r="D363" s="3" t="s">
        <v>51</v>
      </c>
      <c r="E363" s="3" t="s">
        <v>542</v>
      </c>
      <c r="F363" s="32">
        <v>44173</v>
      </c>
      <c r="G363" s="3" t="s">
        <v>51</v>
      </c>
      <c r="H363" s="3" t="s">
        <v>542</v>
      </c>
      <c r="I363" s="3" t="s">
        <v>20</v>
      </c>
      <c r="J363" s="3">
        <v>1</v>
      </c>
      <c r="K363" s="3" t="s">
        <v>39</v>
      </c>
      <c r="L363" s="5" t="s">
        <v>40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.6">
      <c r="A364" s="13">
        <v>2020</v>
      </c>
      <c r="B364" s="3" t="s">
        <v>77</v>
      </c>
      <c r="C364" s="32">
        <v>44190</v>
      </c>
      <c r="D364" s="3" t="s">
        <v>48</v>
      </c>
      <c r="E364" s="3" t="s">
        <v>542</v>
      </c>
      <c r="F364" s="32">
        <v>44190</v>
      </c>
      <c r="G364" s="3" t="s">
        <v>48</v>
      </c>
      <c r="H364" s="3" t="s">
        <v>542</v>
      </c>
      <c r="I364" s="3" t="s">
        <v>20</v>
      </c>
      <c r="J364" s="3">
        <v>1</v>
      </c>
      <c r="K364" s="3" t="s">
        <v>39</v>
      </c>
      <c r="L364" s="5" t="s">
        <v>40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.6">
      <c r="A365" s="13">
        <v>2021</v>
      </c>
      <c r="B365" s="3" t="s">
        <v>36</v>
      </c>
      <c r="C365" s="32">
        <v>44197</v>
      </c>
      <c r="D365" s="3" t="s">
        <v>48</v>
      </c>
      <c r="E365" s="3" t="s">
        <v>542</v>
      </c>
      <c r="F365" s="32">
        <v>44197</v>
      </c>
      <c r="G365" s="3" t="s">
        <v>48</v>
      </c>
      <c r="H365" s="3" t="s">
        <v>542</v>
      </c>
      <c r="I365" s="3" t="s">
        <v>15</v>
      </c>
      <c r="J365" s="3">
        <v>1</v>
      </c>
      <c r="K365" s="3" t="s">
        <v>39</v>
      </c>
      <c r="L365" s="5" t="s">
        <v>40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.6">
      <c r="A366" s="13">
        <v>2021</v>
      </c>
      <c r="B366" s="3" t="s">
        <v>41</v>
      </c>
      <c r="C366" s="32">
        <v>44202</v>
      </c>
      <c r="D366" s="3" t="s">
        <v>84</v>
      </c>
      <c r="E366" s="3" t="s">
        <v>543</v>
      </c>
      <c r="F366" s="32">
        <v>44207</v>
      </c>
      <c r="G366" s="3" t="s">
        <v>35</v>
      </c>
      <c r="H366" s="3" t="s">
        <v>543</v>
      </c>
      <c r="I366" s="3" t="s">
        <v>15</v>
      </c>
      <c r="J366" s="3">
        <v>1</v>
      </c>
      <c r="K366" s="3" t="s">
        <v>39</v>
      </c>
      <c r="L366" s="5" t="s">
        <v>40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.6">
      <c r="A367" s="13">
        <v>2021</v>
      </c>
      <c r="B367" s="3" t="s">
        <v>43</v>
      </c>
      <c r="C367" s="32">
        <v>44274</v>
      </c>
      <c r="D367" s="3" t="s">
        <v>48</v>
      </c>
      <c r="E367" s="3" t="s">
        <v>543</v>
      </c>
      <c r="F367" s="32">
        <v>44277</v>
      </c>
      <c r="G367" s="3" t="s">
        <v>35</v>
      </c>
      <c r="H367" s="3" t="s">
        <v>543</v>
      </c>
      <c r="I367" s="3" t="s">
        <v>15</v>
      </c>
      <c r="J367" s="3">
        <v>1</v>
      </c>
      <c r="K367" s="3" t="s">
        <v>39</v>
      </c>
      <c r="L367" s="5" t="s">
        <v>40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.6">
      <c r="A368" s="13">
        <v>2021</v>
      </c>
      <c r="B368" s="3" t="s">
        <v>46</v>
      </c>
      <c r="C368" s="32">
        <v>44287</v>
      </c>
      <c r="D368" s="3" t="s">
        <v>45</v>
      </c>
      <c r="E368" s="3" t="s">
        <v>542</v>
      </c>
      <c r="F368" s="32">
        <v>44287</v>
      </c>
      <c r="G368" s="3" t="s">
        <v>45</v>
      </c>
      <c r="H368" s="3" t="s">
        <v>542</v>
      </c>
      <c r="I368" s="3" t="s">
        <v>17</v>
      </c>
      <c r="J368" s="3">
        <v>1</v>
      </c>
      <c r="K368" s="3" t="s">
        <v>39</v>
      </c>
      <c r="L368" s="5" t="s">
        <v>40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.6">
      <c r="A369" s="13">
        <v>2021</v>
      </c>
      <c r="B369" s="3" t="s">
        <v>49</v>
      </c>
      <c r="C369" s="32">
        <v>44288</v>
      </c>
      <c r="D369" s="3" t="s">
        <v>48</v>
      </c>
      <c r="E369" s="3" t="s">
        <v>542</v>
      </c>
      <c r="F369" s="32">
        <v>44288</v>
      </c>
      <c r="G369" s="3" t="s">
        <v>48</v>
      </c>
      <c r="H369" s="3" t="s">
        <v>542</v>
      </c>
      <c r="I369" s="3" t="s">
        <v>17</v>
      </c>
      <c r="J369" s="3">
        <v>1</v>
      </c>
      <c r="K369" s="3" t="s">
        <v>39</v>
      </c>
      <c r="L369" s="5" t="s">
        <v>40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.6">
      <c r="A370" s="13">
        <v>2021</v>
      </c>
      <c r="B370" s="3" t="s">
        <v>52</v>
      </c>
      <c r="C370" s="32">
        <v>44317</v>
      </c>
      <c r="D370" s="3" t="s">
        <v>74</v>
      </c>
      <c r="E370" s="3" t="s">
        <v>542</v>
      </c>
      <c r="F370" s="32">
        <v>44317</v>
      </c>
      <c r="G370" s="3" t="s">
        <v>74</v>
      </c>
      <c r="H370" s="3" t="s">
        <v>542</v>
      </c>
      <c r="I370" s="3" t="s">
        <v>17</v>
      </c>
      <c r="J370" s="3">
        <v>1</v>
      </c>
      <c r="K370" s="3" t="s">
        <v>39</v>
      </c>
      <c r="L370" s="5" t="s">
        <v>40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.6">
      <c r="A371" s="13">
        <v>2021</v>
      </c>
      <c r="B371" s="3" t="s">
        <v>54</v>
      </c>
      <c r="C371" s="32">
        <v>44329</v>
      </c>
      <c r="D371" s="3" t="s">
        <v>45</v>
      </c>
      <c r="E371" s="3" t="s">
        <v>543</v>
      </c>
      <c r="F371" s="32">
        <v>44333</v>
      </c>
      <c r="G371" s="3" t="s">
        <v>35</v>
      </c>
      <c r="H371" s="3" t="s">
        <v>543</v>
      </c>
      <c r="I371" s="3" t="s">
        <v>17</v>
      </c>
      <c r="J371" s="3">
        <v>1</v>
      </c>
      <c r="K371" s="3" t="s">
        <v>39</v>
      </c>
      <c r="L371" s="5" t="s">
        <v>40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.6">
      <c r="A372" s="13">
        <v>2021</v>
      </c>
      <c r="B372" s="3" t="s">
        <v>56</v>
      </c>
      <c r="C372" s="32">
        <v>44350</v>
      </c>
      <c r="D372" s="3" t="s">
        <v>45</v>
      </c>
      <c r="E372" s="3" t="s">
        <v>543</v>
      </c>
      <c r="F372" s="32">
        <v>44354</v>
      </c>
      <c r="G372" s="3" t="s">
        <v>35</v>
      </c>
      <c r="H372" s="3" t="s">
        <v>543</v>
      </c>
      <c r="I372" s="3" t="s">
        <v>17</v>
      </c>
      <c r="J372" s="3">
        <v>1</v>
      </c>
      <c r="K372" s="3" t="s">
        <v>39</v>
      </c>
      <c r="L372" s="5" t="s">
        <v>40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.6">
      <c r="A373" s="13">
        <v>2021</v>
      </c>
      <c r="B373" s="3" t="s">
        <v>58</v>
      </c>
      <c r="C373" s="32">
        <v>44358</v>
      </c>
      <c r="D373" s="3" t="s">
        <v>48</v>
      </c>
      <c r="E373" s="3" t="s">
        <v>543</v>
      </c>
      <c r="F373" s="32">
        <v>44361</v>
      </c>
      <c r="G373" s="3" t="s">
        <v>35</v>
      </c>
      <c r="H373" s="3" t="s">
        <v>543</v>
      </c>
      <c r="I373" s="3" t="s">
        <v>17</v>
      </c>
      <c r="J373" s="3">
        <v>1</v>
      </c>
      <c r="K373" s="3" t="s">
        <v>39</v>
      </c>
      <c r="L373" s="5" t="s">
        <v>40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.6">
      <c r="A374" s="13">
        <v>2021</v>
      </c>
      <c r="B374" s="3" t="s">
        <v>60</v>
      </c>
      <c r="C374" s="32">
        <v>44376</v>
      </c>
      <c r="D374" s="3" t="s">
        <v>51</v>
      </c>
      <c r="E374" s="3" t="s">
        <v>543</v>
      </c>
      <c r="F374" s="32">
        <v>44382</v>
      </c>
      <c r="G374" s="3" t="s">
        <v>35</v>
      </c>
      <c r="H374" s="3" t="s">
        <v>543</v>
      </c>
      <c r="I374" s="3" t="s">
        <v>19</v>
      </c>
      <c r="J374" s="3">
        <v>1</v>
      </c>
      <c r="K374" s="3" t="s">
        <v>39</v>
      </c>
      <c r="L374" s="5" t="s">
        <v>40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.6">
      <c r="A375" s="13">
        <v>2021</v>
      </c>
      <c r="B375" s="3" t="s">
        <v>62</v>
      </c>
      <c r="C375" s="32">
        <v>44397</v>
      </c>
      <c r="D375" s="3" t="s">
        <v>51</v>
      </c>
      <c r="E375" s="3" t="s">
        <v>542</v>
      </c>
      <c r="F375" s="32">
        <v>44397</v>
      </c>
      <c r="G375" s="3" t="s">
        <v>51</v>
      </c>
      <c r="H375" s="3" t="s">
        <v>542</v>
      </c>
      <c r="I375" s="3" t="s">
        <v>19</v>
      </c>
      <c r="J375" s="3">
        <v>1</v>
      </c>
      <c r="K375" s="3" t="s">
        <v>39</v>
      </c>
      <c r="L375" s="5" t="s">
        <v>40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.6">
      <c r="A376" s="13">
        <v>2021</v>
      </c>
      <c r="B376" s="3" t="s">
        <v>64</v>
      </c>
      <c r="C376" s="32">
        <v>44415</v>
      </c>
      <c r="D376" s="3" t="s">
        <v>74</v>
      </c>
      <c r="E376" s="3" t="s">
        <v>542</v>
      </c>
      <c r="F376" s="32">
        <v>44415</v>
      </c>
      <c r="G376" s="3" t="s">
        <v>74</v>
      </c>
      <c r="H376" s="3" t="s">
        <v>542</v>
      </c>
      <c r="I376" s="3" t="s">
        <v>19</v>
      </c>
      <c r="J376" s="3">
        <v>1</v>
      </c>
      <c r="K376" s="3" t="s">
        <v>39</v>
      </c>
      <c r="L376" s="5" t="s">
        <v>40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.6">
      <c r="A377" s="13">
        <v>2021</v>
      </c>
      <c r="B377" s="3" t="s">
        <v>66</v>
      </c>
      <c r="C377" s="32">
        <v>44423</v>
      </c>
      <c r="D377" s="3" t="s">
        <v>96</v>
      </c>
      <c r="E377" s="3" t="s">
        <v>543</v>
      </c>
      <c r="F377" s="32">
        <v>44424</v>
      </c>
      <c r="G377" s="3" t="s">
        <v>35</v>
      </c>
      <c r="H377" s="3" t="s">
        <v>543</v>
      </c>
      <c r="I377" s="3" t="s">
        <v>19</v>
      </c>
      <c r="J377" s="3">
        <v>1</v>
      </c>
      <c r="K377" s="3" t="s">
        <v>39</v>
      </c>
      <c r="L377" s="5" t="s">
        <v>40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.6">
      <c r="A378" s="13">
        <v>2021</v>
      </c>
      <c r="B378" s="3" t="s">
        <v>68</v>
      </c>
      <c r="C378" s="32">
        <v>44481</v>
      </c>
      <c r="D378" s="3" t="s">
        <v>51</v>
      </c>
      <c r="E378" s="3" t="s">
        <v>543</v>
      </c>
      <c r="F378" s="32">
        <v>44487</v>
      </c>
      <c r="G378" s="3" t="s">
        <v>35</v>
      </c>
      <c r="H378" s="3" t="s">
        <v>543</v>
      </c>
      <c r="I378" s="3" t="s">
        <v>20</v>
      </c>
      <c r="J378" s="3">
        <v>1</v>
      </c>
      <c r="K378" s="3" t="s">
        <v>39</v>
      </c>
      <c r="L378" s="5" t="s">
        <v>40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.6">
      <c r="A379" s="13">
        <v>2021</v>
      </c>
      <c r="B379" s="3" t="s">
        <v>70</v>
      </c>
      <c r="C379" s="32">
        <v>44501</v>
      </c>
      <c r="D379" s="3" t="s">
        <v>35</v>
      </c>
      <c r="E379" s="3" t="s">
        <v>543</v>
      </c>
      <c r="F379" s="32">
        <v>44501</v>
      </c>
      <c r="G379" s="3" t="s">
        <v>35</v>
      </c>
      <c r="H379" s="3" t="s">
        <v>542</v>
      </c>
      <c r="I379" s="3" t="s">
        <v>20</v>
      </c>
      <c r="J379" s="3">
        <v>1</v>
      </c>
      <c r="K379" s="3" t="s">
        <v>39</v>
      </c>
      <c r="L379" s="5" t="s">
        <v>40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.6">
      <c r="A380" s="13">
        <v>2021</v>
      </c>
      <c r="B380" s="3" t="s">
        <v>72</v>
      </c>
      <c r="C380" s="32">
        <v>44511</v>
      </c>
      <c r="D380" s="3" t="s">
        <v>45</v>
      </c>
      <c r="E380" s="3" t="s">
        <v>543</v>
      </c>
      <c r="F380" s="32">
        <v>44515</v>
      </c>
      <c r="G380" s="3" t="s">
        <v>35</v>
      </c>
      <c r="H380" s="3" t="s">
        <v>543</v>
      </c>
      <c r="I380" s="3" t="s">
        <v>20</v>
      </c>
      <c r="J380" s="3">
        <v>1</v>
      </c>
      <c r="K380" s="3" t="s">
        <v>39</v>
      </c>
      <c r="L380" s="5" t="s">
        <v>40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.6">
      <c r="A381" s="13">
        <v>2021</v>
      </c>
      <c r="B381" s="3" t="s">
        <v>75</v>
      </c>
      <c r="C381" s="32">
        <v>44538</v>
      </c>
      <c r="D381" s="3" t="s">
        <v>84</v>
      </c>
      <c r="E381" s="3" t="s">
        <v>542</v>
      </c>
      <c r="F381" s="32">
        <v>44538</v>
      </c>
      <c r="G381" s="3" t="s">
        <v>84</v>
      </c>
      <c r="H381" s="3" t="s">
        <v>542</v>
      </c>
      <c r="I381" s="3" t="s">
        <v>20</v>
      </c>
      <c r="J381" s="3">
        <v>1</v>
      </c>
      <c r="K381" s="3" t="s">
        <v>39</v>
      </c>
      <c r="L381" s="5" t="s">
        <v>40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.6">
      <c r="A382" s="13">
        <v>2021</v>
      </c>
      <c r="B382" s="3" t="s">
        <v>77</v>
      </c>
      <c r="C382" s="32">
        <v>44555</v>
      </c>
      <c r="D382" s="3" t="s">
        <v>74</v>
      </c>
      <c r="E382" s="3" t="s">
        <v>542</v>
      </c>
      <c r="F382" s="32">
        <v>44555</v>
      </c>
      <c r="G382" s="3" t="s">
        <v>74</v>
      </c>
      <c r="H382" s="3" t="s">
        <v>542</v>
      </c>
      <c r="I382" s="3" t="s">
        <v>20</v>
      </c>
      <c r="J382" s="3">
        <v>1</v>
      </c>
      <c r="K382" s="3" t="s">
        <v>39</v>
      </c>
      <c r="L382" s="5" t="s">
        <v>40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.6">
      <c r="A383" s="13">
        <v>2022</v>
      </c>
      <c r="B383" s="3" t="s">
        <v>36</v>
      </c>
      <c r="C383" s="32">
        <v>44562</v>
      </c>
      <c r="D383" s="3" t="s">
        <v>74</v>
      </c>
      <c r="E383" s="3" t="s">
        <v>542</v>
      </c>
      <c r="F383" s="32">
        <v>44562</v>
      </c>
      <c r="G383" s="3" t="s">
        <v>74</v>
      </c>
      <c r="H383" s="3" t="s">
        <v>542</v>
      </c>
      <c r="I383" s="3" t="s">
        <v>15</v>
      </c>
      <c r="J383" s="3">
        <v>1</v>
      </c>
      <c r="K383" s="3" t="s">
        <v>39</v>
      </c>
      <c r="L383" s="5" t="s">
        <v>40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.6">
      <c r="A384" s="13">
        <v>2022</v>
      </c>
      <c r="B384" s="3" t="s">
        <v>41</v>
      </c>
      <c r="C384" s="32">
        <v>44567</v>
      </c>
      <c r="D384" s="3" t="s">
        <v>45</v>
      </c>
      <c r="E384" s="3" t="s">
        <v>543</v>
      </c>
      <c r="F384" s="32">
        <v>44571</v>
      </c>
      <c r="G384" s="3" t="s">
        <v>35</v>
      </c>
      <c r="H384" s="3" t="s">
        <v>543</v>
      </c>
      <c r="I384" s="3" t="s">
        <v>15</v>
      </c>
      <c r="J384" s="3">
        <v>1</v>
      </c>
      <c r="K384" s="3" t="s">
        <v>39</v>
      </c>
      <c r="L384" s="5" t="s">
        <v>40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.6">
      <c r="A385" s="13">
        <v>2022</v>
      </c>
      <c r="B385" s="3" t="s">
        <v>43</v>
      </c>
      <c r="C385" s="32">
        <v>44639</v>
      </c>
      <c r="D385" s="3" t="s">
        <v>74</v>
      </c>
      <c r="E385" s="3" t="s">
        <v>543</v>
      </c>
      <c r="F385" s="32">
        <v>44641</v>
      </c>
      <c r="G385" s="3" t="s">
        <v>35</v>
      </c>
      <c r="H385" s="3" t="s">
        <v>543</v>
      </c>
      <c r="I385" s="3" t="s">
        <v>15</v>
      </c>
      <c r="J385" s="3">
        <v>1</v>
      </c>
      <c r="K385" s="3" t="s">
        <v>39</v>
      </c>
      <c r="L385" s="5" t="s">
        <v>40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.6">
      <c r="A386" s="13">
        <v>2022</v>
      </c>
      <c r="B386" s="3" t="s">
        <v>46</v>
      </c>
      <c r="C386" s="32">
        <v>44665</v>
      </c>
      <c r="D386" s="3" t="s">
        <v>45</v>
      </c>
      <c r="E386" s="3" t="s">
        <v>542</v>
      </c>
      <c r="F386" s="32">
        <v>44665</v>
      </c>
      <c r="G386" s="3" t="s">
        <v>45</v>
      </c>
      <c r="H386" s="3" t="s">
        <v>542</v>
      </c>
      <c r="I386" s="3" t="s">
        <v>17</v>
      </c>
      <c r="J386" s="3">
        <v>1</v>
      </c>
      <c r="K386" s="3" t="s">
        <v>39</v>
      </c>
      <c r="L386" s="5" t="s">
        <v>40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.6">
      <c r="A387" s="13">
        <v>2022</v>
      </c>
      <c r="B387" s="3" t="s">
        <v>49</v>
      </c>
      <c r="C387" s="32">
        <v>44666</v>
      </c>
      <c r="D387" s="3" t="s">
        <v>48</v>
      </c>
      <c r="E387" s="3" t="s">
        <v>542</v>
      </c>
      <c r="F387" s="32">
        <v>44666</v>
      </c>
      <c r="G387" s="3" t="s">
        <v>48</v>
      </c>
      <c r="H387" s="3" t="s">
        <v>542</v>
      </c>
      <c r="I387" s="3" t="s">
        <v>17</v>
      </c>
      <c r="J387" s="3">
        <v>1</v>
      </c>
      <c r="K387" s="3" t="s">
        <v>39</v>
      </c>
      <c r="L387" s="5" t="s">
        <v>40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.6">
      <c r="A388" s="13">
        <v>2022</v>
      </c>
      <c r="B388" s="3" t="s">
        <v>52</v>
      </c>
      <c r="C388" s="32">
        <v>44682</v>
      </c>
      <c r="D388" s="3" t="s">
        <v>96</v>
      </c>
      <c r="E388" s="3" t="s">
        <v>542</v>
      </c>
      <c r="F388" s="32">
        <v>44682</v>
      </c>
      <c r="G388" s="3" t="s">
        <v>96</v>
      </c>
      <c r="H388" s="3" t="s">
        <v>542</v>
      </c>
      <c r="I388" s="3" t="s">
        <v>17</v>
      </c>
      <c r="J388" s="3">
        <v>0</v>
      </c>
      <c r="K388" s="3" t="s">
        <v>39</v>
      </c>
      <c r="L388" s="5" t="s">
        <v>40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.6">
      <c r="A389" s="13">
        <v>2022</v>
      </c>
      <c r="B389" s="3" t="s">
        <v>54</v>
      </c>
      <c r="C389" s="32">
        <v>44707</v>
      </c>
      <c r="D389" s="3" t="s">
        <v>45</v>
      </c>
      <c r="E389" s="3" t="s">
        <v>543</v>
      </c>
      <c r="F389" s="32">
        <v>44711</v>
      </c>
      <c r="G389" s="3" t="s">
        <v>35</v>
      </c>
      <c r="H389" s="3" t="s">
        <v>543</v>
      </c>
      <c r="I389" s="3" t="s">
        <v>17</v>
      </c>
      <c r="J389" s="3">
        <v>1</v>
      </c>
      <c r="K389" s="3" t="s">
        <v>39</v>
      </c>
      <c r="L389" s="5" t="s">
        <v>40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.6">
      <c r="A390" s="13">
        <v>2022</v>
      </c>
      <c r="B390" s="3" t="s">
        <v>56</v>
      </c>
      <c r="C390" s="32">
        <v>44728</v>
      </c>
      <c r="D390" s="3" t="s">
        <v>45</v>
      </c>
      <c r="E390" s="3" t="s">
        <v>543</v>
      </c>
      <c r="F390" s="32">
        <v>44732</v>
      </c>
      <c r="G390" s="3" t="s">
        <v>35</v>
      </c>
      <c r="H390" s="3" t="s">
        <v>543</v>
      </c>
      <c r="I390" s="3" t="s">
        <v>17</v>
      </c>
      <c r="J390" s="3">
        <v>1</v>
      </c>
      <c r="K390" s="3" t="s">
        <v>39</v>
      </c>
      <c r="L390" s="5" t="s">
        <v>40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.6">
      <c r="A391" s="13">
        <v>2022</v>
      </c>
      <c r="B391" s="3" t="s">
        <v>58</v>
      </c>
      <c r="C391" s="32">
        <v>44736</v>
      </c>
      <c r="D391" s="3" t="s">
        <v>48</v>
      </c>
      <c r="E391" s="3" t="s">
        <v>543</v>
      </c>
      <c r="F391" s="32">
        <v>44739</v>
      </c>
      <c r="G391" s="3" t="s">
        <v>35</v>
      </c>
      <c r="H391" s="3" t="s">
        <v>543</v>
      </c>
      <c r="I391" s="3" t="s">
        <v>17</v>
      </c>
      <c r="J391" s="3">
        <v>1</v>
      </c>
      <c r="K391" s="3" t="s">
        <v>39</v>
      </c>
      <c r="L391" s="5" t="s">
        <v>40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.6">
      <c r="A392" s="13">
        <v>2022</v>
      </c>
      <c r="B392" s="3" t="s">
        <v>60</v>
      </c>
      <c r="C392" s="32">
        <v>44741</v>
      </c>
      <c r="D392" s="3" t="s">
        <v>84</v>
      </c>
      <c r="E392" s="3" t="s">
        <v>543</v>
      </c>
      <c r="F392" s="32">
        <v>44746</v>
      </c>
      <c r="G392" s="3" t="s">
        <v>35</v>
      </c>
      <c r="H392" s="3" t="s">
        <v>543</v>
      </c>
      <c r="I392" s="3" t="s">
        <v>19</v>
      </c>
      <c r="J392" s="3">
        <v>1</v>
      </c>
      <c r="K392" s="3" t="s">
        <v>39</v>
      </c>
      <c r="L392" s="5" t="s">
        <v>40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.6">
      <c r="A393" s="13">
        <v>2022</v>
      </c>
      <c r="B393" s="3" t="s">
        <v>62</v>
      </c>
      <c r="C393" s="32">
        <v>44762</v>
      </c>
      <c r="D393" s="3" t="s">
        <v>84</v>
      </c>
      <c r="E393" s="3" t="s">
        <v>542</v>
      </c>
      <c r="F393" s="32">
        <v>44762</v>
      </c>
      <c r="G393" s="3" t="s">
        <v>84</v>
      </c>
      <c r="H393" s="3" t="s">
        <v>542</v>
      </c>
      <c r="I393" s="3" t="s">
        <v>19</v>
      </c>
      <c r="J393" s="3">
        <v>1</v>
      </c>
      <c r="K393" s="3" t="s">
        <v>39</v>
      </c>
      <c r="L393" s="5" t="s">
        <v>40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.6">
      <c r="A394" s="13">
        <v>2022</v>
      </c>
      <c r="B394" s="3" t="s">
        <v>64</v>
      </c>
      <c r="C394" s="32">
        <v>44780</v>
      </c>
      <c r="D394" s="3" t="s">
        <v>96</v>
      </c>
      <c r="E394" s="3" t="s">
        <v>542</v>
      </c>
      <c r="F394" s="32">
        <v>44780</v>
      </c>
      <c r="G394" s="3" t="s">
        <v>96</v>
      </c>
      <c r="H394" s="3" t="s">
        <v>542</v>
      </c>
      <c r="I394" s="3" t="s">
        <v>19</v>
      </c>
      <c r="J394" s="3">
        <v>0</v>
      </c>
      <c r="K394" s="3" t="s">
        <v>39</v>
      </c>
      <c r="L394" s="5" t="s">
        <v>40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.6">
      <c r="A395" s="13">
        <v>2022</v>
      </c>
      <c r="B395" s="3" t="s">
        <v>66</v>
      </c>
      <c r="C395" s="32">
        <v>44788</v>
      </c>
      <c r="D395" s="3" t="s">
        <v>35</v>
      </c>
      <c r="E395" s="3" t="s">
        <v>543</v>
      </c>
      <c r="F395" s="32">
        <v>44788</v>
      </c>
      <c r="G395" s="3" t="s">
        <v>35</v>
      </c>
      <c r="H395" s="3" t="s">
        <v>542</v>
      </c>
      <c r="I395" s="3" t="s">
        <v>19</v>
      </c>
      <c r="J395" s="3">
        <v>1</v>
      </c>
      <c r="K395" s="3" t="s">
        <v>39</v>
      </c>
      <c r="L395" s="5" t="s">
        <v>40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.6">
      <c r="A396" s="13">
        <v>2022</v>
      </c>
      <c r="B396" s="3" t="s">
        <v>68</v>
      </c>
      <c r="C396" s="32">
        <v>44846</v>
      </c>
      <c r="D396" s="3" t="s">
        <v>84</v>
      </c>
      <c r="E396" s="3" t="s">
        <v>543</v>
      </c>
      <c r="F396" s="32">
        <v>44851</v>
      </c>
      <c r="G396" s="3" t="s">
        <v>35</v>
      </c>
      <c r="H396" s="3" t="s">
        <v>543</v>
      </c>
      <c r="I396" s="3" t="s">
        <v>20</v>
      </c>
      <c r="J396" s="3">
        <v>1</v>
      </c>
      <c r="K396" s="3" t="s">
        <v>39</v>
      </c>
      <c r="L396" s="5" t="s">
        <v>40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.6">
      <c r="A397" s="13">
        <v>2022</v>
      </c>
      <c r="B397" s="3" t="s">
        <v>70</v>
      </c>
      <c r="C397" s="32">
        <v>44866</v>
      </c>
      <c r="D397" s="3" t="s">
        <v>51</v>
      </c>
      <c r="E397" s="3" t="s">
        <v>543</v>
      </c>
      <c r="F397" s="32">
        <v>44872</v>
      </c>
      <c r="G397" s="3" t="s">
        <v>35</v>
      </c>
      <c r="H397" s="3" t="s">
        <v>543</v>
      </c>
      <c r="I397" s="3" t="s">
        <v>20</v>
      </c>
      <c r="J397" s="3">
        <v>1</v>
      </c>
      <c r="K397" s="3" t="s">
        <v>39</v>
      </c>
      <c r="L397" s="5" t="s">
        <v>40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.6">
      <c r="A398" s="13">
        <v>2022</v>
      </c>
      <c r="B398" s="3" t="s">
        <v>72</v>
      </c>
      <c r="C398" s="32">
        <v>44876</v>
      </c>
      <c r="D398" s="3" t="s">
        <v>48</v>
      </c>
      <c r="E398" s="3" t="s">
        <v>543</v>
      </c>
      <c r="F398" s="32">
        <v>44879</v>
      </c>
      <c r="G398" s="3" t="s">
        <v>35</v>
      </c>
      <c r="H398" s="3" t="s">
        <v>543</v>
      </c>
      <c r="I398" s="3" t="s">
        <v>20</v>
      </c>
      <c r="J398" s="3">
        <v>1</v>
      </c>
      <c r="K398" s="3" t="s">
        <v>39</v>
      </c>
      <c r="L398" s="5" t="s">
        <v>40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.6">
      <c r="A399" s="13">
        <v>2022</v>
      </c>
      <c r="B399" s="3" t="s">
        <v>75</v>
      </c>
      <c r="C399" s="32">
        <v>44903</v>
      </c>
      <c r="D399" s="3" t="s">
        <v>45</v>
      </c>
      <c r="E399" s="3" t="s">
        <v>542</v>
      </c>
      <c r="F399" s="32">
        <v>44903</v>
      </c>
      <c r="G399" s="3" t="s">
        <v>45</v>
      </c>
      <c r="H399" s="3" t="s">
        <v>542</v>
      </c>
      <c r="I399" s="3" t="s">
        <v>20</v>
      </c>
      <c r="J399" s="3">
        <v>1</v>
      </c>
      <c r="K399" s="3" t="s">
        <v>39</v>
      </c>
      <c r="L399" s="5" t="s">
        <v>40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.6">
      <c r="A400" s="13">
        <v>2022</v>
      </c>
      <c r="B400" s="3" t="s">
        <v>77</v>
      </c>
      <c r="C400" s="32">
        <v>44920</v>
      </c>
      <c r="D400" s="3" t="s">
        <v>96</v>
      </c>
      <c r="E400" s="3" t="s">
        <v>542</v>
      </c>
      <c r="F400" s="32">
        <v>44920</v>
      </c>
      <c r="G400" s="3" t="s">
        <v>96</v>
      </c>
      <c r="H400" s="3" t="s">
        <v>542</v>
      </c>
      <c r="I400" s="3" t="s">
        <v>20</v>
      </c>
      <c r="J400" s="3">
        <v>0</v>
      </c>
      <c r="K400" s="3" t="s">
        <v>39</v>
      </c>
      <c r="L400" s="5" t="s">
        <v>40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.6">
      <c r="A401" s="13">
        <v>2023</v>
      </c>
      <c r="B401" s="3" t="s">
        <v>36</v>
      </c>
      <c r="C401" s="32">
        <v>44927</v>
      </c>
      <c r="D401" s="3" t="s">
        <v>96</v>
      </c>
      <c r="E401" s="3" t="s">
        <v>542</v>
      </c>
      <c r="F401" s="32">
        <v>44927</v>
      </c>
      <c r="G401" s="3" t="s">
        <v>96</v>
      </c>
      <c r="H401" s="3" t="s">
        <v>542</v>
      </c>
      <c r="I401" s="3" t="s">
        <v>15</v>
      </c>
      <c r="J401" s="3">
        <v>0</v>
      </c>
      <c r="K401" s="3" t="s">
        <v>39</v>
      </c>
      <c r="L401" s="5" t="s">
        <v>40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.6">
      <c r="A402" s="13">
        <v>2023</v>
      </c>
      <c r="B402" s="3" t="s">
        <v>41</v>
      </c>
      <c r="C402" s="32">
        <v>44932</v>
      </c>
      <c r="D402" s="3" t="s">
        <v>48</v>
      </c>
      <c r="E402" s="3" t="s">
        <v>543</v>
      </c>
      <c r="F402" s="32">
        <v>44935</v>
      </c>
      <c r="G402" s="3" t="s">
        <v>35</v>
      </c>
      <c r="H402" s="3" t="s">
        <v>543</v>
      </c>
      <c r="I402" s="3" t="s">
        <v>15</v>
      </c>
      <c r="J402" s="3">
        <v>1</v>
      </c>
      <c r="K402" s="3" t="s">
        <v>39</v>
      </c>
      <c r="L402" s="5" t="s">
        <v>40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.6">
      <c r="A403" s="13">
        <v>2023</v>
      </c>
      <c r="B403" s="3" t="s">
        <v>43</v>
      </c>
      <c r="C403" s="32">
        <v>45004</v>
      </c>
      <c r="D403" s="3" t="s">
        <v>96</v>
      </c>
      <c r="E403" s="3" t="s">
        <v>543</v>
      </c>
      <c r="F403" s="32">
        <v>45005</v>
      </c>
      <c r="G403" s="3" t="s">
        <v>35</v>
      </c>
      <c r="H403" s="3" t="s">
        <v>543</v>
      </c>
      <c r="I403" s="3" t="s">
        <v>15</v>
      </c>
      <c r="J403" s="3">
        <v>1</v>
      </c>
      <c r="K403" s="3" t="s">
        <v>39</v>
      </c>
      <c r="L403" s="5" t="s">
        <v>40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.6">
      <c r="A404" s="13">
        <v>2023</v>
      </c>
      <c r="B404" s="3" t="s">
        <v>46</v>
      </c>
      <c r="C404" s="32">
        <v>45022</v>
      </c>
      <c r="D404" s="3" t="s">
        <v>45</v>
      </c>
      <c r="E404" s="3" t="s">
        <v>542</v>
      </c>
      <c r="F404" s="32">
        <v>45022</v>
      </c>
      <c r="G404" s="3" t="s">
        <v>45</v>
      </c>
      <c r="H404" s="3" t="s">
        <v>542</v>
      </c>
      <c r="I404" s="3" t="s">
        <v>17</v>
      </c>
      <c r="J404" s="3">
        <v>1</v>
      </c>
      <c r="K404" s="3" t="s">
        <v>39</v>
      </c>
      <c r="L404" s="5" t="s">
        <v>40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.6">
      <c r="A405" s="13">
        <v>2023</v>
      </c>
      <c r="B405" s="3" t="s">
        <v>49</v>
      </c>
      <c r="C405" s="32">
        <v>45023</v>
      </c>
      <c r="D405" s="3" t="s">
        <v>48</v>
      </c>
      <c r="E405" s="3" t="s">
        <v>542</v>
      </c>
      <c r="F405" s="32">
        <v>45023</v>
      </c>
      <c r="G405" s="3" t="s">
        <v>48</v>
      </c>
      <c r="H405" s="3" t="s">
        <v>542</v>
      </c>
      <c r="I405" s="3" t="s">
        <v>17</v>
      </c>
      <c r="J405" s="3">
        <v>1</v>
      </c>
      <c r="K405" s="3" t="s">
        <v>39</v>
      </c>
      <c r="L405" s="5" t="s">
        <v>40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.6">
      <c r="A406" s="13">
        <v>2023</v>
      </c>
      <c r="B406" s="3" t="s">
        <v>52</v>
      </c>
      <c r="C406" s="32">
        <v>45047</v>
      </c>
      <c r="D406" s="3" t="s">
        <v>35</v>
      </c>
      <c r="E406" s="3" t="s">
        <v>542</v>
      </c>
      <c r="F406" s="32">
        <v>45047</v>
      </c>
      <c r="G406" s="3" t="s">
        <v>35</v>
      </c>
      <c r="H406" s="3" t="s">
        <v>542</v>
      </c>
      <c r="I406" s="3" t="s">
        <v>17</v>
      </c>
      <c r="J406" s="3">
        <v>1</v>
      </c>
      <c r="K406" s="3" t="s">
        <v>39</v>
      </c>
      <c r="L406" s="5" t="s">
        <v>40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.6">
      <c r="A407" s="13">
        <v>2023</v>
      </c>
      <c r="B407" s="3" t="s">
        <v>54</v>
      </c>
      <c r="C407" s="32">
        <v>45064</v>
      </c>
      <c r="D407" s="3" t="s">
        <v>45</v>
      </c>
      <c r="E407" s="3" t="s">
        <v>543</v>
      </c>
      <c r="F407" s="32">
        <v>45068</v>
      </c>
      <c r="G407" s="3" t="s">
        <v>35</v>
      </c>
      <c r="H407" s="3" t="s">
        <v>543</v>
      </c>
      <c r="I407" s="3" t="s">
        <v>17</v>
      </c>
      <c r="J407" s="3">
        <v>1</v>
      </c>
      <c r="K407" s="3" t="s">
        <v>39</v>
      </c>
      <c r="L407" s="5" t="s">
        <v>40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.6">
      <c r="A408" s="13">
        <v>2023</v>
      </c>
      <c r="B408" s="3" t="s">
        <v>56</v>
      </c>
      <c r="C408" s="32">
        <v>45085</v>
      </c>
      <c r="D408" s="3" t="s">
        <v>45</v>
      </c>
      <c r="E408" s="3" t="s">
        <v>543</v>
      </c>
      <c r="F408" s="32">
        <v>45089</v>
      </c>
      <c r="G408" s="3" t="s">
        <v>35</v>
      </c>
      <c r="H408" s="3" t="s">
        <v>543</v>
      </c>
      <c r="I408" s="3" t="s">
        <v>17</v>
      </c>
      <c r="J408" s="3">
        <v>1</v>
      </c>
      <c r="K408" s="3" t="s">
        <v>39</v>
      </c>
      <c r="L408" s="5" t="s">
        <v>40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.6">
      <c r="A409" s="13">
        <v>2023</v>
      </c>
      <c r="B409" s="3" t="s">
        <v>58</v>
      </c>
      <c r="C409" s="32">
        <v>45093</v>
      </c>
      <c r="D409" s="3" t="s">
        <v>48</v>
      </c>
      <c r="E409" s="3" t="s">
        <v>543</v>
      </c>
      <c r="F409" s="32">
        <v>45096</v>
      </c>
      <c r="G409" s="3" t="s">
        <v>35</v>
      </c>
      <c r="H409" s="3" t="s">
        <v>543</v>
      </c>
      <c r="I409" s="3" t="s">
        <v>17</v>
      </c>
      <c r="J409" s="3">
        <v>1</v>
      </c>
      <c r="K409" s="3" t="s">
        <v>39</v>
      </c>
      <c r="L409" s="5" t="s">
        <v>40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.6">
      <c r="A410" s="13">
        <v>2023</v>
      </c>
      <c r="B410" s="3" t="s">
        <v>60</v>
      </c>
      <c r="C410" s="32">
        <v>45106</v>
      </c>
      <c r="D410" s="3" t="s">
        <v>45</v>
      </c>
      <c r="E410" s="3" t="s">
        <v>543</v>
      </c>
      <c r="F410" s="32">
        <v>45110</v>
      </c>
      <c r="G410" s="3" t="s">
        <v>35</v>
      </c>
      <c r="H410" s="3" t="s">
        <v>543</v>
      </c>
      <c r="I410" s="3" t="s">
        <v>19</v>
      </c>
      <c r="J410" s="3">
        <v>1</v>
      </c>
      <c r="K410" s="3" t="s">
        <v>39</v>
      </c>
      <c r="L410" s="5" t="s">
        <v>40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.6">
      <c r="A411" s="13">
        <v>2023</v>
      </c>
      <c r="B411" s="3" t="s">
        <v>62</v>
      </c>
      <c r="C411" s="32">
        <v>45127</v>
      </c>
      <c r="D411" s="3" t="s">
        <v>45</v>
      </c>
      <c r="E411" s="3" t="s">
        <v>542</v>
      </c>
      <c r="F411" s="32">
        <v>45127</v>
      </c>
      <c r="G411" s="3" t="s">
        <v>45</v>
      </c>
      <c r="H411" s="3" t="s">
        <v>542</v>
      </c>
      <c r="I411" s="3" t="s">
        <v>19</v>
      </c>
      <c r="J411" s="3">
        <v>1</v>
      </c>
      <c r="K411" s="3" t="s">
        <v>39</v>
      </c>
      <c r="L411" s="5" t="s">
        <v>40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.6">
      <c r="A412" s="13">
        <v>2023</v>
      </c>
      <c r="B412" s="3" t="s">
        <v>64</v>
      </c>
      <c r="C412" s="32">
        <v>45145</v>
      </c>
      <c r="D412" s="3" t="s">
        <v>35</v>
      </c>
      <c r="E412" s="3" t="s">
        <v>542</v>
      </c>
      <c r="F412" s="32">
        <v>45145</v>
      </c>
      <c r="G412" s="3" t="s">
        <v>35</v>
      </c>
      <c r="H412" s="3" t="s">
        <v>542</v>
      </c>
      <c r="I412" s="3" t="s">
        <v>19</v>
      </c>
      <c r="J412" s="3">
        <v>1</v>
      </c>
      <c r="K412" s="3" t="s">
        <v>39</v>
      </c>
      <c r="L412" s="5" t="s">
        <v>40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.6">
      <c r="A413" s="13">
        <v>2023</v>
      </c>
      <c r="B413" s="3" t="s">
        <v>66</v>
      </c>
      <c r="C413" s="32">
        <v>45153</v>
      </c>
      <c r="D413" s="3" t="s">
        <v>51</v>
      </c>
      <c r="E413" s="3" t="s">
        <v>543</v>
      </c>
      <c r="F413" s="32">
        <v>45159</v>
      </c>
      <c r="G413" s="3" t="s">
        <v>35</v>
      </c>
      <c r="H413" s="3" t="s">
        <v>543</v>
      </c>
      <c r="I413" s="3" t="s">
        <v>19</v>
      </c>
      <c r="J413" s="3">
        <v>1</v>
      </c>
      <c r="K413" s="3" t="s">
        <v>39</v>
      </c>
      <c r="L413" s="5" t="s">
        <v>40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.6">
      <c r="A414" s="13">
        <v>2023</v>
      </c>
      <c r="B414" s="3" t="s">
        <v>68</v>
      </c>
      <c r="C414" s="32">
        <v>45211</v>
      </c>
      <c r="D414" s="3" t="s">
        <v>45</v>
      </c>
      <c r="E414" s="3" t="s">
        <v>543</v>
      </c>
      <c r="F414" s="32">
        <v>45215</v>
      </c>
      <c r="G414" s="3" t="s">
        <v>35</v>
      </c>
      <c r="H414" s="3" t="s">
        <v>543</v>
      </c>
      <c r="I414" s="3" t="s">
        <v>20</v>
      </c>
      <c r="J414" s="3">
        <v>1</v>
      </c>
      <c r="K414" s="3" t="s">
        <v>39</v>
      </c>
      <c r="L414" s="5" t="s">
        <v>40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.6">
      <c r="A415" s="13">
        <v>2023</v>
      </c>
      <c r="B415" s="3" t="s">
        <v>70</v>
      </c>
      <c r="C415" s="32">
        <v>45231</v>
      </c>
      <c r="D415" s="3" t="s">
        <v>84</v>
      </c>
      <c r="E415" s="3" t="s">
        <v>543</v>
      </c>
      <c r="F415" s="32">
        <v>45236</v>
      </c>
      <c r="G415" s="3" t="s">
        <v>35</v>
      </c>
      <c r="H415" s="3" t="s">
        <v>543</v>
      </c>
      <c r="I415" s="3" t="s">
        <v>20</v>
      </c>
      <c r="J415" s="3">
        <v>1</v>
      </c>
      <c r="K415" s="3" t="s">
        <v>39</v>
      </c>
      <c r="L415" s="5" t="s">
        <v>40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.6">
      <c r="A416" s="13">
        <v>2023</v>
      </c>
      <c r="B416" s="3" t="s">
        <v>72</v>
      </c>
      <c r="C416" s="32">
        <v>45241</v>
      </c>
      <c r="D416" s="3" t="s">
        <v>74</v>
      </c>
      <c r="E416" s="3" t="s">
        <v>543</v>
      </c>
      <c r="F416" s="32">
        <v>45243</v>
      </c>
      <c r="G416" s="3" t="s">
        <v>35</v>
      </c>
      <c r="H416" s="3" t="s">
        <v>543</v>
      </c>
      <c r="I416" s="3" t="s">
        <v>20</v>
      </c>
      <c r="J416" s="3">
        <v>1</v>
      </c>
      <c r="K416" s="3" t="s">
        <v>39</v>
      </c>
      <c r="L416" s="5" t="s">
        <v>40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.6">
      <c r="A417" s="13">
        <v>2023</v>
      </c>
      <c r="B417" s="3" t="s">
        <v>75</v>
      </c>
      <c r="C417" s="32">
        <v>45268</v>
      </c>
      <c r="D417" s="3" t="s">
        <v>48</v>
      </c>
      <c r="E417" s="3" t="s">
        <v>542</v>
      </c>
      <c r="F417" s="32">
        <v>45268</v>
      </c>
      <c r="G417" s="3" t="s">
        <v>48</v>
      </c>
      <c r="H417" s="3" t="s">
        <v>542</v>
      </c>
      <c r="I417" s="3" t="s">
        <v>20</v>
      </c>
      <c r="J417" s="3">
        <v>1</v>
      </c>
      <c r="K417" s="3" t="s">
        <v>39</v>
      </c>
      <c r="L417" s="5" t="s">
        <v>40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.6">
      <c r="A418" s="13">
        <v>2023</v>
      </c>
      <c r="B418" s="3" t="s">
        <v>77</v>
      </c>
      <c r="C418" s="32">
        <v>45285</v>
      </c>
      <c r="D418" s="3" t="s">
        <v>35</v>
      </c>
      <c r="E418" s="3" t="s">
        <v>542</v>
      </c>
      <c r="F418" s="32">
        <v>45285</v>
      </c>
      <c r="G418" s="3" t="s">
        <v>35</v>
      </c>
      <c r="H418" s="3" t="s">
        <v>542</v>
      </c>
      <c r="I418" s="3" t="s">
        <v>20</v>
      </c>
      <c r="J418" s="3">
        <v>1</v>
      </c>
      <c r="K418" s="3" t="s">
        <v>39</v>
      </c>
      <c r="L418" s="5" t="s">
        <v>40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.6">
      <c r="A419" s="13">
        <v>2024</v>
      </c>
      <c r="B419" s="3" t="s">
        <v>36</v>
      </c>
      <c r="C419" s="32">
        <v>45292</v>
      </c>
      <c r="D419" s="3" t="s">
        <v>35</v>
      </c>
      <c r="E419" s="3" t="s">
        <v>542</v>
      </c>
      <c r="F419" s="32">
        <v>45292</v>
      </c>
      <c r="G419" s="3" t="s">
        <v>35</v>
      </c>
      <c r="H419" s="3" t="s">
        <v>542</v>
      </c>
      <c r="I419" s="3" t="s">
        <v>15</v>
      </c>
      <c r="J419" s="3">
        <v>1</v>
      </c>
      <c r="K419" s="3" t="s">
        <v>39</v>
      </c>
      <c r="L419" s="5" t="s">
        <v>40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.6">
      <c r="A420" s="13">
        <v>2024</v>
      </c>
      <c r="B420" s="3" t="s">
        <v>41</v>
      </c>
      <c r="C420" s="32">
        <v>45297</v>
      </c>
      <c r="D420" s="3" t="s">
        <v>74</v>
      </c>
      <c r="E420" s="3" t="s">
        <v>543</v>
      </c>
      <c r="F420" s="32">
        <v>45299</v>
      </c>
      <c r="G420" s="3" t="s">
        <v>35</v>
      </c>
      <c r="H420" s="3" t="s">
        <v>543</v>
      </c>
      <c r="I420" s="3" t="s">
        <v>15</v>
      </c>
      <c r="J420" s="3">
        <v>1</v>
      </c>
      <c r="K420" s="3" t="s">
        <v>39</v>
      </c>
      <c r="L420" s="5" t="s">
        <v>40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.6">
      <c r="A421" s="13">
        <v>2024</v>
      </c>
      <c r="B421" s="3" t="s">
        <v>43</v>
      </c>
      <c r="C421" s="32">
        <v>45370</v>
      </c>
      <c r="D421" s="3" t="s">
        <v>51</v>
      </c>
      <c r="E421" s="3" t="s">
        <v>543</v>
      </c>
      <c r="F421" s="32">
        <v>45376</v>
      </c>
      <c r="G421" s="3" t="s">
        <v>35</v>
      </c>
      <c r="H421" s="3" t="s">
        <v>543</v>
      </c>
      <c r="I421" s="3" t="s">
        <v>15</v>
      </c>
      <c r="J421" s="3">
        <v>1</v>
      </c>
      <c r="K421" s="3" t="s">
        <v>39</v>
      </c>
      <c r="L421" s="5" t="s">
        <v>40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.6">
      <c r="A422" s="13">
        <v>2024</v>
      </c>
      <c r="B422" s="3" t="s">
        <v>46</v>
      </c>
      <c r="C422" s="32">
        <v>45379</v>
      </c>
      <c r="D422" s="3" t="s">
        <v>45</v>
      </c>
      <c r="E422" s="3" t="s">
        <v>542</v>
      </c>
      <c r="F422" s="32">
        <v>45379</v>
      </c>
      <c r="G422" s="3" t="s">
        <v>45</v>
      </c>
      <c r="H422" s="3" t="s">
        <v>542</v>
      </c>
      <c r="I422" s="3" t="s">
        <v>15</v>
      </c>
      <c r="J422" s="3">
        <v>1</v>
      </c>
      <c r="K422" s="3" t="s">
        <v>39</v>
      </c>
      <c r="L422" s="5" t="s">
        <v>40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.6">
      <c r="A423" s="13">
        <v>2024</v>
      </c>
      <c r="B423" s="3" t="s">
        <v>49</v>
      </c>
      <c r="C423" s="32">
        <v>45380</v>
      </c>
      <c r="D423" s="3" t="s">
        <v>48</v>
      </c>
      <c r="E423" s="3" t="s">
        <v>542</v>
      </c>
      <c r="F423" s="32">
        <v>45380</v>
      </c>
      <c r="G423" s="3" t="s">
        <v>48</v>
      </c>
      <c r="H423" s="3" t="s">
        <v>542</v>
      </c>
      <c r="I423" s="3" t="s">
        <v>15</v>
      </c>
      <c r="J423" s="3">
        <v>1</v>
      </c>
      <c r="K423" s="3" t="s">
        <v>39</v>
      </c>
      <c r="L423" s="5" t="s">
        <v>40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.6">
      <c r="A424" s="13">
        <v>2024</v>
      </c>
      <c r="B424" s="3" t="s">
        <v>52</v>
      </c>
      <c r="C424" s="32">
        <v>45413</v>
      </c>
      <c r="D424" s="3" t="s">
        <v>84</v>
      </c>
      <c r="E424" s="3" t="s">
        <v>542</v>
      </c>
      <c r="F424" s="32">
        <v>45413</v>
      </c>
      <c r="G424" s="3" t="s">
        <v>84</v>
      </c>
      <c r="H424" s="3" t="s">
        <v>542</v>
      </c>
      <c r="I424" s="3" t="s">
        <v>17</v>
      </c>
      <c r="J424" s="3">
        <v>1</v>
      </c>
      <c r="K424" s="3" t="s">
        <v>39</v>
      </c>
      <c r="L424" s="5" t="s">
        <v>40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.6">
      <c r="A425" s="13">
        <v>2024</v>
      </c>
      <c r="B425" s="3" t="s">
        <v>54</v>
      </c>
      <c r="C425" s="32">
        <v>45421</v>
      </c>
      <c r="D425" s="3" t="s">
        <v>45</v>
      </c>
      <c r="E425" s="3" t="s">
        <v>543</v>
      </c>
      <c r="F425" s="32">
        <v>45425</v>
      </c>
      <c r="G425" s="3" t="s">
        <v>35</v>
      </c>
      <c r="H425" s="3" t="s">
        <v>543</v>
      </c>
      <c r="I425" s="3" t="s">
        <v>17</v>
      </c>
      <c r="J425" s="3">
        <v>1</v>
      </c>
      <c r="K425" s="3" t="s">
        <v>39</v>
      </c>
      <c r="L425" s="5" t="s">
        <v>40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.6">
      <c r="A426" s="13">
        <v>2024</v>
      </c>
      <c r="B426" s="3" t="s">
        <v>56</v>
      </c>
      <c r="C426" s="32">
        <v>45442</v>
      </c>
      <c r="D426" s="3" t="s">
        <v>45</v>
      </c>
      <c r="E426" s="3" t="s">
        <v>543</v>
      </c>
      <c r="F426" s="32">
        <v>45446</v>
      </c>
      <c r="G426" s="3" t="s">
        <v>35</v>
      </c>
      <c r="H426" s="3" t="s">
        <v>543</v>
      </c>
      <c r="I426" s="3" t="s">
        <v>17</v>
      </c>
      <c r="J426" s="3">
        <v>1</v>
      </c>
      <c r="K426" s="3" t="s">
        <v>39</v>
      </c>
      <c r="L426" s="5" t="s">
        <v>40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.6">
      <c r="A427" s="13">
        <v>2024</v>
      </c>
      <c r="B427" s="3" t="s">
        <v>58</v>
      </c>
      <c r="C427" s="32">
        <v>45450</v>
      </c>
      <c r="D427" s="3" t="s">
        <v>48</v>
      </c>
      <c r="E427" s="3" t="s">
        <v>543</v>
      </c>
      <c r="F427" s="32">
        <v>45453</v>
      </c>
      <c r="G427" s="3" t="s">
        <v>35</v>
      </c>
      <c r="H427" s="3" t="s">
        <v>543</v>
      </c>
      <c r="I427" s="3" t="s">
        <v>17</v>
      </c>
      <c r="J427" s="3">
        <v>1</v>
      </c>
      <c r="K427" s="3" t="s">
        <v>39</v>
      </c>
      <c r="L427" s="5" t="s">
        <v>40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.6">
      <c r="A428" s="13">
        <v>2024</v>
      </c>
      <c r="B428" s="3" t="s">
        <v>60</v>
      </c>
      <c r="C428" s="32">
        <v>45472</v>
      </c>
      <c r="D428" s="3" t="s">
        <v>74</v>
      </c>
      <c r="E428" s="3" t="s">
        <v>543</v>
      </c>
      <c r="F428" s="32">
        <v>45474</v>
      </c>
      <c r="G428" s="3" t="s">
        <v>35</v>
      </c>
      <c r="H428" s="3" t="s">
        <v>543</v>
      </c>
      <c r="I428" s="3" t="s">
        <v>19</v>
      </c>
      <c r="J428" s="3">
        <v>1</v>
      </c>
      <c r="K428" s="3" t="s">
        <v>39</v>
      </c>
      <c r="L428" s="5" t="s">
        <v>40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.6">
      <c r="A429" s="13">
        <v>2024</v>
      </c>
      <c r="B429" s="3" t="s">
        <v>62</v>
      </c>
      <c r="C429" s="32">
        <v>45493</v>
      </c>
      <c r="D429" s="3" t="s">
        <v>74</v>
      </c>
      <c r="E429" s="3" t="s">
        <v>542</v>
      </c>
      <c r="F429" s="32">
        <v>45493</v>
      </c>
      <c r="G429" s="3" t="s">
        <v>74</v>
      </c>
      <c r="H429" s="3" t="s">
        <v>542</v>
      </c>
      <c r="I429" s="3" t="s">
        <v>19</v>
      </c>
      <c r="J429" s="3">
        <v>1</v>
      </c>
      <c r="K429" s="3" t="s">
        <v>39</v>
      </c>
      <c r="L429" s="5" t="s">
        <v>40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.6">
      <c r="A430" s="13">
        <v>2024</v>
      </c>
      <c r="B430" s="3" t="s">
        <v>64</v>
      </c>
      <c r="C430" s="32">
        <v>45511</v>
      </c>
      <c r="D430" s="3" t="s">
        <v>84</v>
      </c>
      <c r="E430" s="3" t="s">
        <v>542</v>
      </c>
      <c r="F430" s="32">
        <v>45511</v>
      </c>
      <c r="G430" s="3" t="s">
        <v>84</v>
      </c>
      <c r="H430" s="3" t="s">
        <v>542</v>
      </c>
      <c r="I430" s="3" t="s">
        <v>19</v>
      </c>
      <c r="J430" s="3">
        <v>1</v>
      </c>
      <c r="K430" s="3" t="s">
        <v>39</v>
      </c>
      <c r="L430" s="5" t="s">
        <v>40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.6">
      <c r="A431" s="13">
        <v>2024</v>
      </c>
      <c r="B431" s="3" t="s">
        <v>66</v>
      </c>
      <c r="C431" s="32">
        <v>45519</v>
      </c>
      <c r="D431" s="3" t="s">
        <v>45</v>
      </c>
      <c r="E431" s="3" t="s">
        <v>543</v>
      </c>
      <c r="F431" s="32">
        <v>45523</v>
      </c>
      <c r="G431" s="3" t="s">
        <v>35</v>
      </c>
      <c r="H431" s="3" t="s">
        <v>543</v>
      </c>
      <c r="I431" s="3" t="s">
        <v>19</v>
      </c>
      <c r="J431" s="3">
        <v>1</v>
      </c>
      <c r="K431" s="3" t="s">
        <v>39</v>
      </c>
      <c r="L431" s="5" t="s">
        <v>40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.6">
      <c r="A432" s="13">
        <v>2024</v>
      </c>
      <c r="B432" s="3" t="s">
        <v>68</v>
      </c>
      <c r="C432" s="32">
        <v>45577</v>
      </c>
      <c r="D432" s="3" t="s">
        <v>74</v>
      </c>
      <c r="E432" s="3" t="s">
        <v>543</v>
      </c>
      <c r="F432" s="32">
        <v>45579</v>
      </c>
      <c r="G432" s="3" t="s">
        <v>35</v>
      </c>
      <c r="H432" s="3" t="s">
        <v>543</v>
      </c>
      <c r="I432" s="3" t="s">
        <v>20</v>
      </c>
      <c r="J432" s="3">
        <v>1</v>
      </c>
      <c r="K432" s="3" t="s">
        <v>39</v>
      </c>
      <c r="L432" s="5" t="s">
        <v>40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.6">
      <c r="A433" s="13">
        <v>2024</v>
      </c>
      <c r="B433" s="3" t="s">
        <v>70</v>
      </c>
      <c r="C433" s="32">
        <v>45597</v>
      </c>
      <c r="D433" s="3" t="s">
        <v>48</v>
      </c>
      <c r="E433" s="3" t="s">
        <v>543</v>
      </c>
      <c r="F433" s="32">
        <v>45600</v>
      </c>
      <c r="G433" s="3" t="s">
        <v>35</v>
      </c>
      <c r="H433" s="3" t="s">
        <v>543</v>
      </c>
      <c r="I433" s="3" t="s">
        <v>20</v>
      </c>
      <c r="J433" s="3">
        <v>1</v>
      </c>
      <c r="K433" s="3" t="s">
        <v>39</v>
      </c>
      <c r="L433" s="5" t="s">
        <v>40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.6">
      <c r="A434" s="13">
        <v>2024</v>
      </c>
      <c r="B434" s="3" t="s">
        <v>72</v>
      </c>
      <c r="C434" s="32">
        <v>45607</v>
      </c>
      <c r="D434" s="3" t="s">
        <v>35</v>
      </c>
      <c r="E434" s="3" t="s">
        <v>543</v>
      </c>
      <c r="F434" s="32">
        <v>45607</v>
      </c>
      <c r="G434" s="3" t="s">
        <v>35</v>
      </c>
      <c r="H434" s="3" t="s">
        <v>542</v>
      </c>
      <c r="I434" s="3" t="s">
        <v>20</v>
      </c>
      <c r="J434" s="3">
        <v>1</v>
      </c>
      <c r="K434" s="3" t="s">
        <v>39</v>
      </c>
      <c r="L434" s="5" t="s">
        <v>40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.6">
      <c r="A435" s="13">
        <v>2024</v>
      </c>
      <c r="B435" s="3" t="s">
        <v>75</v>
      </c>
      <c r="C435" s="32">
        <v>45634</v>
      </c>
      <c r="D435" s="3" t="s">
        <v>96</v>
      </c>
      <c r="E435" s="3" t="s">
        <v>542</v>
      </c>
      <c r="F435" s="32">
        <v>45634</v>
      </c>
      <c r="G435" s="3" t="s">
        <v>96</v>
      </c>
      <c r="H435" s="3" t="s">
        <v>542</v>
      </c>
      <c r="I435" s="3" t="s">
        <v>20</v>
      </c>
      <c r="J435" s="3">
        <v>0</v>
      </c>
      <c r="K435" s="3" t="s">
        <v>39</v>
      </c>
      <c r="L435" s="5" t="s">
        <v>40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.6">
      <c r="A436" s="13">
        <v>2024</v>
      </c>
      <c r="B436" s="3" t="s">
        <v>77</v>
      </c>
      <c r="C436" s="32">
        <v>45651</v>
      </c>
      <c r="D436" s="3" t="s">
        <v>84</v>
      </c>
      <c r="E436" s="3" t="s">
        <v>542</v>
      </c>
      <c r="F436" s="32">
        <v>45651</v>
      </c>
      <c r="G436" s="3" t="s">
        <v>84</v>
      </c>
      <c r="H436" s="3" t="s">
        <v>542</v>
      </c>
      <c r="I436" s="3" t="s">
        <v>20</v>
      </c>
      <c r="J436" s="3">
        <v>1</v>
      </c>
      <c r="K436" s="3" t="s">
        <v>39</v>
      </c>
      <c r="L436" s="5" t="s">
        <v>40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.6">
      <c r="A437" s="13">
        <v>2025</v>
      </c>
      <c r="B437" s="3" t="s">
        <v>36</v>
      </c>
      <c r="C437" s="32">
        <v>45658</v>
      </c>
      <c r="D437" s="3" t="s">
        <v>84</v>
      </c>
      <c r="E437" s="3" t="s">
        <v>542</v>
      </c>
      <c r="F437" s="32">
        <v>45658</v>
      </c>
      <c r="G437" s="3" t="s">
        <v>84</v>
      </c>
      <c r="H437" s="3" t="s">
        <v>542</v>
      </c>
      <c r="I437" s="3" t="s">
        <v>15</v>
      </c>
      <c r="J437" s="3">
        <v>1</v>
      </c>
      <c r="K437" s="3" t="s">
        <v>39</v>
      </c>
      <c r="L437" s="5" t="s">
        <v>40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.6">
      <c r="A438" s="13">
        <v>2025</v>
      </c>
      <c r="B438" s="3" t="s">
        <v>41</v>
      </c>
      <c r="C438" s="32">
        <v>45663</v>
      </c>
      <c r="D438" s="3" t="s">
        <v>35</v>
      </c>
      <c r="E438" s="3" t="s">
        <v>543</v>
      </c>
      <c r="F438" s="32">
        <v>45663</v>
      </c>
      <c r="G438" s="3" t="s">
        <v>35</v>
      </c>
      <c r="H438" s="3" t="s">
        <v>542</v>
      </c>
      <c r="I438" s="3" t="s">
        <v>15</v>
      </c>
      <c r="J438" s="3">
        <v>1</v>
      </c>
      <c r="K438" s="3" t="s">
        <v>39</v>
      </c>
      <c r="L438" s="5" t="s">
        <v>40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.6">
      <c r="A439" s="13">
        <v>2025</v>
      </c>
      <c r="B439" s="3" t="s">
        <v>43</v>
      </c>
      <c r="C439" s="32">
        <v>45735</v>
      </c>
      <c r="D439" s="3" t="s">
        <v>84</v>
      </c>
      <c r="E439" s="3" t="s">
        <v>543</v>
      </c>
      <c r="F439" s="32">
        <v>45740</v>
      </c>
      <c r="G439" s="3" t="s">
        <v>35</v>
      </c>
      <c r="H439" s="3" t="s">
        <v>543</v>
      </c>
      <c r="I439" s="3" t="s">
        <v>15</v>
      </c>
      <c r="J439" s="3">
        <v>1</v>
      </c>
      <c r="K439" s="3" t="s">
        <v>39</v>
      </c>
      <c r="L439" s="5" t="s">
        <v>40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.6">
      <c r="A440" s="13">
        <v>2025</v>
      </c>
      <c r="B440" s="3" t="s">
        <v>46</v>
      </c>
      <c r="C440" s="32">
        <v>45764</v>
      </c>
      <c r="D440" s="3" t="s">
        <v>45</v>
      </c>
      <c r="E440" s="3" t="s">
        <v>542</v>
      </c>
      <c r="F440" s="32">
        <v>45764</v>
      </c>
      <c r="G440" s="3" t="s">
        <v>45</v>
      </c>
      <c r="H440" s="3" t="s">
        <v>542</v>
      </c>
      <c r="I440" s="3" t="s">
        <v>17</v>
      </c>
      <c r="J440" s="3">
        <v>1</v>
      </c>
      <c r="K440" s="3" t="s">
        <v>39</v>
      </c>
      <c r="L440" s="5" t="s">
        <v>40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.6">
      <c r="A441" s="13">
        <v>2025</v>
      </c>
      <c r="B441" s="3" t="s">
        <v>49</v>
      </c>
      <c r="C441" s="32">
        <v>45765</v>
      </c>
      <c r="D441" s="3" t="s">
        <v>48</v>
      </c>
      <c r="E441" s="3" t="s">
        <v>542</v>
      </c>
      <c r="F441" s="32">
        <v>45765</v>
      </c>
      <c r="G441" s="3" t="s">
        <v>48</v>
      </c>
      <c r="H441" s="3" t="s">
        <v>542</v>
      </c>
      <c r="I441" s="3" t="s">
        <v>17</v>
      </c>
      <c r="J441" s="3">
        <v>1</v>
      </c>
      <c r="K441" s="3" t="s">
        <v>39</v>
      </c>
      <c r="L441" s="5" t="s">
        <v>40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.6">
      <c r="A442" s="13">
        <v>2025</v>
      </c>
      <c r="B442" s="3" t="s">
        <v>52</v>
      </c>
      <c r="C442" s="32">
        <v>45778</v>
      </c>
      <c r="D442" s="3" t="s">
        <v>45</v>
      </c>
      <c r="E442" s="3" t="s">
        <v>542</v>
      </c>
      <c r="F442" s="32">
        <v>45778</v>
      </c>
      <c r="G442" s="3" t="s">
        <v>45</v>
      </c>
      <c r="H442" s="3" t="s">
        <v>542</v>
      </c>
      <c r="I442" s="3" t="s">
        <v>17</v>
      </c>
      <c r="J442" s="3">
        <v>1</v>
      </c>
      <c r="K442" s="3" t="s">
        <v>39</v>
      </c>
      <c r="L442" s="5" t="s">
        <v>40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.6">
      <c r="A443" s="13">
        <v>2025</v>
      </c>
      <c r="B443" s="3" t="s">
        <v>54</v>
      </c>
      <c r="C443" s="32">
        <v>45806</v>
      </c>
      <c r="D443" s="3" t="s">
        <v>45</v>
      </c>
      <c r="E443" s="3" t="s">
        <v>543</v>
      </c>
      <c r="F443" s="32">
        <v>45810</v>
      </c>
      <c r="G443" s="3" t="s">
        <v>35</v>
      </c>
      <c r="H443" s="3" t="s">
        <v>543</v>
      </c>
      <c r="I443" s="3" t="s">
        <v>17</v>
      </c>
      <c r="J443" s="3">
        <v>1</v>
      </c>
      <c r="K443" s="3" t="s">
        <v>39</v>
      </c>
      <c r="L443" s="5" t="s">
        <v>40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.6">
      <c r="A444" s="13">
        <v>2025</v>
      </c>
      <c r="B444" s="3" t="s">
        <v>56</v>
      </c>
      <c r="C444" s="32">
        <v>45827</v>
      </c>
      <c r="D444" s="3" t="s">
        <v>45</v>
      </c>
      <c r="E444" s="3" t="s">
        <v>543</v>
      </c>
      <c r="F444" s="32">
        <v>45831</v>
      </c>
      <c r="G444" s="3" t="s">
        <v>35</v>
      </c>
      <c r="H444" s="3" t="s">
        <v>543</v>
      </c>
      <c r="I444" s="3" t="s">
        <v>17</v>
      </c>
      <c r="J444" s="3">
        <v>1</v>
      </c>
      <c r="K444" s="3" t="s">
        <v>39</v>
      </c>
      <c r="L444" s="5" t="s">
        <v>40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.6">
      <c r="A445" s="13">
        <v>2025</v>
      </c>
      <c r="B445" s="3" t="s">
        <v>58</v>
      </c>
      <c r="C445" s="32">
        <v>45835</v>
      </c>
      <c r="D445" s="3" t="s">
        <v>48</v>
      </c>
      <c r="E445" s="3" t="s">
        <v>543</v>
      </c>
      <c r="F445" s="32">
        <v>45838</v>
      </c>
      <c r="G445" s="3" t="s">
        <v>35</v>
      </c>
      <c r="H445" s="3" t="s">
        <v>543</v>
      </c>
      <c r="I445" s="3" t="s">
        <v>17</v>
      </c>
      <c r="J445" s="3">
        <v>1</v>
      </c>
      <c r="K445" s="3" t="s">
        <v>39</v>
      </c>
      <c r="L445" s="5" t="s">
        <v>40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.6">
      <c r="A446" s="13">
        <v>2025</v>
      </c>
      <c r="B446" s="3" t="s">
        <v>60</v>
      </c>
      <c r="C446" s="32">
        <v>45837</v>
      </c>
      <c r="D446" s="3" t="s">
        <v>96</v>
      </c>
      <c r="E446" s="3" t="s">
        <v>543</v>
      </c>
      <c r="F446" s="32">
        <v>45838</v>
      </c>
      <c r="G446" s="3" t="s">
        <v>35</v>
      </c>
      <c r="H446" s="3" t="s">
        <v>543</v>
      </c>
      <c r="I446" s="3" t="s">
        <v>17</v>
      </c>
      <c r="J446" s="3">
        <v>1</v>
      </c>
      <c r="K446" s="3" t="s">
        <v>39</v>
      </c>
      <c r="L446" s="5" t="s">
        <v>40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.6">
      <c r="A447" s="13">
        <v>2025</v>
      </c>
      <c r="B447" s="3" t="s">
        <v>62</v>
      </c>
      <c r="C447" s="32">
        <v>45858</v>
      </c>
      <c r="D447" s="3" t="s">
        <v>96</v>
      </c>
      <c r="E447" s="3" t="s">
        <v>542</v>
      </c>
      <c r="F447" s="32">
        <v>45858</v>
      </c>
      <c r="G447" s="3" t="s">
        <v>96</v>
      </c>
      <c r="H447" s="3" t="s">
        <v>542</v>
      </c>
      <c r="I447" s="3" t="s">
        <v>19</v>
      </c>
      <c r="J447" s="3">
        <v>0</v>
      </c>
      <c r="K447" s="3" t="s">
        <v>39</v>
      </c>
      <c r="L447" s="5" t="s">
        <v>40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.6">
      <c r="A448" s="13">
        <v>2025</v>
      </c>
      <c r="B448" s="3" t="s">
        <v>64</v>
      </c>
      <c r="C448" s="32">
        <v>45876</v>
      </c>
      <c r="D448" s="3" t="s">
        <v>45</v>
      </c>
      <c r="E448" s="3" t="s">
        <v>542</v>
      </c>
      <c r="F448" s="32">
        <v>45876</v>
      </c>
      <c r="G448" s="3" t="s">
        <v>45</v>
      </c>
      <c r="H448" s="3" t="s">
        <v>542</v>
      </c>
      <c r="I448" s="3" t="s">
        <v>19</v>
      </c>
      <c r="J448" s="3">
        <v>1</v>
      </c>
      <c r="K448" s="3" t="s">
        <v>39</v>
      </c>
      <c r="L448" s="5" t="s">
        <v>40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.6">
      <c r="A449" s="13">
        <v>2025</v>
      </c>
      <c r="B449" s="3" t="s">
        <v>66</v>
      </c>
      <c r="C449" s="32">
        <v>45884</v>
      </c>
      <c r="D449" s="3" t="s">
        <v>48</v>
      </c>
      <c r="E449" s="3" t="s">
        <v>543</v>
      </c>
      <c r="F449" s="32">
        <v>45887</v>
      </c>
      <c r="G449" s="3" t="s">
        <v>35</v>
      </c>
      <c r="H449" s="3" t="s">
        <v>543</v>
      </c>
      <c r="I449" s="3" t="s">
        <v>19</v>
      </c>
      <c r="J449" s="3">
        <v>1</v>
      </c>
      <c r="K449" s="3" t="s">
        <v>39</v>
      </c>
      <c r="L449" s="5" t="s">
        <v>40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.6">
      <c r="A450" s="13">
        <v>2025</v>
      </c>
      <c r="B450" s="3" t="s">
        <v>68</v>
      </c>
      <c r="C450" s="32">
        <v>45942</v>
      </c>
      <c r="D450" s="3" t="s">
        <v>96</v>
      </c>
      <c r="E450" s="3" t="s">
        <v>543</v>
      </c>
      <c r="F450" s="32">
        <v>45943</v>
      </c>
      <c r="G450" s="3" t="s">
        <v>35</v>
      </c>
      <c r="H450" s="3" t="s">
        <v>543</v>
      </c>
      <c r="I450" s="3" t="s">
        <v>20</v>
      </c>
      <c r="J450" s="3">
        <v>1</v>
      </c>
      <c r="K450" s="3" t="s">
        <v>39</v>
      </c>
      <c r="L450" s="5" t="s">
        <v>40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.6">
      <c r="A451" s="13">
        <v>2025</v>
      </c>
      <c r="B451" s="3" t="s">
        <v>70</v>
      </c>
      <c r="C451" s="32">
        <v>45962</v>
      </c>
      <c r="D451" s="3" t="s">
        <v>74</v>
      </c>
      <c r="E451" s="3" t="s">
        <v>543</v>
      </c>
      <c r="F451" s="32">
        <v>45964</v>
      </c>
      <c r="G451" s="3" t="s">
        <v>35</v>
      </c>
      <c r="H451" s="3" t="s">
        <v>543</v>
      </c>
      <c r="I451" s="3" t="s">
        <v>20</v>
      </c>
      <c r="J451" s="3">
        <v>1</v>
      </c>
      <c r="K451" s="3" t="s">
        <v>39</v>
      </c>
      <c r="L451" s="5" t="s">
        <v>40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.6">
      <c r="A452" s="13">
        <v>2025</v>
      </c>
      <c r="B452" s="3" t="s">
        <v>72</v>
      </c>
      <c r="C452" s="32">
        <v>45972</v>
      </c>
      <c r="D452" s="3" t="s">
        <v>51</v>
      </c>
      <c r="E452" s="3" t="s">
        <v>543</v>
      </c>
      <c r="F452" s="32">
        <v>45978</v>
      </c>
      <c r="G452" s="3" t="s">
        <v>35</v>
      </c>
      <c r="H452" s="3" t="s">
        <v>543</v>
      </c>
      <c r="I452" s="3" t="s">
        <v>20</v>
      </c>
      <c r="J452" s="3">
        <v>1</v>
      </c>
      <c r="K452" s="3" t="s">
        <v>39</v>
      </c>
      <c r="L452" s="5" t="s">
        <v>40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.6">
      <c r="A453" s="13">
        <v>2025</v>
      </c>
      <c r="B453" s="3" t="s">
        <v>75</v>
      </c>
      <c r="C453" s="32">
        <v>45999</v>
      </c>
      <c r="D453" s="3" t="s">
        <v>35</v>
      </c>
      <c r="E453" s="3" t="s">
        <v>542</v>
      </c>
      <c r="F453" s="32">
        <v>45999</v>
      </c>
      <c r="G453" s="3" t="s">
        <v>35</v>
      </c>
      <c r="H453" s="3" t="s">
        <v>542</v>
      </c>
      <c r="I453" s="3" t="s">
        <v>20</v>
      </c>
      <c r="J453" s="3">
        <v>1</v>
      </c>
      <c r="K453" s="3" t="s">
        <v>39</v>
      </c>
      <c r="L453" s="5" t="s">
        <v>40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.6">
      <c r="A454" s="13">
        <v>2025</v>
      </c>
      <c r="B454" s="3" t="s">
        <v>77</v>
      </c>
      <c r="C454" s="32">
        <v>46016</v>
      </c>
      <c r="D454" s="3" t="s">
        <v>45</v>
      </c>
      <c r="E454" s="3" t="s">
        <v>542</v>
      </c>
      <c r="F454" s="32">
        <v>46016</v>
      </c>
      <c r="G454" s="3" t="s">
        <v>45</v>
      </c>
      <c r="H454" s="3" t="s">
        <v>542</v>
      </c>
      <c r="I454" s="3" t="s">
        <v>20</v>
      </c>
      <c r="J454" s="3">
        <v>1</v>
      </c>
      <c r="K454" s="3" t="s">
        <v>39</v>
      </c>
      <c r="L454" s="5" t="s">
        <v>40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.6">
      <c r="A455" s="13">
        <v>2026</v>
      </c>
      <c r="B455" s="3" t="s">
        <v>36</v>
      </c>
      <c r="C455" s="32">
        <v>46023</v>
      </c>
      <c r="D455" s="3" t="s">
        <v>45</v>
      </c>
      <c r="E455" s="3" t="s">
        <v>542</v>
      </c>
      <c r="F455" s="32">
        <v>46023</v>
      </c>
      <c r="G455" s="3" t="s">
        <v>45</v>
      </c>
      <c r="H455" s="3" t="s">
        <v>542</v>
      </c>
      <c r="I455" s="3" t="s">
        <v>15</v>
      </c>
      <c r="J455" s="3">
        <v>1</v>
      </c>
      <c r="K455" s="3" t="s">
        <v>39</v>
      </c>
      <c r="L455" s="5" t="s">
        <v>40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.6">
      <c r="A456" s="13">
        <v>2026</v>
      </c>
      <c r="B456" s="3" t="s">
        <v>41</v>
      </c>
      <c r="C456" s="32">
        <v>46028</v>
      </c>
      <c r="D456" s="3" t="s">
        <v>51</v>
      </c>
      <c r="E456" s="3" t="s">
        <v>543</v>
      </c>
      <c r="F456" s="32">
        <v>46034</v>
      </c>
      <c r="G456" s="3" t="s">
        <v>35</v>
      </c>
      <c r="H456" s="3" t="s">
        <v>543</v>
      </c>
      <c r="I456" s="3" t="s">
        <v>15</v>
      </c>
      <c r="J456" s="3">
        <v>1</v>
      </c>
      <c r="K456" s="3" t="s">
        <v>39</v>
      </c>
      <c r="L456" s="5" t="s">
        <v>40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.6">
      <c r="A457" s="13">
        <v>2026</v>
      </c>
      <c r="B457" s="3" t="s">
        <v>43</v>
      </c>
      <c r="C457" s="32">
        <v>46100</v>
      </c>
      <c r="D457" s="3" t="s">
        <v>45</v>
      </c>
      <c r="E457" s="3" t="s">
        <v>543</v>
      </c>
      <c r="F457" s="32">
        <v>46104</v>
      </c>
      <c r="G457" s="3" t="s">
        <v>35</v>
      </c>
      <c r="H457" s="3" t="s">
        <v>543</v>
      </c>
      <c r="I457" s="3" t="s">
        <v>15</v>
      </c>
      <c r="J457" s="3">
        <v>1</v>
      </c>
      <c r="K457" s="3" t="s">
        <v>39</v>
      </c>
      <c r="L457" s="5" t="s">
        <v>40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.6">
      <c r="A458" s="13">
        <v>2026</v>
      </c>
      <c r="B458" s="3" t="s">
        <v>46</v>
      </c>
      <c r="C458" s="32">
        <v>46114</v>
      </c>
      <c r="D458" s="3" t="s">
        <v>45</v>
      </c>
      <c r="E458" s="3" t="s">
        <v>542</v>
      </c>
      <c r="F458" s="32">
        <v>46114</v>
      </c>
      <c r="G458" s="3" t="s">
        <v>45</v>
      </c>
      <c r="H458" s="3" t="s">
        <v>542</v>
      </c>
      <c r="I458" s="3" t="s">
        <v>17</v>
      </c>
      <c r="J458" s="3">
        <v>1</v>
      </c>
      <c r="K458" s="3" t="s">
        <v>39</v>
      </c>
      <c r="L458" s="5" t="s">
        <v>40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.6">
      <c r="A459" s="13">
        <v>2026</v>
      </c>
      <c r="B459" s="3" t="s">
        <v>49</v>
      </c>
      <c r="C459" s="32">
        <v>46115</v>
      </c>
      <c r="D459" s="3" t="s">
        <v>48</v>
      </c>
      <c r="E459" s="3" t="s">
        <v>542</v>
      </c>
      <c r="F459" s="32">
        <v>46115</v>
      </c>
      <c r="G459" s="3" t="s">
        <v>48</v>
      </c>
      <c r="H459" s="3" t="s">
        <v>542</v>
      </c>
      <c r="I459" s="3" t="s">
        <v>17</v>
      </c>
      <c r="J459" s="3">
        <v>1</v>
      </c>
      <c r="K459" s="3" t="s">
        <v>39</v>
      </c>
      <c r="L459" s="5" t="s">
        <v>40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.6">
      <c r="A460" s="13">
        <v>2026</v>
      </c>
      <c r="B460" s="3" t="s">
        <v>52</v>
      </c>
      <c r="C460" s="32">
        <v>46143</v>
      </c>
      <c r="D460" s="3" t="s">
        <v>48</v>
      </c>
      <c r="E460" s="3" t="s">
        <v>542</v>
      </c>
      <c r="F460" s="32">
        <v>46143</v>
      </c>
      <c r="G460" s="3" t="s">
        <v>48</v>
      </c>
      <c r="H460" s="3" t="s">
        <v>542</v>
      </c>
      <c r="I460" s="3" t="s">
        <v>17</v>
      </c>
      <c r="J460" s="3">
        <v>1</v>
      </c>
      <c r="K460" s="3" t="s">
        <v>39</v>
      </c>
      <c r="L460" s="5" t="s">
        <v>40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.6">
      <c r="A461" s="13">
        <v>2026</v>
      </c>
      <c r="B461" s="3" t="s">
        <v>54</v>
      </c>
      <c r="C461" s="32">
        <v>46156</v>
      </c>
      <c r="D461" s="3" t="s">
        <v>45</v>
      </c>
      <c r="E461" s="3" t="s">
        <v>543</v>
      </c>
      <c r="F461" s="32">
        <v>46160</v>
      </c>
      <c r="G461" s="3" t="s">
        <v>35</v>
      </c>
      <c r="H461" s="3" t="s">
        <v>543</v>
      </c>
      <c r="I461" s="3" t="s">
        <v>17</v>
      </c>
      <c r="J461" s="3">
        <v>1</v>
      </c>
      <c r="K461" s="3" t="s">
        <v>39</v>
      </c>
      <c r="L461" s="5" t="s">
        <v>40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.6">
      <c r="A462" s="13">
        <v>2026</v>
      </c>
      <c r="B462" s="3" t="s">
        <v>56</v>
      </c>
      <c r="C462" s="32">
        <v>46177</v>
      </c>
      <c r="D462" s="3" t="s">
        <v>45</v>
      </c>
      <c r="E462" s="3" t="s">
        <v>543</v>
      </c>
      <c r="F462" s="32">
        <v>46181</v>
      </c>
      <c r="G462" s="3" t="s">
        <v>35</v>
      </c>
      <c r="H462" s="3" t="s">
        <v>543</v>
      </c>
      <c r="I462" s="3" t="s">
        <v>17</v>
      </c>
      <c r="J462" s="3">
        <v>1</v>
      </c>
      <c r="K462" s="3" t="s">
        <v>39</v>
      </c>
      <c r="L462" s="5" t="s">
        <v>40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.6">
      <c r="A463" s="13">
        <v>2026</v>
      </c>
      <c r="B463" s="3" t="s">
        <v>58</v>
      </c>
      <c r="C463" s="32">
        <v>46185</v>
      </c>
      <c r="D463" s="3" t="s">
        <v>48</v>
      </c>
      <c r="E463" s="3" t="s">
        <v>543</v>
      </c>
      <c r="F463" s="32">
        <v>46188</v>
      </c>
      <c r="G463" s="3" t="s">
        <v>35</v>
      </c>
      <c r="H463" s="3" t="s">
        <v>543</v>
      </c>
      <c r="I463" s="3" t="s">
        <v>17</v>
      </c>
      <c r="J463" s="3">
        <v>1</v>
      </c>
      <c r="K463" s="3" t="s">
        <v>39</v>
      </c>
      <c r="L463" s="5" t="s">
        <v>40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.6">
      <c r="A464" s="13">
        <v>2026</v>
      </c>
      <c r="B464" s="3" t="s">
        <v>60</v>
      </c>
      <c r="C464" s="32">
        <v>46202</v>
      </c>
      <c r="D464" s="3" t="s">
        <v>35</v>
      </c>
      <c r="E464" s="3" t="s">
        <v>543</v>
      </c>
      <c r="F464" s="32">
        <v>46202</v>
      </c>
      <c r="G464" s="3" t="s">
        <v>35</v>
      </c>
      <c r="H464" s="3" t="s">
        <v>542</v>
      </c>
      <c r="I464" s="3" t="s">
        <v>17</v>
      </c>
      <c r="J464" s="3">
        <v>1</v>
      </c>
      <c r="K464" s="3" t="s">
        <v>39</v>
      </c>
      <c r="L464" s="5" t="s">
        <v>40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41.4">
      <c r="A465" s="13">
        <v>2026</v>
      </c>
      <c r="B465" s="3" t="s">
        <v>519</v>
      </c>
      <c r="C465" s="32">
        <v>46212</v>
      </c>
      <c r="D465" s="3" t="s">
        <v>45</v>
      </c>
      <c r="E465" s="3" t="s">
        <v>543</v>
      </c>
      <c r="F465" s="32">
        <v>46216</v>
      </c>
      <c r="G465" s="3" t="s">
        <v>35</v>
      </c>
      <c r="H465" s="3" t="s">
        <v>543</v>
      </c>
      <c r="I465" s="3" t="s">
        <v>19</v>
      </c>
      <c r="J465" s="3">
        <v>1</v>
      </c>
      <c r="K465" s="3" t="s">
        <v>521</v>
      </c>
      <c r="L465" s="5" t="s">
        <v>522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.6">
      <c r="A466" s="13">
        <v>2026</v>
      </c>
      <c r="B466" s="3" t="s">
        <v>62</v>
      </c>
      <c r="C466" s="32">
        <v>46223</v>
      </c>
      <c r="D466" s="3" t="s">
        <v>35</v>
      </c>
      <c r="E466" s="3" t="s">
        <v>542</v>
      </c>
      <c r="F466" s="32">
        <v>46223</v>
      </c>
      <c r="G466" s="3" t="s">
        <v>35</v>
      </c>
      <c r="H466" s="3" t="s">
        <v>542</v>
      </c>
      <c r="I466" s="3" t="s">
        <v>19</v>
      </c>
      <c r="J466" s="3">
        <v>1</v>
      </c>
      <c r="K466" s="3" t="s">
        <v>39</v>
      </c>
      <c r="L466" s="5" t="s">
        <v>40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.6">
      <c r="A467" s="13">
        <v>2026</v>
      </c>
      <c r="B467" s="3" t="s">
        <v>64</v>
      </c>
      <c r="C467" s="32">
        <v>46241</v>
      </c>
      <c r="D467" s="3" t="s">
        <v>48</v>
      </c>
      <c r="E467" s="3" t="s">
        <v>542</v>
      </c>
      <c r="F467" s="32">
        <v>46241</v>
      </c>
      <c r="G467" s="3" t="s">
        <v>48</v>
      </c>
      <c r="H467" s="3" t="s">
        <v>542</v>
      </c>
      <c r="I467" s="3" t="s">
        <v>19</v>
      </c>
      <c r="J467" s="3">
        <v>1</v>
      </c>
      <c r="K467" s="3" t="s">
        <v>39</v>
      </c>
      <c r="L467" s="5" t="s">
        <v>40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.6">
      <c r="A468" s="13">
        <v>2026</v>
      </c>
      <c r="B468" s="3" t="s">
        <v>66</v>
      </c>
      <c r="C468" s="32">
        <v>46249</v>
      </c>
      <c r="D468" s="3" t="s">
        <v>74</v>
      </c>
      <c r="E468" s="3" t="s">
        <v>543</v>
      </c>
      <c r="F468" s="32">
        <v>46251</v>
      </c>
      <c r="G468" s="3" t="s">
        <v>35</v>
      </c>
      <c r="H468" s="3" t="s">
        <v>543</v>
      </c>
      <c r="I468" s="3" t="s">
        <v>19</v>
      </c>
      <c r="J468" s="3">
        <v>1</v>
      </c>
      <c r="K468" s="3" t="s">
        <v>39</v>
      </c>
      <c r="L468" s="5" t="s">
        <v>40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.6">
      <c r="A469" s="13">
        <v>2026</v>
      </c>
      <c r="B469" s="3" t="s">
        <v>68</v>
      </c>
      <c r="C469" s="32">
        <v>46307</v>
      </c>
      <c r="D469" s="3" t="s">
        <v>35</v>
      </c>
      <c r="E469" s="3" t="s">
        <v>543</v>
      </c>
      <c r="F469" s="32">
        <v>46307</v>
      </c>
      <c r="G469" s="3" t="s">
        <v>35</v>
      </c>
      <c r="H469" s="3" t="s">
        <v>542</v>
      </c>
      <c r="I469" s="3" t="s">
        <v>20</v>
      </c>
      <c r="J469" s="3">
        <v>1</v>
      </c>
      <c r="K469" s="3" t="s">
        <v>39</v>
      </c>
      <c r="L469" s="5" t="s">
        <v>40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.6">
      <c r="A470" s="13">
        <v>2026</v>
      </c>
      <c r="B470" s="3" t="s">
        <v>70</v>
      </c>
      <c r="C470" s="32">
        <v>46327</v>
      </c>
      <c r="D470" s="3" t="s">
        <v>96</v>
      </c>
      <c r="E470" s="3" t="s">
        <v>543</v>
      </c>
      <c r="F470" s="32">
        <v>46328</v>
      </c>
      <c r="G470" s="3" t="s">
        <v>35</v>
      </c>
      <c r="H470" s="3" t="s">
        <v>543</v>
      </c>
      <c r="I470" s="3" t="s">
        <v>20</v>
      </c>
      <c r="J470" s="3">
        <v>1</v>
      </c>
      <c r="K470" s="3" t="s">
        <v>39</v>
      </c>
      <c r="L470" s="5" t="s">
        <v>40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7.6">
      <c r="A471" s="13">
        <v>2026</v>
      </c>
      <c r="B471" s="3" t="s">
        <v>72</v>
      </c>
      <c r="C471" s="32">
        <v>46337</v>
      </c>
      <c r="D471" s="3" t="s">
        <v>84</v>
      </c>
      <c r="E471" s="3" t="s">
        <v>543</v>
      </c>
      <c r="F471" s="32">
        <v>46342</v>
      </c>
      <c r="G471" s="3" t="s">
        <v>35</v>
      </c>
      <c r="H471" s="3" t="s">
        <v>543</v>
      </c>
      <c r="I471" s="3" t="s">
        <v>20</v>
      </c>
      <c r="J471" s="3">
        <v>1</v>
      </c>
      <c r="K471" s="3" t="s">
        <v>39</v>
      </c>
      <c r="L471" s="5" t="s">
        <v>40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.6">
      <c r="A472" s="13">
        <v>2026</v>
      </c>
      <c r="B472" s="3" t="s">
        <v>75</v>
      </c>
      <c r="C472" s="32">
        <v>46364</v>
      </c>
      <c r="D472" s="3" t="s">
        <v>51</v>
      </c>
      <c r="E472" s="3" t="s">
        <v>542</v>
      </c>
      <c r="F472" s="32">
        <v>46364</v>
      </c>
      <c r="G472" s="3" t="s">
        <v>51</v>
      </c>
      <c r="H472" s="3" t="s">
        <v>542</v>
      </c>
      <c r="I472" s="3" t="s">
        <v>20</v>
      </c>
      <c r="J472" s="3">
        <v>1</v>
      </c>
      <c r="K472" s="3" t="s">
        <v>39</v>
      </c>
      <c r="L472" s="5" t="s">
        <v>40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.6">
      <c r="A473" s="26">
        <v>2026</v>
      </c>
      <c r="B473" s="27" t="s">
        <v>77</v>
      </c>
      <c r="C473" s="33">
        <v>46381</v>
      </c>
      <c r="D473" s="27" t="s">
        <v>48</v>
      </c>
      <c r="E473" s="27" t="s">
        <v>542</v>
      </c>
      <c r="F473" s="33">
        <v>46381</v>
      </c>
      <c r="G473" s="27" t="s">
        <v>48</v>
      </c>
      <c r="H473" s="27" t="s">
        <v>542</v>
      </c>
      <c r="I473" s="27" t="s">
        <v>20</v>
      </c>
      <c r="J473" s="27">
        <v>1</v>
      </c>
      <c r="K473" s="27" t="s">
        <v>39</v>
      </c>
      <c r="L473" s="17" t="s">
        <v>40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RowHeight="13.8"/>
  <cols>
    <col min="1" max="1" width="25" customWidth="1"/>
    <col min="2" max="2" width="62" customWidth="1"/>
    <col min="3" max="3" width="52" customWidth="1"/>
    <col min="4" max="4" width="50" customWidth="1"/>
    <col min="5" max="6" width="16" customWidth="1"/>
  </cols>
  <sheetData>
    <row r="1" spans="1:26" ht="21">
      <c r="A1" s="35" t="s">
        <v>544</v>
      </c>
      <c r="B1" s="35"/>
      <c r="C1" s="35"/>
      <c r="D1" s="35"/>
      <c r="E1" s="35"/>
      <c r="F1" s="3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8" t="s">
        <v>545</v>
      </c>
      <c r="B3" s="20" t="s">
        <v>546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13" t="s">
        <v>547</v>
      </c>
      <c r="B4" s="5" t="s">
        <v>548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1.4">
      <c r="A5" s="13" t="s">
        <v>549</v>
      </c>
      <c r="B5" s="5" t="s">
        <v>550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3" t="s">
        <v>551</v>
      </c>
      <c r="B6" s="5" t="s">
        <v>552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13" t="s">
        <v>12</v>
      </c>
      <c r="B7" s="5" t="s">
        <v>553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3" t="s">
        <v>6</v>
      </c>
      <c r="B8" s="5" t="s">
        <v>554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1.4">
      <c r="A9" s="13" t="s">
        <v>555</v>
      </c>
      <c r="B9" s="5" t="s">
        <v>556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1.4">
      <c r="A10" s="26" t="s">
        <v>557</v>
      </c>
      <c r="B10" s="17" t="s">
        <v>558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8" t="s">
        <v>559</v>
      </c>
      <c r="B13" s="19" t="s">
        <v>560</v>
      </c>
      <c r="C13" s="19" t="s">
        <v>561</v>
      </c>
      <c r="D13" s="20" t="s">
        <v>541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13" t="s">
        <v>562</v>
      </c>
      <c r="B14" s="3" t="s">
        <v>563</v>
      </c>
      <c r="C14" s="3" t="s">
        <v>564</v>
      </c>
      <c r="D14" s="5" t="s">
        <v>40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1.4">
      <c r="A15" s="13" t="s">
        <v>565</v>
      </c>
      <c r="B15" s="3" t="s">
        <v>566</v>
      </c>
      <c r="C15" s="3" t="s">
        <v>567</v>
      </c>
      <c r="D15" s="5" t="s">
        <v>522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6">
      <c r="A16" s="26" t="s">
        <v>568</v>
      </c>
      <c r="B16" s="27" t="s">
        <v>569</v>
      </c>
      <c r="C16" s="27" t="s">
        <v>570</v>
      </c>
      <c r="D16" s="17" t="s">
        <v>571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 t="s">
        <v>541</v>
      </c>
      <c r="B19" s="19" t="s">
        <v>572</v>
      </c>
      <c r="C19" s="20" t="s">
        <v>573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6">
      <c r="A20" s="13" t="s">
        <v>574</v>
      </c>
      <c r="B20" s="3" t="s">
        <v>575</v>
      </c>
      <c r="C20" s="5" t="s">
        <v>40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1.4">
      <c r="A21" s="13" t="s">
        <v>576</v>
      </c>
      <c r="B21" s="3" t="s">
        <v>577</v>
      </c>
      <c r="C21" s="5" t="s">
        <v>571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1.4">
      <c r="A22" s="26" t="s">
        <v>578</v>
      </c>
      <c r="B22" s="27" t="s">
        <v>579</v>
      </c>
      <c r="C22" s="17" t="s">
        <v>522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8" t="s">
        <v>5</v>
      </c>
      <c r="B25" s="19" t="s">
        <v>24</v>
      </c>
      <c r="C25" s="20" t="s">
        <v>580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3">
        <v>2003</v>
      </c>
      <c r="B26" s="32">
        <v>37802</v>
      </c>
      <c r="C26" s="5" t="s">
        <v>108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3">
        <v>2011</v>
      </c>
      <c r="B27" s="32">
        <v>40728</v>
      </c>
      <c r="C27" s="5" t="s">
        <v>108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3">
        <v>2014</v>
      </c>
      <c r="B28" s="32">
        <v>41820</v>
      </c>
      <c r="C28" s="5" t="s">
        <v>108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3">
        <v>2019</v>
      </c>
      <c r="B29" s="32">
        <v>43647</v>
      </c>
      <c r="C29" s="5" t="s">
        <v>108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26">
        <v>2025</v>
      </c>
      <c r="B30" s="33">
        <v>45838</v>
      </c>
      <c r="C30" s="17" t="s">
        <v>108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trimestral</vt:lpstr>
      <vt:lpstr>Festivos por día</vt:lpstr>
      <vt:lpstr>Detalle por festivo</vt:lpstr>
      <vt:lpstr>Reglas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LEGION</dc:creator>
  <cp:lastModifiedBy>José Miguel Arias Mejía</cp:lastModifiedBy>
  <dcterms:created xsi:type="dcterms:W3CDTF">2026-07-22T20:54:02Z</dcterms:created>
  <dcterms:modified xsi:type="dcterms:W3CDTF">2026-07-22T20:57:06Z</dcterms:modified>
</cp:coreProperties>
</file>